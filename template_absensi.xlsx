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5410" firstSheet="9" activeTab="13"/>
  </bookViews>
  <sheets>
    <sheet name="sept" sheetId="1" r:id="rId1"/>
    <sheet name="oct" sheetId="5" r:id="rId2"/>
    <sheet name="nov" sheetId="7" r:id="rId3"/>
    <sheet name="DES" sheetId="8" r:id="rId4"/>
    <sheet name="JAN" sheetId="10" r:id="rId5"/>
    <sheet name="FEB" sheetId="11" r:id="rId6"/>
    <sheet name="MAR" sheetId="12" r:id="rId7"/>
    <sheet name="APRIL" sheetId="15" r:id="rId8"/>
    <sheet name="MEI" sheetId="13" r:id="rId9"/>
    <sheet name="JUNI" sheetId="17" r:id="rId10"/>
    <sheet name="JULI" sheetId="18" r:id="rId11"/>
    <sheet name="AGT" sheetId="16" r:id="rId12"/>
    <sheet name="SEP" sheetId="20" r:id="rId13"/>
    <sheet name="OKT" sheetId="23" r:id="rId14"/>
    <sheet name="Sheet1" sheetId="24" r:id="rId15"/>
  </sheets>
  <externalReferences>
    <externalReference r:id="rId16"/>
  </externalReferences>
  <definedNames>
    <definedName name="_xlnm._FilterDatabase" localSheetId="0" hidden="1">sept!$A$11:$AS$101</definedName>
    <definedName name="_xlnm._FilterDatabase" localSheetId="1" hidden="1">oct!$A$11:$AS$135</definedName>
    <definedName name="_xlnm._FilterDatabase" localSheetId="2" hidden="1">nov!$A$11:$AT$152</definedName>
    <definedName name="_xlnm._FilterDatabase" localSheetId="3" hidden="1">DES!$A$11:$AR$162</definedName>
    <definedName name="_xlnm._FilterDatabase" localSheetId="4" hidden="1">JAN!$A$11:$AR$173</definedName>
    <definedName name="_xlnm._FilterDatabase" localSheetId="5" hidden="1">FEB!$A$11:$AS$184</definedName>
    <definedName name="_xlnm._FilterDatabase" localSheetId="6" hidden="1">MAR!$A$11:$AP$202</definedName>
    <definedName name="_xlnm._FilterDatabase" localSheetId="7" hidden="1">APRIL!$A$11:$AT$211</definedName>
    <definedName name="_xlnm._FilterDatabase" localSheetId="8" hidden="1">MEI!$A$11:$AU$217</definedName>
    <definedName name="_xlnm._FilterDatabase" localSheetId="9" hidden="1">JUNI!$A$11:$AW$221</definedName>
    <definedName name="_xlnm._FilterDatabase" localSheetId="10" hidden="1">JULI!$A$11:$AS$263</definedName>
    <definedName name="_xlnm._FilterDatabase" localSheetId="13" hidden="1">OKT!$A$15:$AP$203</definedName>
    <definedName name="_xlnm.Print_Area" localSheetId="7">APRIL!$A$11:$L$197</definedName>
    <definedName name="_xlnm.Print_Area" localSheetId="3">DES!$A$11:$L$160</definedName>
    <definedName name="_xlnm.Print_Area" localSheetId="5">FEB!$A$11:$L$184</definedName>
    <definedName name="_xlnm.Print_Area" localSheetId="4">JAN!$A$11:$L$173</definedName>
    <definedName name="_xlnm.Print_Area" localSheetId="10">JULI!$A$11:$D$197</definedName>
    <definedName name="_xlnm.Print_Area" localSheetId="9">JUNI!$A$11:$J$197</definedName>
    <definedName name="_xlnm.Print_Area" localSheetId="6">MAR!$A$11:$L$198</definedName>
    <definedName name="_xlnm.Print_Area" localSheetId="8">MEI!$A$11:$L$197</definedName>
    <definedName name="_xlnm.Print_Area" localSheetId="2">nov!$A$11:$L$151</definedName>
    <definedName name="_xlnm.Print_Area" localSheetId="1">oct!$A$11:$L$135</definedName>
    <definedName name="_xlnm.Print_Area" localSheetId="13">OKT!$A$15:$D$195</definedName>
    <definedName name="_xlnm.Print_Area" localSheetId="0">sept!$A$11:$L$101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  <author>ipp2</author>
  </authors>
  <commentList>
    <comment ref="E22" authorId="0">
      <text>
        <r>
          <rPr>
            <b/>
            <sz val="9"/>
            <rFont val="Tahoma"/>
            <charset val="1"/>
          </rPr>
          <t>user:</t>
        </r>
        <r>
          <rPr>
            <sz val="9"/>
            <rFont val="Tahoma"/>
            <charset val="1"/>
          </rPr>
          <t xml:space="preserve">
skd di foto</t>
        </r>
      </text>
    </comment>
    <comment ref="W51" authorId="1">
      <text>
        <r>
          <rPr>
            <b/>
            <sz val="9"/>
            <rFont val="Times New Roman"/>
            <charset val="134"/>
          </rPr>
          <t>istri di rawat</t>
        </r>
        <r>
          <rPr>
            <sz val="9"/>
            <rFont val="Times New Roman"/>
            <charset val="134"/>
          </rPr>
          <t xml:space="preserve">
</t>
        </r>
      </text>
    </comment>
    <comment ref="X51" authorId="1">
      <text>
        <r>
          <rPr>
            <b/>
            <sz val="9"/>
            <rFont val="Times New Roman"/>
            <charset val="134"/>
          </rPr>
          <t xml:space="preserve">istri di rawat
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ipp2</author>
  </authors>
  <commentList>
    <comment ref="J13" authorId="0">
      <text>
        <r>
          <rPr>
            <b/>
            <sz val="9"/>
            <rFont val="Times New Roman"/>
            <charset val="134"/>
          </rPr>
          <t xml:space="preserve">PULANG LEBIH AWAL </t>
        </r>
        <r>
          <rPr>
            <sz val="9"/>
            <rFont val="Times New Roman"/>
            <charset val="134"/>
          </rPr>
          <t xml:space="preserve">
</t>
        </r>
      </text>
    </comment>
    <comment ref="K28" authorId="0">
      <text>
        <r>
          <rPr>
            <b/>
            <sz val="9"/>
            <rFont val="Times New Roman"/>
            <charset val="134"/>
          </rPr>
          <t xml:space="preserve">PULANG LEBIH AWAL
</t>
        </r>
        <r>
          <rPr>
            <sz val="9"/>
            <rFont val="Times New Roman"/>
            <charset val="134"/>
          </rPr>
          <t xml:space="preserve">
</t>
        </r>
      </text>
    </comment>
    <comment ref="Z30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W51" authorId="0">
      <text>
        <r>
          <rPr>
            <b/>
            <sz val="9"/>
            <rFont val="Times New Roman"/>
            <charset val="134"/>
          </rPr>
          <t>istri di rawat</t>
        </r>
        <r>
          <rPr>
            <sz val="9"/>
            <rFont val="Times New Roman"/>
            <charset val="134"/>
          </rPr>
          <t xml:space="preserve">
</t>
        </r>
      </text>
    </comment>
    <comment ref="X51" authorId="0">
      <text>
        <r>
          <rPr>
            <b/>
            <sz val="9"/>
            <rFont val="Times New Roman"/>
            <charset val="134"/>
          </rPr>
          <t xml:space="preserve">istri di rawat
</t>
        </r>
        <r>
          <rPr>
            <sz val="9"/>
            <rFont val="Times New Roman"/>
            <charset val="134"/>
          </rPr>
          <t xml:space="preserve">
</t>
        </r>
      </text>
    </comment>
    <comment ref="AM99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  <comment ref="J101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P141" authorId="0">
      <text>
        <r>
          <rPr>
            <b/>
            <sz val="9"/>
            <rFont val="Times New Roman"/>
            <charset val="134"/>
          </rPr>
          <t>ipp2: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ipp2</author>
  </authors>
  <commentList>
    <comment ref="S25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K28" authorId="0">
      <text>
        <r>
          <rPr>
            <b/>
            <sz val="9"/>
            <rFont val="Times New Roman"/>
            <charset val="134"/>
          </rPr>
          <t xml:space="preserve">PULANG LEBIH AWAL
</t>
        </r>
        <r>
          <rPr>
            <sz val="9"/>
            <rFont val="Times New Roman"/>
            <charset val="134"/>
          </rPr>
          <t xml:space="preserve">
</t>
        </r>
      </text>
    </comment>
    <comment ref="AB53" authorId="0">
      <text>
        <r>
          <rPr>
            <sz val="9"/>
            <rFont val="Times New Roman"/>
            <charset val="134"/>
          </rPr>
          <t xml:space="preserve">IZIN PULANG LEBIH AWQL 09.45
</t>
        </r>
      </text>
    </comment>
    <comment ref="I68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P72" authorId="0">
      <text>
        <r>
          <rPr>
            <b/>
            <sz val="9"/>
            <rFont val="Times New Roman"/>
            <charset val="134"/>
          </rPr>
          <t>IZIN PULANG CEPAT</t>
        </r>
        <r>
          <rPr>
            <sz val="9"/>
            <rFont val="Times New Roman"/>
            <charset val="134"/>
          </rPr>
          <t xml:space="preserve">
</t>
        </r>
      </text>
    </comment>
    <comment ref="P86" authorId="0">
      <text>
        <r>
          <rPr>
            <b/>
            <sz val="9"/>
            <rFont val="Times New Roman"/>
            <charset val="134"/>
          </rPr>
          <t>IZIN PULANG CEPAT</t>
        </r>
        <r>
          <rPr>
            <sz val="9"/>
            <rFont val="Times New Roman"/>
            <charset val="134"/>
          </rPr>
          <t xml:space="preserve">
</t>
        </r>
      </text>
    </comment>
    <comment ref="AC95" authorId="0">
      <text>
        <r>
          <rPr>
            <sz val="9"/>
            <rFont val="Times New Roman"/>
            <charset val="134"/>
          </rPr>
          <t xml:space="preserve">PULANG LEBIH AWAL,SAKIT 07.00
</t>
        </r>
      </text>
    </comment>
    <comment ref="AN99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  <comment ref="J101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M131" authorId="0">
      <text>
        <r>
          <rPr>
            <sz val="9"/>
            <rFont val="Times New Roman"/>
            <charset val="134"/>
          </rPr>
          <t xml:space="preserve">pulang awal sakit gigi
</t>
        </r>
      </text>
    </comment>
    <comment ref="K134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Y148" authorId="0">
      <text>
        <r>
          <rPr>
            <b/>
            <sz val="9"/>
            <rFont val="Times New Roman"/>
            <charset val="134"/>
          </rPr>
          <t>Urus dokumen pribadi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ipp2</author>
  </authors>
  <commentList>
    <comment ref="I27" authorId="0">
      <text>
        <r>
          <rPr>
            <b/>
            <sz val="9"/>
            <rFont val="Times New Roman"/>
            <charset val="134"/>
          </rPr>
          <t>PULANG LEBIH CEPAT JAM 20.40</t>
        </r>
        <r>
          <rPr>
            <sz val="9"/>
            <rFont val="Times New Roman"/>
            <charset val="134"/>
          </rPr>
          <t xml:space="preserve">
</t>
        </r>
      </text>
    </comment>
    <comment ref="K30" authorId="0">
      <text>
        <r>
          <rPr>
            <sz val="9"/>
            <rFont val="Times New Roman"/>
            <charset val="134"/>
          </rPr>
          <t xml:space="preserve">21.30
</t>
        </r>
      </text>
    </comment>
    <comment ref="AE31" authorId="0">
      <text>
        <r>
          <rPr>
            <b/>
            <sz val="9"/>
            <rFont val="Times New Roman"/>
            <charset val="134"/>
          </rPr>
          <t>PULANG LEBIH AWAL JAM 22.00</t>
        </r>
        <r>
          <rPr>
            <sz val="9"/>
            <rFont val="Times New Roman"/>
            <charset val="134"/>
          </rPr>
          <t xml:space="preserve">
</t>
        </r>
      </text>
    </comment>
    <comment ref="Z36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K40" authorId="0">
      <text>
        <r>
          <rPr>
            <b/>
            <sz val="9"/>
            <rFont val="Times New Roman"/>
            <charset val="134"/>
          </rPr>
          <t>NENEK MENINGGAL</t>
        </r>
      </text>
    </comment>
    <comment ref="K41" authorId="0">
      <text>
        <r>
          <rPr>
            <sz val="9"/>
            <rFont val="Times New Roman"/>
            <charset val="134"/>
          </rPr>
          <t xml:space="preserve">ORNGTUA SAKIT
</t>
        </r>
      </text>
    </comment>
    <comment ref="S60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K75" authorId="0">
      <text>
        <r>
          <rPr>
            <b/>
            <sz val="9"/>
            <rFont val="Times New Roman"/>
            <charset val="134"/>
          </rPr>
          <t>PULANG CEPAT JAM 07.31</t>
        </r>
        <r>
          <rPr>
            <sz val="9"/>
            <rFont val="Times New Roman"/>
            <charset val="134"/>
          </rPr>
          <t xml:space="preserve">
</t>
        </r>
      </text>
    </comment>
    <comment ref="W85" authorId="0">
      <text>
        <r>
          <rPr>
            <b/>
            <sz val="9"/>
            <rFont val="Times New Roman"/>
            <charset val="134"/>
          </rPr>
          <t>PULANG CEPAT JAM 23.30</t>
        </r>
        <r>
          <rPr>
            <sz val="9"/>
            <rFont val="Times New Roman"/>
            <charset val="134"/>
          </rPr>
          <t xml:space="preserve">
</t>
        </r>
      </text>
    </comment>
    <comment ref="T93" authorId="0">
      <text>
        <r>
          <rPr>
            <sz val="9"/>
            <rFont val="Times New Roman"/>
            <charset val="134"/>
          </rPr>
          <t xml:space="preserve">ORANG TUA SAKIT
</t>
        </r>
      </text>
    </comment>
    <comment ref="AL99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</commentList>
</comments>
</file>

<file path=xl/comments5.xml><?xml version="1.0" encoding="utf-8"?>
<comments xmlns="http://schemas.openxmlformats.org/spreadsheetml/2006/main">
  <authors>
    <author>ipp2</author>
  </authors>
  <commentList>
    <comment ref="F13" authorId="0">
      <text>
        <r>
          <rPr>
            <sz val="9"/>
            <rFont val="Times New Roman"/>
            <charset val="134"/>
          </rPr>
          <t xml:space="preserve">SAKIT, PULANG LEBIH AWAL
</t>
        </r>
      </text>
    </comment>
    <comment ref="AE17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A22" authorId="0">
      <text>
        <r>
          <rPr>
            <b/>
            <sz val="9"/>
            <rFont val="Times New Roman"/>
            <charset val="134"/>
          </rPr>
          <t>PULANG CEPAT</t>
        </r>
        <r>
          <rPr>
            <sz val="9"/>
            <rFont val="Times New Roman"/>
            <charset val="134"/>
          </rPr>
          <t xml:space="preserve">
</t>
        </r>
      </text>
    </comment>
    <comment ref="N28" authorId="0">
      <text>
        <r>
          <rPr>
            <sz val="9"/>
            <rFont val="Times New Roman"/>
            <charset val="134"/>
          </rPr>
          <t xml:space="preserve">pulang lebih awal 09.30
</t>
        </r>
      </text>
    </comment>
    <comment ref="L48" authorId="0">
      <text>
        <r>
          <rPr>
            <sz val="9"/>
            <rFont val="Times New Roman"/>
            <charset val="134"/>
          </rPr>
          <t xml:space="preserve">izin pulang lebih awal
</t>
        </r>
      </text>
    </comment>
    <comment ref="T48" authorId="0">
      <text>
        <r>
          <rPr>
            <b/>
            <sz val="9"/>
            <rFont val="Times New Roman"/>
            <charset val="134"/>
          </rPr>
          <t>IZIN BESANAN</t>
        </r>
        <r>
          <rPr>
            <sz val="9"/>
            <rFont val="Times New Roman"/>
            <charset val="134"/>
          </rPr>
          <t xml:space="preserve">
</t>
        </r>
      </text>
    </comment>
    <comment ref="U48" authorId="0">
      <text>
        <r>
          <rPr>
            <b/>
            <sz val="9"/>
            <rFont val="Times New Roman"/>
            <charset val="134"/>
          </rPr>
          <t>SAKIT TDK ADA SURDOK</t>
        </r>
        <r>
          <rPr>
            <sz val="9"/>
            <rFont val="Times New Roman"/>
            <charset val="134"/>
          </rPr>
          <t xml:space="preserve">
</t>
        </r>
      </text>
    </comment>
    <comment ref="AG56" authorId="0">
      <text>
        <r>
          <rPr>
            <sz val="9"/>
            <rFont val="Times New Roman"/>
            <charset val="134"/>
          </rPr>
          <t>pulang lebih awal</t>
        </r>
      </text>
    </comment>
    <comment ref="F62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G85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S95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AL98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  <comment ref="AH116" authorId="0">
      <text>
        <r>
          <rPr>
            <b/>
            <sz val="9"/>
            <rFont val="Times New Roman"/>
            <charset val="134"/>
          </rPr>
          <t>kakek meninggal</t>
        </r>
        <r>
          <rPr>
            <sz val="9"/>
            <rFont val="Times New Roman"/>
            <charset val="134"/>
          </rPr>
          <t xml:space="preserve">
</t>
        </r>
      </text>
    </comment>
    <comment ref="N139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B140" authorId="0">
      <text>
        <r>
          <rPr>
            <b/>
            <sz val="9"/>
            <rFont val="Times New Roman"/>
            <charset val="134"/>
          </rPr>
          <t>PULANG LEBIH AWAL 21.40</t>
        </r>
        <r>
          <rPr>
            <sz val="9"/>
            <rFont val="Times New Roman"/>
            <charset val="134"/>
          </rPr>
          <t xml:space="preserve">
</t>
        </r>
      </text>
    </comment>
    <comment ref="AC152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R156" authorId="0">
      <text>
        <r>
          <rPr>
            <b/>
            <sz val="9"/>
            <rFont val="Times New Roman"/>
            <charset val="134"/>
          </rPr>
          <t>OPIK IZIN PULANG LEBIH AWAL JAM 05.00 TGL 4 SIFT 2</t>
        </r>
        <r>
          <rPr>
            <sz val="9"/>
            <rFont val="Times New Roman"/>
            <charset val="134"/>
          </rPr>
          <t xml:space="preserve">
</t>
        </r>
      </text>
    </comment>
    <comment ref="J158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M160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N161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H164" authorId="0">
      <text>
        <r>
          <rPr>
            <b/>
            <sz val="9"/>
            <rFont val="Times New Roman"/>
            <charset val="134"/>
          </rPr>
          <t>SAKIT TIDAK ADA SURDOK</t>
        </r>
        <r>
          <rPr>
            <sz val="9"/>
            <rFont val="Times New Roman"/>
            <charset val="134"/>
          </rPr>
          <t xml:space="preserve">
</t>
        </r>
      </text>
    </comment>
    <comment ref="Z167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ipp2</author>
  </authors>
  <commentList>
    <comment ref="P47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Y66" authorId="0">
      <text>
        <r>
          <rPr>
            <sz val="9"/>
            <rFont val="Times New Roman"/>
            <charset val="134"/>
          </rPr>
          <t>pulang lebih awal orangtua sakit</t>
        </r>
      </text>
    </comment>
    <comment ref="V69" authorId="0">
      <text>
        <r>
          <rPr>
            <sz val="9"/>
            <rFont val="Times New Roman"/>
            <charset val="134"/>
          </rPr>
          <t xml:space="preserve">PULANG LEBIH AWAL JAM 01.30
</t>
        </r>
      </text>
    </comment>
    <comment ref="AM98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  <comment ref="U120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Q137" authorId="0">
      <text>
        <r>
          <rPr>
            <b/>
            <sz val="9"/>
            <rFont val="Times New Roman"/>
            <charset val="134"/>
          </rPr>
          <t>PULANG CEPAT</t>
        </r>
        <r>
          <rPr>
            <sz val="9"/>
            <rFont val="Times New Roman"/>
            <charset val="134"/>
          </rPr>
          <t xml:space="preserve">
12.50</t>
        </r>
      </text>
    </comment>
    <comment ref="M162" authorId="0">
      <text>
        <r>
          <rPr>
            <sz val="9"/>
            <rFont val="Times New Roman"/>
            <charset val="134"/>
          </rPr>
          <t xml:space="preserve">PULANG LEBIH AWAL jam 9
</t>
        </r>
      </text>
    </comment>
    <comment ref="Z165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AG166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E173" authorId="0">
      <text>
        <r>
          <rPr>
            <b/>
            <sz val="9"/>
            <rFont val="Times New Roman"/>
            <charset val="134"/>
          </rPr>
          <t xml:space="preserve">PULANG LEBIH AWAL
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ipp2</author>
  </authors>
  <commentList>
    <comment ref="Q57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W59" authorId="0">
      <text>
        <r>
          <rPr>
            <b/>
            <sz val="9"/>
            <rFont val="Times New Roman"/>
            <charset val="134"/>
          </rPr>
          <t>JATUH DARI MOTOR</t>
        </r>
        <r>
          <rPr>
            <sz val="9"/>
            <rFont val="Times New Roman"/>
            <charset val="134"/>
          </rPr>
          <t xml:space="preserve">
</t>
        </r>
      </text>
    </comment>
    <comment ref="N63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M72" authorId="0">
      <text>
        <r>
          <rPr>
            <b/>
            <sz val="9"/>
            <rFont val="Times New Roman"/>
            <charset val="134"/>
          </rPr>
          <t>pulang cepat</t>
        </r>
        <r>
          <rPr>
            <sz val="9"/>
            <rFont val="Times New Roman"/>
            <charset val="134"/>
          </rPr>
          <t xml:space="preserve">
</t>
        </r>
      </text>
    </comment>
    <comment ref="O73" authorId="0">
      <text>
        <r>
          <rPr>
            <b/>
            <sz val="9"/>
            <rFont val="Times New Roman"/>
            <charset val="134"/>
          </rPr>
          <t>PULANG AWAL</t>
        </r>
      </text>
    </comment>
    <comment ref="W74" authorId="0">
      <text>
        <r>
          <rPr>
            <b/>
            <sz val="9"/>
            <rFont val="Times New Roman"/>
            <charset val="134"/>
          </rPr>
          <t>izin masuk siang urus bpjs</t>
        </r>
        <r>
          <rPr>
            <sz val="9"/>
            <rFont val="Times New Roman"/>
            <charset val="134"/>
          </rPr>
          <t xml:space="preserve">
</t>
        </r>
      </text>
    </comment>
    <comment ref="X74" authorId="0">
      <text>
        <r>
          <rPr>
            <b/>
            <sz val="9"/>
            <rFont val="Times New Roman"/>
            <charset val="134"/>
          </rPr>
          <t>IZINdatang siang</t>
        </r>
      </text>
    </comment>
    <comment ref="Z95" authorId="0">
      <text>
        <r>
          <rPr>
            <sz val="9"/>
            <rFont val="Times New Roman"/>
            <charset val="134"/>
          </rPr>
          <t xml:space="preserve">pulang lebih awal 00.30 kakek meninggal 
</t>
        </r>
      </text>
    </comment>
    <comment ref="W96" authorId="0">
      <text>
        <r>
          <rPr>
            <sz val="9"/>
            <rFont val="Times New Roman"/>
            <charset val="134"/>
          </rPr>
          <t xml:space="preserve">pulang awal
</t>
        </r>
      </text>
    </comment>
    <comment ref="AJ98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  <comment ref="G106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K116" authorId="0">
      <text>
        <r>
          <rPr>
            <b/>
            <sz val="9"/>
            <rFont val="Times New Roman"/>
            <charset val="134"/>
          </rPr>
          <t>PULANG AWAL JAM 03.00</t>
        </r>
        <r>
          <rPr>
            <sz val="9"/>
            <rFont val="Times New Roman"/>
            <charset val="134"/>
          </rPr>
          <t xml:space="preserve">
</t>
        </r>
      </text>
    </comment>
    <comment ref="J152" authorId="0">
      <text>
        <r>
          <rPr>
            <b/>
            <sz val="9"/>
            <rFont val="Times New Roman"/>
            <charset val="134"/>
          </rPr>
          <t>PULANG CEPAT JAM 10.30</t>
        </r>
        <r>
          <rPr>
            <sz val="9"/>
            <rFont val="Times New Roman"/>
            <charset val="134"/>
          </rPr>
          <t xml:space="preserve">
</t>
        </r>
      </text>
    </comment>
    <comment ref="L152" authorId="0">
      <text>
        <r>
          <rPr>
            <b/>
            <sz val="9"/>
            <rFont val="Times New Roman"/>
            <charset val="134"/>
          </rPr>
          <t>PULANG LBH AWAL</t>
        </r>
        <r>
          <rPr>
            <sz val="9"/>
            <rFont val="Times New Roman"/>
            <charset val="134"/>
          </rPr>
          <t xml:space="preserve">
</t>
        </r>
      </text>
    </comment>
    <comment ref="J171" authorId="0">
      <text>
        <r>
          <rPr>
            <sz val="9"/>
            <rFont val="Times New Roman"/>
            <charset val="134"/>
          </rPr>
          <t xml:space="preserve">SAKIT PULANG CEPAT JAM 10.27
</t>
        </r>
      </text>
    </comment>
    <comment ref="G184" authorId="0">
      <text>
        <r>
          <rPr>
            <b/>
            <sz val="9"/>
            <rFont val="Times New Roman"/>
            <charset val="134"/>
          </rPr>
          <t>urusan keluarga</t>
        </r>
        <r>
          <rPr>
            <sz val="9"/>
            <rFont val="Times New Roman"/>
            <charset val="134"/>
          </rPr>
          <t xml:space="preserve">
</t>
        </r>
      </text>
    </comment>
    <comment ref="G185" authorId="0">
      <text>
        <r>
          <rPr>
            <b/>
            <sz val="9"/>
            <rFont val="Times New Roman"/>
            <charset val="134"/>
          </rPr>
          <t>PULANG AWAL 11.30</t>
        </r>
        <r>
          <rPr>
            <sz val="9"/>
            <rFont val="Times New Roman"/>
            <charset val="134"/>
          </rPr>
          <t xml:space="preserve">
</t>
        </r>
      </text>
    </comment>
    <comment ref="AA199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A200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ipp2</author>
  </authors>
  <commentList>
    <comment ref="O48" authorId="0">
      <text>
        <r>
          <rPr>
            <b/>
            <sz val="9"/>
            <rFont val="Times New Roman"/>
            <charset val="134"/>
          </rPr>
          <t>izin pulang awal</t>
        </r>
        <r>
          <rPr>
            <sz val="9"/>
            <rFont val="Times New Roman"/>
            <charset val="134"/>
          </rPr>
          <t xml:space="preserve">
</t>
        </r>
      </text>
    </comment>
    <comment ref="Q57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S74" authorId="0">
      <text>
        <r>
          <rPr>
            <sz val="9"/>
            <rFont val="Times New Roman"/>
            <charset val="134"/>
          </rPr>
          <t xml:space="preserve">anak sakit
</t>
        </r>
      </text>
    </comment>
    <comment ref="Y95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N97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  <comment ref="V104" authorId="0">
      <text>
        <r>
          <rPr>
            <sz val="9"/>
            <rFont val="Times New Roman"/>
            <charset val="134"/>
          </rPr>
          <t xml:space="preserve">pulang lbh awal
</t>
        </r>
      </text>
    </comment>
    <comment ref="O151" authorId="0">
      <text>
        <r>
          <rPr>
            <b/>
            <sz val="9"/>
            <rFont val="Times New Roman"/>
            <charset val="134"/>
          </rPr>
          <t>IZIN PULANG AWAL</t>
        </r>
        <r>
          <rPr>
            <sz val="9"/>
            <rFont val="Times New Roman"/>
            <charset val="134"/>
          </rPr>
          <t xml:space="preserve">
</t>
        </r>
      </text>
    </comment>
    <comment ref="AD153" authorId="0">
      <text>
        <r>
          <rPr>
            <b/>
            <sz val="9"/>
            <rFont val="Times New Roman"/>
            <charset val="134"/>
          </rPr>
          <t>JATUH DARI MOTOR</t>
        </r>
        <r>
          <rPr>
            <sz val="9"/>
            <rFont val="Times New Roman"/>
            <charset val="134"/>
          </rPr>
          <t xml:space="preserve">
</t>
        </r>
      </text>
    </comment>
    <comment ref="Q170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X183" authorId="0">
      <text>
        <r>
          <rPr>
            <b/>
            <sz val="9"/>
            <rFont val="Times New Roman"/>
            <charset val="134"/>
          </rPr>
          <t>ANAK SAKIT 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P188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Q198" authorId="0">
      <text>
        <r>
          <rPr>
            <sz val="9"/>
            <rFont val="Times New Roman"/>
            <charset val="134"/>
          </rPr>
          <t xml:space="preserve">pulang lebih awal
</t>
        </r>
      </text>
    </comment>
    <comment ref="Z198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I206" authorId="0">
      <text>
        <r>
          <rPr>
            <b/>
            <sz val="9"/>
            <rFont val="Times New Roman"/>
            <charset val="134"/>
          </rPr>
          <t>off</t>
        </r>
        <r>
          <rPr>
            <sz val="9"/>
            <rFont val="Times New Roman"/>
            <charset val="134"/>
          </rPr>
          <t xml:space="preserve">
</t>
        </r>
      </text>
    </comment>
    <comment ref="J206" authorId="0">
      <text>
        <r>
          <rPr>
            <b/>
            <sz val="9"/>
            <rFont val="Times New Roman"/>
            <charset val="134"/>
          </rPr>
          <t>off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ipp2</author>
  </authors>
  <commentList>
    <comment ref="I13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 12.15</t>
        </r>
      </text>
    </comment>
    <comment ref="Z28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AE33" authorId="0">
      <text>
        <r>
          <rPr>
            <b/>
            <sz val="9"/>
            <rFont val="Times New Roman"/>
            <charset val="134"/>
          </rPr>
          <t>LAMARAN</t>
        </r>
        <r>
          <rPr>
            <sz val="9"/>
            <rFont val="Times New Roman"/>
            <charset val="134"/>
          </rPr>
          <t xml:space="preserve">
</t>
        </r>
      </text>
    </comment>
    <comment ref="L45" authorId="0">
      <text>
        <r>
          <rPr>
            <b/>
            <sz val="9"/>
            <rFont val="Times New Roman"/>
            <charset val="134"/>
          </rPr>
          <t xml:space="preserve">pulang lebih awal
</t>
        </r>
        <r>
          <rPr>
            <sz val="9"/>
            <rFont val="Times New Roman"/>
            <charset val="134"/>
          </rPr>
          <t xml:space="preserve">
</t>
        </r>
      </text>
    </comment>
    <comment ref="AC47" authorId="0">
      <text>
        <r>
          <rPr>
            <b/>
            <sz val="9"/>
            <rFont val="Times New Roman"/>
            <charset val="134"/>
          </rPr>
          <t>Pulang awal jam 12</t>
        </r>
        <r>
          <rPr>
            <sz val="9"/>
            <rFont val="Times New Roman"/>
            <charset val="134"/>
          </rPr>
          <t xml:space="preserve">
</t>
        </r>
      </text>
    </comment>
    <comment ref="K57" authorId="0">
      <text>
        <r>
          <rPr>
            <sz val="9"/>
            <rFont val="Times New Roman"/>
            <charset val="134"/>
          </rPr>
          <t>izin pulang awal
09.30</t>
        </r>
      </text>
    </comment>
    <comment ref="M70" authorId="0">
      <text>
        <r>
          <rPr>
            <b/>
            <sz val="9"/>
            <rFont val="Times New Roman"/>
            <charset val="134"/>
          </rPr>
          <t>sakit, pulang awal jam 11.15</t>
        </r>
        <r>
          <rPr>
            <sz val="9"/>
            <rFont val="Times New Roman"/>
            <charset val="134"/>
          </rPr>
          <t xml:space="preserve">
</t>
        </r>
      </text>
    </comment>
    <comment ref="Z95" authorId="0">
      <text>
        <r>
          <rPr>
            <sz val="9"/>
            <rFont val="Times New Roman"/>
            <charset val="134"/>
          </rPr>
          <t xml:space="preserve">pulang awal
</t>
        </r>
      </text>
    </comment>
    <comment ref="AO97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  <comment ref="V104" authorId="0">
      <text>
        <r>
          <rPr>
            <sz val="9"/>
            <rFont val="Times New Roman"/>
            <charset val="134"/>
          </rPr>
          <t xml:space="preserve">pulang lbh awal
</t>
        </r>
      </text>
    </comment>
    <comment ref="AJ138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Z164" authorId="0">
      <text>
        <r>
          <rPr>
            <b/>
            <sz val="9"/>
            <rFont val="Times New Roman"/>
            <charset val="134"/>
          </rPr>
          <t>SAKIT PULANG LBH AWAL</t>
        </r>
        <r>
          <rPr>
            <sz val="9"/>
            <rFont val="Times New Roman"/>
            <charset val="134"/>
          </rPr>
          <t xml:space="preserve">
</t>
        </r>
      </text>
    </comment>
    <comment ref="AG164" authorId="0">
      <text>
        <r>
          <rPr>
            <b/>
            <sz val="9"/>
            <rFont val="Times New Roman"/>
            <charset val="134"/>
          </rPr>
          <t>ACARA KELUARGA</t>
        </r>
        <r>
          <rPr>
            <sz val="9"/>
            <rFont val="Times New Roman"/>
            <charset val="134"/>
          </rPr>
          <t xml:space="preserve">
</t>
        </r>
      </text>
    </comment>
    <comment ref="AI172" authorId="0">
      <text>
        <r>
          <rPr>
            <b/>
            <sz val="9"/>
            <rFont val="Times New Roman"/>
            <charset val="134"/>
          </rPr>
          <t>izin setengah hari</t>
        </r>
        <r>
          <rPr>
            <sz val="9"/>
            <rFont val="Times New Roman"/>
            <charset val="134"/>
          </rPr>
          <t xml:space="preserve">
</t>
        </r>
      </text>
    </comment>
    <comment ref="M182" authorId="0">
      <text>
        <r>
          <rPr>
            <b/>
            <sz val="9"/>
            <rFont val="Times New Roman"/>
            <charset val="134"/>
          </rPr>
          <t>PUlang lbh awal</t>
        </r>
        <r>
          <rPr>
            <sz val="9"/>
            <rFont val="Times New Roman"/>
            <charset val="134"/>
          </rPr>
          <t xml:space="preserve">
</t>
        </r>
      </text>
    </comment>
    <comment ref="P188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L195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I198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K214" authorId="0">
      <text>
        <r>
          <rPr>
            <b/>
            <sz val="9"/>
            <rFont val="Times New Roman"/>
            <charset val="134"/>
          </rPr>
          <t>kakak ipar meninggal</t>
        </r>
        <r>
          <rPr>
            <sz val="9"/>
            <rFont val="Times New Roman"/>
            <charset val="134"/>
          </rPr>
          <t xml:space="preserve">
</t>
        </r>
      </text>
    </comment>
    <comment ref="Y214" authorId="0">
      <text>
        <r>
          <rPr>
            <b/>
            <sz val="9"/>
            <rFont val="Times New Roman"/>
            <charset val="134"/>
          </rPr>
          <t>izin pulang cepat mertua meninggal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ipp2</author>
  </authors>
  <commentList>
    <comment ref="W12" authorId="0">
      <text>
        <r>
          <rPr>
            <b/>
            <sz val="9"/>
            <rFont val="Times New Roman"/>
            <charset val="134"/>
          </rPr>
          <t>pulang cepat orangtua sakit 22.30</t>
        </r>
        <r>
          <rPr>
            <sz val="9"/>
            <rFont val="Times New Roman"/>
            <charset val="134"/>
          </rPr>
          <t xml:space="preserve">
</t>
        </r>
      </text>
    </comment>
    <comment ref="S28" authorId="0">
      <text>
        <r>
          <rPr>
            <b/>
            <sz val="9"/>
            <rFont val="Times New Roman"/>
            <charset val="134"/>
          </rPr>
          <t>pulang jam 6</t>
        </r>
        <r>
          <rPr>
            <sz val="9"/>
            <rFont val="Times New Roman"/>
            <charset val="134"/>
          </rPr>
          <t xml:space="preserve">
</t>
        </r>
      </text>
    </comment>
    <comment ref="X28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AB33" authorId="0">
      <text>
        <r>
          <rPr>
            <b/>
            <sz val="9"/>
            <rFont val="Times New Roman"/>
            <charset val="134"/>
          </rPr>
          <t>IZIN  PULANG AWAL</t>
        </r>
        <r>
          <rPr>
            <sz val="9"/>
            <rFont val="Times New Roman"/>
            <charset val="134"/>
          </rPr>
          <t xml:space="preserve">
</t>
        </r>
      </text>
    </comment>
    <comment ref="R36" authorId="0">
      <text>
        <r>
          <rPr>
            <sz val="9"/>
            <rFont val="Times New Roman"/>
            <charset val="134"/>
          </rPr>
          <t>JAM 12.42 IZIN PULANG CEPAT</t>
        </r>
      </text>
    </comment>
    <comment ref="L38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AG43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J45" authorId="0">
      <text>
        <r>
          <rPr>
            <b/>
            <sz val="9"/>
            <rFont val="Times New Roman"/>
            <charset val="134"/>
          </rPr>
          <t xml:space="preserve">pulang lebih awal
</t>
        </r>
        <r>
          <rPr>
            <sz val="9"/>
            <rFont val="Times New Roman"/>
            <charset val="134"/>
          </rPr>
          <t xml:space="preserve">
</t>
        </r>
      </text>
    </comment>
    <comment ref="Z46" authorId="0">
      <text>
        <r>
          <rPr>
            <b/>
            <sz val="9"/>
            <rFont val="Times New Roman"/>
            <charset val="134"/>
          </rPr>
          <t>ayahnya kecelakaan</t>
        </r>
        <r>
          <rPr>
            <sz val="9"/>
            <rFont val="Times New Roman"/>
            <charset val="134"/>
          </rPr>
          <t xml:space="preserve">
</t>
        </r>
      </text>
    </comment>
    <comment ref="AA47" authorId="0">
      <text>
        <r>
          <rPr>
            <b/>
            <sz val="9"/>
            <rFont val="Times New Roman"/>
            <charset val="134"/>
          </rPr>
          <t>Pulang awal jam 12</t>
        </r>
        <r>
          <rPr>
            <sz val="9"/>
            <rFont val="Times New Roman"/>
            <charset val="134"/>
          </rPr>
          <t xml:space="preserve">
</t>
        </r>
      </text>
    </comment>
    <comment ref="P48" authorId="0">
      <text>
        <r>
          <rPr>
            <sz val="9"/>
            <rFont val="Times New Roman"/>
            <charset val="134"/>
          </rPr>
          <t xml:space="preserve">saudara meninggal
</t>
        </r>
      </text>
    </comment>
    <comment ref="X55" authorId="0">
      <text>
        <r>
          <rPr>
            <b/>
            <sz val="9"/>
            <rFont val="Times New Roman"/>
            <charset val="134"/>
          </rPr>
          <t>IZIN PULANG AWAL</t>
        </r>
        <r>
          <rPr>
            <sz val="9"/>
            <rFont val="Times New Roman"/>
            <charset val="134"/>
          </rPr>
          <t xml:space="preserve">
</t>
        </r>
      </text>
    </comment>
    <comment ref="AA61" authorId="0">
      <text>
        <r>
          <rPr>
            <b/>
            <sz val="9"/>
            <rFont val="Times New Roman"/>
            <charset val="134"/>
          </rPr>
          <t>IZIN pulang lbh awal</t>
        </r>
        <r>
          <rPr>
            <sz val="9"/>
            <rFont val="Times New Roman"/>
            <charset val="134"/>
          </rPr>
          <t xml:space="preserve">
</t>
        </r>
      </text>
    </comment>
    <comment ref="Q65" authorId="0">
      <text>
        <r>
          <rPr>
            <b/>
            <sz val="9"/>
            <rFont val="Times New Roman"/>
            <charset val="134"/>
          </rPr>
          <t>PIPIT PULANG AWAL JAM 21.00</t>
        </r>
        <r>
          <rPr>
            <sz val="9"/>
            <rFont val="Times New Roman"/>
            <charset val="134"/>
          </rPr>
          <t xml:space="preserve">
</t>
        </r>
      </text>
    </comment>
    <comment ref="K70" authorId="0">
      <text>
        <r>
          <rPr>
            <b/>
            <sz val="9"/>
            <rFont val="Times New Roman"/>
            <charset val="134"/>
          </rPr>
          <t>sakit, pulang awal jam 11.15</t>
        </r>
        <r>
          <rPr>
            <sz val="9"/>
            <rFont val="Times New Roman"/>
            <charset val="134"/>
          </rPr>
          <t xml:space="preserve">
</t>
        </r>
      </text>
    </comment>
    <comment ref="AE78" authorId="0">
      <text>
        <r>
          <rPr>
            <sz val="9"/>
            <rFont val="Times New Roman"/>
            <charset val="134"/>
          </rPr>
          <t xml:space="preserve">pulang awal
</t>
        </r>
      </text>
    </comment>
    <comment ref="AC97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Q97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  <comment ref="T104" authorId="0">
      <text>
        <r>
          <rPr>
            <sz val="9"/>
            <rFont val="Times New Roman"/>
            <charset val="134"/>
          </rPr>
          <t xml:space="preserve">pulang lbh awal
</t>
        </r>
      </text>
    </comment>
    <comment ref="N119" authorId="0">
      <text>
        <r>
          <rPr>
            <b/>
            <sz val="9"/>
            <rFont val="Times New Roman"/>
            <charset val="134"/>
          </rPr>
          <t>kakek meninggal</t>
        </r>
        <r>
          <rPr>
            <sz val="9"/>
            <rFont val="Times New Roman"/>
            <charset val="134"/>
          </rPr>
          <t xml:space="preserve">
</t>
        </r>
      </text>
    </comment>
    <comment ref="S119" authorId="0">
      <text>
        <r>
          <rPr>
            <b/>
            <sz val="9"/>
            <rFont val="Times New Roman"/>
            <charset val="134"/>
          </rPr>
          <t>PULang lebih awal jam 21.15</t>
        </r>
        <r>
          <rPr>
            <sz val="9"/>
            <rFont val="Times New Roman"/>
            <charset val="134"/>
          </rPr>
          <t xml:space="preserve">
</t>
        </r>
      </text>
    </comment>
    <comment ref="E138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U159" authorId="0">
      <text>
        <r>
          <rPr>
            <b/>
            <sz val="9"/>
            <rFont val="Times New Roman"/>
            <charset val="134"/>
          </rPr>
          <t>PULANG AWAL</t>
        </r>
        <r>
          <rPr>
            <sz val="9"/>
            <rFont val="Times New Roman"/>
            <charset val="134"/>
          </rPr>
          <t xml:space="preserve">
</t>
        </r>
      </text>
    </comment>
    <comment ref="AE164" authorId="0">
      <text>
        <r>
          <rPr>
            <b/>
            <sz val="9"/>
            <rFont val="Times New Roman"/>
            <charset val="134"/>
          </rPr>
          <t>ACARA KELUARGA</t>
        </r>
        <r>
          <rPr>
            <sz val="9"/>
            <rFont val="Times New Roman"/>
            <charset val="134"/>
          </rPr>
          <t xml:space="preserve">
</t>
        </r>
      </text>
    </comment>
    <comment ref="AL172" authorId="0">
      <text>
        <r>
          <rPr>
            <b/>
            <sz val="9"/>
            <rFont val="Times New Roman"/>
            <charset val="134"/>
          </rPr>
          <t>izin setengah hari</t>
        </r>
        <r>
          <rPr>
            <sz val="9"/>
            <rFont val="Times New Roman"/>
            <charset val="134"/>
          </rPr>
          <t xml:space="preserve">
</t>
        </r>
      </text>
    </comment>
    <comment ref="AM172" authorId="0">
      <text>
        <r>
          <rPr>
            <b/>
            <sz val="9"/>
            <rFont val="Times New Roman"/>
            <charset val="134"/>
          </rPr>
          <t>izin setengah hari</t>
        </r>
        <r>
          <rPr>
            <sz val="9"/>
            <rFont val="Times New Roman"/>
            <charset val="134"/>
          </rPr>
          <t xml:space="preserve">
</t>
        </r>
      </text>
    </comment>
    <comment ref="AH183" authorId="0">
      <text>
        <r>
          <rPr>
            <b/>
            <sz val="9"/>
            <rFont val="Times New Roman"/>
            <charset val="134"/>
          </rPr>
          <t xml:space="preserve">Pulang awal
</t>
        </r>
        <r>
          <rPr>
            <sz val="9"/>
            <rFont val="Times New Roman"/>
            <charset val="134"/>
          </rPr>
          <t xml:space="preserve">
</t>
        </r>
      </text>
    </comment>
    <comment ref="P185" authorId="0">
      <text>
        <r>
          <rPr>
            <b/>
            <sz val="9"/>
            <rFont val="Times New Roman"/>
            <charset val="134"/>
          </rPr>
          <t>PULANG lebih awal jam 21.11</t>
        </r>
        <r>
          <rPr>
            <sz val="9"/>
            <rFont val="Times New Roman"/>
            <charset val="134"/>
          </rPr>
          <t xml:space="preserve">
</t>
        </r>
      </text>
    </comment>
    <comment ref="G187" authorId="0">
      <text>
        <r>
          <rPr>
            <b/>
            <sz val="9"/>
            <rFont val="Times New Roman"/>
            <charset val="134"/>
          </rPr>
          <t>ANAK SAKIT</t>
        </r>
        <r>
          <rPr>
            <sz val="9"/>
            <rFont val="Times New Roman"/>
            <charset val="134"/>
          </rPr>
          <t xml:space="preserve">
</t>
        </r>
      </text>
    </comment>
    <comment ref="N188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W194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F198" authorId="0">
      <text>
        <r>
          <rPr>
            <b/>
            <sz val="9"/>
            <rFont val="Times New Roman"/>
            <charset val="134"/>
          </rPr>
          <t>Izin 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AE209" authorId="0">
      <text>
        <r>
          <rPr>
            <b/>
            <sz val="9"/>
            <rFont val="Times New Roman"/>
            <charset val="134"/>
          </rPr>
          <t>Pulang lebih awal</t>
        </r>
        <r>
          <rPr>
            <sz val="9"/>
            <rFont val="Times New Roman"/>
            <charset val="134"/>
          </rPr>
          <t xml:space="preserve">
</t>
        </r>
      </text>
    </comment>
    <comment ref="I214" authorId="0">
      <text>
        <r>
          <rPr>
            <b/>
            <sz val="9"/>
            <rFont val="Times New Roman"/>
            <charset val="134"/>
          </rPr>
          <t>kakak ipar meninggal</t>
        </r>
        <r>
          <rPr>
            <sz val="9"/>
            <rFont val="Times New Roman"/>
            <charset val="134"/>
          </rPr>
          <t xml:space="preserve">
</t>
        </r>
      </text>
    </comment>
    <comment ref="Q214" authorId="0">
      <text>
        <r>
          <rPr>
            <b/>
            <sz val="9"/>
            <rFont val="Times New Roman"/>
            <charset val="134"/>
          </rPr>
          <t>Anak sakit</t>
        </r>
        <r>
          <rPr>
            <sz val="9"/>
            <rFont val="Times New Roman"/>
            <charset val="134"/>
          </rPr>
          <t xml:space="preserve">
</t>
        </r>
      </text>
    </comment>
    <comment ref="W214" authorId="0">
      <text>
        <r>
          <rPr>
            <b/>
            <sz val="9"/>
            <rFont val="Times New Roman"/>
            <charset val="134"/>
          </rPr>
          <t>izin pulang cepat adik meninggal</t>
        </r>
        <r>
          <rPr>
            <sz val="9"/>
            <rFont val="Times New Roman"/>
            <charset val="134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ipp2</author>
    <author>IPP 2</author>
  </authors>
  <commentList>
    <comment ref="I61" authorId="0">
      <text>
        <r>
          <rPr>
            <b/>
            <sz val="9"/>
            <rFont val="Times New Roman"/>
            <charset val="134"/>
          </rPr>
          <t>izin pulang cepat JAM 23.00</t>
        </r>
        <r>
          <rPr>
            <sz val="9"/>
            <rFont val="Times New Roman"/>
            <charset val="134"/>
          </rPr>
          <t xml:space="preserve">
</t>
        </r>
      </text>
    </comment>
    <comment ref="P61" authorId="1">
      <text>
        <r>
          <rPr>
            <sz val="11"/>
            <rFont val="Tahoma"/>
            <charset val="1"/>
          </rPr>
          <t xml:space="preserve">pulang awal
</t>
        </r>
      </text>
    </comment>
    <comment ref="AI61" authorId="0">
      <text>
        <r>
          <rPr>
            <b/>
            <sz val="9"/>
            <rFont val="Times New Roman"/>
            <charset val="134"/>
          </rPr>
          <t>izin pulang cepat JAM 23.00</t>
        </r>
        <r>
          <rPr>
            <sz val="9"/>
            <rFont val="Times New Roman"/>
            <charset val="134"/>
          </rPr>
          <t xml:space="preserve">
</t>
        </r>
      </text>
    </comment>
    <comment ref="AM97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</commentList>
</comments>
</file>

<file path=xl/comments12.xml><?xml version="1.0" encoding="utf-8"?>
<comments xmlns="http://schemas.openxmlformats.org/spreadsheetml/2006/main">
  <authors>
    <author>ipp2</author>
  </authors>
  <commentList>
    <comment ref="AK96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</commentList>
</comments>
</file>

<file path=xl/comments13.xml><?xml version="1.0" encoding="utf-8"?>
<comments xmlns="http://schemas.openxmlformats.org/spreadsheetml/2006/main">
  <authors>
    <author>ipp2</author>
  </authors>
  <commentList>
    <comment ref="AJ92" authorId="0">
      <text>
        <r>
          <rPr>
            <sz val="9"/>
            <rFont val="Times New Roman"/>
            <charset val="134"/>
          </rPr>
          <t xml:space="preserve">ADENG MAULANA IZIN KAKEK MENINGGAL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<sst xmlns="http://schemas.openxmlformats.org/spreadsheetml/2006/main" count="10912" uniqueCount="780">
  <si>
    <t>NO</t>
  </si>
  <si>
    <t>NAMA</t>
  </si>
  <si>
    <t>Departemen</t>
  </si>
  <si>
    <t>Lama Kerja</t>
  </si>
  <si>
    <t>TANGGAL</t>
  </si>
  <si>
    <t>KETERANGAN</t>
  </si>
  <si>
    <t>TOTAL</t>
  </si>
  <si>
    <t>JADWAL KONSELING</t>
  </si>
  <si>
    <t>PLAN</t>
  </si>
  <si>
    <t>PERSEN</t>
  </si>
  <si>
    <t>H</t>
  </si>
  <si>
    <t>S</t>
  </si>
  <si>
    <t>I</t>
  </si>
  <si>
    <t>A</t>
  </si>
  <si>
    <t>OFF</t>
  </si>
  <si>
    <t>Indra</t>
  </si>
  <si>
    <t>PRODUCTION</t>
  </si>
  <si>
    <t>Zahra Juliane</t>
  </si>
  <si>
    <t>Sudah konseling ( dalam pengawasan)</t>
  </si>
  <si>
    <t>M. Uus</t>
  </si>
  <si>
    <t>W/H</t>
  </si>
  <si>
    <t>Sopiyah</t>
  </si>
  <si>
    <t>Rolinah</t>
  </si>
  <si>
    <t>Dea Amelia</t>
  </si>
  <si>
    <t>Saepuloh</t>
  </si>
  <si>
    <t>belum konseling  (dalam pengawasan)</t>
  </si>
  <si>
    <t>Dewi Sri Rahayu</t>
  </si>
  <si>
    <t>Afrizal Maulana hakim</t>
  </si>
  <si>
    <t>Dani Prasetyo</t>
  </si>
  <si>
    <t>Ima Kurnia Dewi</t>
  </si>
  <si>
    <t>Siti Aisyah</t>
  </si>
  <si>
    <t>Nursita Dewi</t>
  </si>
  <si>
    <t>Muhidin</t>
  </si>
  <si>
    <t>Isah Puspita Sari</t>
  </si>
  <si>
    <t>Gitalis Dwi Natarina</t>
  </si>
  <si>
    <t>Ovalinda Septiani Aulia</t>
  </si>
  <si>
    <t>M. Farhan</t>
  </si>
  <si>
    <t>putri</t>
  </si>
  <si>
    <t>Liesnawati</t>
  </si>
  <si>
    <t>Selvia Apriliani</t>
  </si>
  <si>
    <t>s</t>
  </si>
  <si>
    <t>Nopal</t>
  </si>
  <si>
    <t>16-sept-2025</t>
  </si>
  <si>
    <t>Aldi Yatna Saputra</t>
  </si>
  <si>
    <t>Abdul Azis</t>
  </si>
  <si>
    <t>Syamsul Ma'ruf Amar Sena</t>
  </si>
  <si>
    <t>Muhammad Reza Jaelani</t>
  </si>
  <si>
    <t>Ikbal</t>
  </si>
  <si>
    <t>Afif Sobari</t>
  </si>
  <si>
    <t>Deri Aryandi</t>
  </si>
  <si>
    <t>Gita</t>
  </si>
  <si>
    <t>Nabila SyakiP</t>
  </si>
  <si>
    <t>Amung</t>
  </si>
  <si>
    <t>Jaira Alfiraz</t>
  </si>
  <si>
    <t>Rizky Ayudia Pramesti</t>
  </si>
  <si>
    <t>Putri Aprillia</t>
  </si>
  <si>
    <t>Siti Mariam</t>
  </si>
  <si>
    <t>Ermi Mita Wuarlela</t>
  </si>
  <si>
    <t>Aldi</t>
  </si>
  <si>
    <t>QA/QC</t>
  </si>
  <si>
    <t>Widia Astuti</t>
  </si>
  <si>
    <t>DELIVERY</t>
  </si>
  <si>
    <t>Melawati Hasanah</t>
  </si>
  <si>
    <t>Saparuddin Nasution</t>
  </si>
  <si>
    <t>Misnan</t>
  </si>
  <si>
    <t>Wafa Hanifah</t>
  </si>
  <si>
    <t>Muhammad Fazri</t>
  </si>
  <si>
    <t>Debora Aska yosepha siburian</t>
  </si>
  <si>
    <t>Rossa Anandita</t>
  </si>
  <si>
    <t>Rosidik</t>
  </si>
  <si>
    <t>Angga Aflaha harahap</t>
  </si>
  <si>
    <t>Erliana Lestari</t>
  </si>
  <si>
    <t>Fahmi Aroby</t>
  </si>
  <si>
    <t>Muhamad ali wapa sadili</t>
  </si>
  <si>
    <t>Muhammad Fadel</t>
  </si>
  <si>
    <t>Muhammad Daffa Al Bariq</t>
  </si>
  <si>
    <t>Wina Yuningsih</t>
  </si>
  <si>
    <t>Pipit Amelia</t>
  </si>
  <si>
    <t>Piki Sapari</t>
  </si>
  <si>
    <t>Dita Widawati</t>
  </si>
  <si>
    <t>Barkah</t>
  </si>
  <si>
    <t>Sinta Apriani</t>
  </si>
  <si>
    <t>Cicih</t>
  </si>
  <si>
    <t>Siti Latipah</t>
  </si>
  <si>
    <t>Aisyah Qurrota Ainy</t>
  </si>
  <si>
    <t>Siti Aminah</t>
  </si>
  <si>
    <t>Susanti Sulistiawati</t>
  </si>
  <si>
    <t>Halimatussa'diah</t>
  </si>
  <si>
    <t>Asanudin</t>
  </si>
  <si>
    <t>Abu Bakar Sidik</t>
  </si>
  <si>
    <t>Jaris Akbar Subagja</t>
  </si>
  <si>
    <t>Niko Rosalina</t>
  </si>
  <si>
    <t>Eka Sukma Hadi</t>
  </si>
  <si>
    <t>Mochammad emal maulana</t>
  </si>
  <si>
    <t>Multini</t>
  </si>
  <si>
    <t>Delvita Safitri</t>
  </si>
  <si>
    <t>Nurul Fatimah</t>
  </si>
  <si>
    <t>Mumin Mukhlis</t>
  </si>
  <si>
    <t>Zaenab Azahra</t>
  </si>
  <si>
    <t>Ahmad Arif Fathoni</t>
  </si>
  <si>
    <t>Firdaus Fauzi</t>
  </si>
  <si>
    <t>Maintenance</t>
  </si>
  <si>
    <t>Irma MarIyani</t>
  </si>
  <si>
    <t>i</t>
  </si>
  <si>
    <t>Titin Patimah</t>
  </si>
  <si>
    <t>Rian Abdiwibawa</t>
  </si>
  <si>
    <t>Haris Mulyana</t>
  </si>
  <si>
    <t>Nendi Ramdani</t>
  </si>
  <si>
    <t>NPD</t>
  </si>
  <si>
    <t>Suhendra</t>
  </si>
  <si>
    <t>Badrudin</t>
  </si>
  <si>
    <t>JANITOR</t>
  </si>
  <si>
    <t>0Tahun1 Bulan</t>
  </si>
  <si>
    <t>Farel Achmadinata</t>
  </si>
  <si>
    <t>Rika Amalia</t>
  </si>
  <si>
    <t>Iklimah Cahyani</t>
  </si>
  <si>
    <t>M Uus</t>
  </si>
  <si>
    <t>Syamsul Maruf Amar Sena</t>
  </si>
  <si>
    <t>RESIGN TGL 20 OCT 2025</t>
  </si>
  <si>
    <t>Halimatussadiah</t>
  </si>
  <si>
    <t>9/10/2025 office plant 1</t>
  </si>
  <si>
    <t>Rian Abdi wibawa</t>
  </si>
  <si>
    <t>Adeng Maulana</t>
  </si>
  <si>
    <t>Junaedi</t>
  </si>
  <si>
    <t>SCURITY</t>
  </si>
  <si>
    <t>2/10/2025  OFFICE PLANT 1</t>
  </si>
  <si>
    <t>Nur Alisah</t>
  </si>
  <si>
    <t>Yadi</t>
  </si>
  <si>
    <t>istri sedang di rawat di rumah sakit</t>
  </si>
  <si>
    <t>Edriansyah maulana</t>
  </si>
  <si>
    <t>Muhammad Rio Aji pratama</t>
  </si>
  <si>
    <t>QC</t>
  </si>
  <si>
    <t>Niken Ayu</t>
  </si>
  <si>
    <t>Rini antika</t>
  </si>
  <si>
    <t>Syifa Fauzia Arofi</t>
  </si>
  <si>
    <t xml:space="preserve">Fahmi </t>
  </si>
  <si>
    <t>2Tahun4 Bulan</t>
  </si>
  <si>
    <t>Siti halimah</t>
  </si>
  <si>
    <t>Ilham ardiansyah</t>
  </si>
  <si>
    <t>Nursidawati</t>
  </si>
  <si>
    <t>Ajay ahmad zaenudin</t>
  </si>
  <si>
    <t>Rio praitno</t>
  </si>
  <si>
    <t>Amir Saputra</t>
  </si>
  <si>
    <t>Andri</t>
  </si>
  <si>
    <t>Nendi hidayat</t>
  </si>
  <si>
    <t>Akmal Farizal</t>
  </si>
  <si>
    <t>Omsah olivianti</t>
  </si>
  <si>
    <t>Aji anggoro pandu raeno</t>
  </si>
  <si>
    <t>Muhammad Al zamri</t>
  </si>
  <si>
    <t>Alya Rosita</t>
  </si>
  <si>
    <t>Fitri Ramdani</t>
  </si>
  <si>
    <t>Muhammad diki</t>
  </si>
  <si>
    <t>Muhamad ma'mun virmansyah</t>
  </si>
  <si>
    <t>0Tahun9 Bulan</t>
  </si>
  <si>
    <t>Rafiqold zaidan hermawan</t>
  </si>
  <si>
    <t>Jamaludin</t>
  </si>
  <si>
    <t>Izin pulang cepat,saudara meninggal</t>
  </si>
  <si>
    <t>Ujang Wijaya</t>
  </si>
  <si>
    <t>Faizal Nur Ahmad</t>
  </si>
  <si>
    <t>Angga bayu Pamungkas</t>
  </si>
  <si>
    <t>Riko Maulana</t>
  </si>
  <si>
    <t>Lukman Hakim</t>
  </si>
  <si>
    <t>M.Bayu Paryogi</t>
  </si>
  <si>
    <t>0Tahun7 Bulan</t>
  </si>
  <si>
    <t>Ilham Maulana</t>
  </si>
  <si>
    <t>LOGISTIK</t>
  </si>
  <si>
    <t>KECELAKAAN</t>
  </si>
  <si>
    <t xml:space="preserve"> sakit Pulang cepat  jam 01.00</t>
  </si>
  <si>
    <t>Radang tenggorokan kronis Sudah konseling ( dalam pengawasan)</t>
  </si>
  <si>
    <t>Sakit ( 19-21 nov)</t>
  </si>
  <si>
    <t>SAKIT TIDAK ADA SURDOK</t>
  </si>
  <si>
    <t>tanpa keterangan</t>
  </si>
  <si>
    <t>sakit ( blm ada surdok nya)</t>
  </si>
  <si>
    <t>5/11/2025 RUANG METING PLANT 2</t>
  </si>
  <si>
    <t>surdok menyusul ,belum konseling  (dalam pengawasan)</t>
  </si>
  <si>
    <t>SAKIT GIGI BENGKAK</t>
  </si>
  <si>
    <t>Hendra Fadli</t>
  </si>
  <si>
    <t>Wahyu Royan Fauzi</t>
  </si>
  <si>
    <t>0Tahun0 Bulan</t>
  </si>
  <si>
    <t>Sad Naufal Singo</t>
  </si>
  <si>
    <t>0Tahun2 Bulan</t>
  </si>
  <si>
    <t>Ayu Nur Fadilah</t>
  </si>
  <si>
    <t>Rismawati</t>
  </si>
  <si>
    <t>Syahril sidik</t>
  </si>
  <si>
    <t>Handika tri chandra</t>
  </si>
  <si>
    <t>Ilma Delima Ramadhani</t>
  </si>
  <si>
    <t>Arga wirayuda</t>
  </si>
  <si>
    <t>Fidiya dwi meliyawati</t>
  </si>
  <si>
    <t>Ika Retno safitri</t>
  </si>
  <si>
    <t>Fauzi</t>
  </si>
  <si>
    <t>M hikmal Al Akbar</t>
  </si>
  <si>
    <t>Fitri</t>
  </si>
  <si>
    <t>izin urus dokumen pribadi ,belum konseling  (dalam pengawasan)</t>
  </si>
  <si>
    <t>SAKIT</t>
  </si>
  <si>
    <t>IZIN</t>
  </si>
  <si>
    <t>ALPA</t>
  </si>
  <si>
    <t>1Tahun1 Bulan</t>
  </si>
  <si>
    <r>
      <rPr>
        <sz val="11"/>
        <color theme="1"/>
        <rFont val="Cambria"/>
        <charset val="134"/>
      </rPr>
      <t>izin</t>
    </r>
    <r>
      <rPr>
        <sz val="11"/>
        <color rgb="FFFF0000"/>
        <rFont val="Cambria"/>
        <charset val="134"/>
      </rPr>
      <t>,pembaharuan ktp</t>
    </r>
  </si>
  <si>
    <t>demam,meriang</t>
  </si>
  <si>
    <t>1Tahun 0 Bulan</t>
  </si>
  <si>
    <t>checkup</t>
  </si>
  <si>
    <r>
      <rPr>
        <sz val="11"/>
        <color theme="1"/>
        <rFont val="Cambria"/>
        <charset val="134"/>
      </rPr>
      <t xml:space="preserve">sakit </t>
    </r>
    <r>
      <rPr>
        <sz val="11"/>
        <color rgb="FFFF0000"/>
        <rFont val="Cambria"/>
        <charset val="134"/>
      </rPr>
      <t>( tdk ada surdok nya)</t>
    </r>
  </si>
  <si>
    <r>
      <rPr>
        <sz val="11"/>
        <color rgb="FFFF0000"/>
        <rFont val="Cambria"/>
        <charset val="134"/>
      </rPr>
      <t>sakit  (</t>
    </r>
    <r>
      <rPr>
        <sz val="11"/>
        <color theme="1"/>
        <rFont val="Cambria"/>
        <charset val="134"/>
      </rPr>
      <t>surdok menyusul)</t>
    </r>
  </si>
  <si>
    <t>1Tahun4Bulan</t>
  </si>
  <si>
    <r>
      <rPr>
        <sz val="11"/>
        <color theme="1"/>
        <rFont val="Cambria"/>
        <charset val="134"/>
      </rPr>
      <t>meriang,sakit gigi bengkak</t>
    </r>
    <r>
      <rPr>
        <sz val="11"/>
        <color rgb="FFFF0000"/>
        <rFont val="Cambria"/>
        <charset val="134"/>
      </rPr>
      <t xml:space="preserve">( tdk ada surdok) </t>
    </r>
  </si>
  <si>
    <t>0Tahun5 Bulan</t>
  </si>
  <si>
    <r>
      <rPr>
        <sz val="11"/>
        <color rgb="FFFF0000"/>
        <rFont val="Cambria"/>
        <charset val="134"/>
      </rPr>
      <t>sakit kaki bengkak,meriang(</t>
    </r>
    <r>
      <rPr>
        <sz val="11"/>
        <color theme="1"/>
        <rFont val="Cambria"/>
        <charset val="134"/>
      </rPr>
      <t>surdok menyusul)</t>
    </r>
  </si>
  <si>
    <r>
      <rPr>
        <sz val="11"/>
        <color theme="1"/>
        <rFont val="Cambria"/>
        <charset val="134"/>
      </rPr>
      <t xml:space="preserve">sakit tidak ada surdok </t>
    </r>
    <r>
      <rPr>
        <sz val="11"/>
        <color rgb="FFFF0000"/>
        <rFont val="Cambria"/>
        <charset val="134"/>
      </rPr>
      <t>demam,meriang</t>
    </r>
  </si>
  <si>
    <r>
      <rPr>
        <sz val="11"/>
        <color theme="1"/>
        <rFont val="Cambria"/>
        <charset val="134"/>
      </rPr>
      <t>izin ,</t>
    </r>
    <r>
      <rPr>
        <sz val="11"/>
        <color rgb="FFFF0000"/>
        <rFont val="Cambria"/>
        <charset val="134"/>
      </rPr>
      <t>anak sakit demam</t>
    </r>
  </si>
  <si>
    <t>Sakit</t>
  </si>
  <si>
    <t>Keperluan keluarga (  saudara menikah )</t>
  </si>
  <si>
    <t>MAINTENANCE</t>
  </si>
  <si>
    <t>1Tahun11Bulan</t>
  </si>
  <si>
    <r>
      <rPr>
        <sz val="11"/>
        <color theme="1"/>
        <rFont val="Cambria"/>
        <charset val="134"/>
      </rPr>
      <t xml:space="preserve"> </t>
    </r>
    <r>
      <rPr>
        <sz val="11"/>
        <color rgb="FFFF0000"/>
        <rFont val="Cambria"/>
        <charset val="134"/>
      </rPr>
      <t>demam,meriang</t>
    </r>
  </si>
  <si>
    <t>sakit tidak ada surdok</t>
  </si>
  <si>
    <t>0Tahun4 Bulan</t>
  </si>
  <si>
    <t>sakit ( tdk ada surdok nya)</t>
  </si>
  <si>
    <t>1Tahun2 Bulan</t>
  </si>
  <si>
    <r>
      <rPr>
        <sz val="11"/>
        <color theme="1"/>
        <rFont val="Cambria"/>
        <charset val="134"/>
      </rPr>
      <t>SAKIT</t>
    </r>
    <r>
      <rPr>
        <sz val="11"/>
        <color rgb="FFFF0000"/>
        <rFont val="Cambria"/>
        <charset val="134"/>
      </rPr>
      <t>, tdk ada surdok</t>
    </r>
  </si>
  <si>
    <t>0Tahun6 Bulan</t>
  </si>
  <si>
    <t>0Tahun18 Bulan</t>
  </si>
  <si>
    <r>
      <rPr>
        <sz val="11"/>
        <color theme="1"/>
        <rFont val="Cambria"/>
        <charset val="134"/>
      </rPr>
      <t>sakit</t>
    </r>
    <r>
      <rPr>
        <sz val="11"/>
        <color rgb="FFFF0000"/>
        <rFont val="Cambria"/>
        <charset val="134"/>
      </rPr>
      <t>,(tidak ada surdok)</t>
    </r>
  </si>
  <si>
    <t>IZIN ,ada keperluan mendadak</t>
  </si>
  <si>
    <r>
      <rPr>
        <sz val="11"/>
        <color theme="1"/>
        <rFont val="Cambria"/>
        <charset val="134"/>
      </rPr>
      <t>Sakit</t>
    </r>
    <r>
      <rPr>
        <sz val="11"/>
        <color rgb="FFFF0000"/>
        <rFont val="Cambria"/>
        <charset val="134"/>
      </rPr>
      <t>,pulang lebih awaL</t>
    </r>
  </si>
  <si>
    <t>sakit (tdk ada surdok nya )</t>
  </si>
  <si>
    <t>1Tahun17 Bulan</t>
  </si>
  <si>
    <r>
      <rPr>
        <sz val="11"/>
        <color theme="1"/>
        <rFont val="Cambria"/>
        <charset val="134"/>
      </rPr>
      <t>sakit</t>
    </r>
    <r>
      <rPr>
        <sz val="11"/>
        <color rgb="FFFF0000"/>
        <rFont val="Cambria"/>
        <charset val="134"/>
      </rPr>
      <t>,(ada surdok)</t>
    </r>
  </si>
  <si>
    <t>3Tahun0 Bulan</t>
  </si>
  <si>
    <t>sakit ( tidak ada surdok)</t>
  </si>
  <si>
    <t>1Tahun 10 Bulan</t>
  </si>
  <si>
    <r>
      <rPr>
        <sz val="11"/>
        <color theme="1"/>
        <rFont val="Cambria"/>
        <charset val="134"/>
      </rPr>
      <t xml:space="preserve">ada keperluan </t>
    </r>
    <r>
      <rPr>
        <sz val="11"/>
        <color rgb="FFFF0000"/>
        <rFont val="Cambria"/>
        <charset val="134"/>
      </rPr>
      <t>( tdk ada surat izin nya)</t>
    </r>
  </si>
  <si>
    <t>1Tahun3 Bulan</t>
  </si>
  <si>
    <r>
      <rPr>
        <sz val="11"/>
        <color theme="1"/>
        <rFont val="Cambria"/>
        <charset val="134"/>
      </rPr>
      <t>sakit</t>
    </r>
    <r>
      <rPr>
        <sz val="11"/>
        <color rgb="FFFF0000"/>
        <rFont val="Cambria"/>
        <charset val="134"/>
      </rPr>
      <t xml:space="preserve"> tidak ada surdok</t>
    </r>
    <r>
      <rPr>
        <sz val="11"/>
        <color theme="1"/>
        <rFont val="Cambria"/>
        <charset val="134"/>
      </rPr>
      <t xml:space="preserve"> </t>
    </r>
  </si>
  <si>
    <t>kakek sakit</t>
  </si>
  <si>
    <r>
      <rPr>
        <sz val="11"/>
        <color rgb="FFFF0000"/>
        <rFont val="Cambria"/>
        <charset val="134"/>
      </rPr>
      <t>sakit</t>
    </r>
    <r>
      <rPr>
        <sz val="11"/>
        <color theme="1"/>
        <rFont val="Cambria"/>
        <charset val="134"/>
      </rPr>
      <t xml:space="preserve"> ( haid)</t>
    </r>
  </si>
  <si>
    <t>DELIVERY ( suport deliv)</t>
  </si>
  <si>
    <t>1Tahun0 Bulan</t>
  </si>
  <si>
    <r>
      <rPr>
        <sz val="11"/>
        <color theme="1"/>
        <rFont val="Cambria"/>
        <charset val="134"/>
      </rPr>
      <t>sakit</t>
    </r>
    <r>
      <rPr>
        <sz val="11"/>
        <color rgb="FFFF0000"/>
        <rFont val="Cambria"/>
        <charset val="134"/>
      </rPr>
      <t xml:space="preserve"> ,tdk ada surdok</t>
    </r>
  </si>
  <si>
    <t>0Tahun3 Bulan</t>
  </si>
  <si>
    <t>sakit ( surdok ada)</t>
  </si>
  <si>
    <t>LOGISTIK (DRIVER)</t>
  </si>
  <si>
    <t>DELIVERY ( driver )</t>
  </si>
  <si>
    <t>0Tahun11 Bulan</t>
  </si>
  <si>
    <r>
      <rPr>
        <sz val="11"/>
        <color theme="1"/>
        <rFont val="Cambria"/>
        <charset val="134"/>
      </rPr>
      <t>sakit tidak ada surdok</t>
    </r>
    <r>
      <rPr>
        <sz val="11"/>
        <color rgb="FFFF0000"/>
        <rFont val="Cambria"/>
        <charset val="134"/>
      </rPr>
      <t>, sakit pinggang</t>
    </r>
  </si>
  <si>
    <r>
      <rPr>
        <sz val="11"/>
        <color rgb="FFFF0000"/>
        <rFont val="Cambria"/>
        <charset val="134"/>
      </rPr>
      <t>sakit</t>
    </r>
    <r>
      <rPr>
        <sz val="11"/>
        <color theme="1"/>
        <rFont val="Cambria"/>
        <charset val="134"/>
      </rPr>
      <t xml:space="preserve"> ( jatuh dari motor)</t>
    </r>
  </si>
  <si>
    <t>W/H ( material)</t>
  </si>
  <si>
    <t>pulang lebih awal</t>
  </si>
  <si>
    <t>Anggi riandi</t>
  </si>
  <si>
    <t>Naldi</t>
  </si>
  <si>
    <t>Mansur suryana</t>
  </si>
  <si>
    <t>1Tahun8 Bulan</t>
  </si>
  <si>
    <t>Jefri Saputra</t>
  </si>
  <si>
    <t>2Tahun3 Bulan</t>
  </si>
  <si>
    <t>Feby Marbun</t>
  </si>
  <si>
    <r>
      <rPr>
        <sz val="11"/>
        <color theme="1"/>
        <rFont val="Cambria"/>
        <charset val="134"/>
      </rPr>
      <t>sakit tidak ada surdok,</t>
    </r>
    <r>
      <rPr>
        <sz val="11"/>
        <color rgb="FFFF0000"/>
        <rFont val="Cambria"/>
        <charset val="134"/>
      </rPr>
      <t>demam,meriang</t>
    </r>
  </si>
  <si>
    <t>Rini Rosmayanti</t>
  </si>
  <si>
    <t>Rofiqold Zaidan Hermawan</t>
  </si>
  <si>
    <t>1Tahun4 Bulan</t>
  </si>
  <si>
    <t xml:space="preserve">Dewi ratna sari </t>
  </si>
  <si>
    <t>OpikMaulana Yusup</t>
  </si>
  <si>
    <t>W/H ( WIP/FG)</t>
  </si>
  <si>
    <r>
      <rPr>
        <sz val="11"/>
        <color theme="1"/>
        <rFont val="Cambria"/>
        <charset val="134"/>
      </rPr>
      <t>sakit pinggang  dll</t>
    </r>
    <r>
      <rPr>
        <sz val="11"/>
        <color rgb="FFFF0000"/>
        <rFont val="Cambria"/>
        <charset val="134"/>
      </rPr>
      <t xml:space="preserve"> ( tidak  ada surdok)</t>
    </r>
  </si>
  <si>
    <t>Wandi setiawan</t>
  </si>
  <si>
    <t>LOGISTIK (helper)</t>
  </si>
  <si>
    <t>kakek meninggal</t>
  </si>
  <si>
    <t>1Tahun 1 Bulan</t>
  </si>
  <si>
    <t>0Tahun10 Bulan</t>
  </si>
  <si>
    <t>0Tahun8 Bulan</t>
  </si>
  <si>
    <t>2Tahun7 Bulan</t>
  </si>
  <si>
    <t>tahlilan 7 hari nenek meninggal</t>
  </si>
  <si>
    <r>
      <rPr>
        <sz val="11"/>
        <color rgb="FFFF0000"/>
        <rFont val="Cambria"/>
        <charset val="134"/>
      </rPr>
      <t>sakit</t>
    </r>
    <r>
      <rPr>
        <sz val="11"/>
        <color theme="1"/>
        <rFont val="Cambria"/>
        <charset val="134"/>
      </rPr>
      <t xml:space="preserve"> (  ada surdok)</t>
    </r>
  </si>
  <si>
    <t>1Tahun7 Bulan</t>
  </si>
  <si>
    <t>sakit ( tidak ada surdok)  habis kontrak 30 jan 2026</t>
  </si>
  <si>
    <t>1Tahun6 Bulan</t>
  </si>
  <si>
    <t>3Tahun 10 Bulan</t>
  </si>
  <si>
    <t>sakit ( surdok menyusul)</t>
  </si>
  <si>
    <t>3Tahun1 Bulan</t>
  </si>
  <si>
    <t>1Tahun 11 Bulan</t>
  </si>
  <si>
    <t>sakit ( tidak ada surdok)  habis kontrak 07 Feb 2026</t>
  </si>
  <si>
    <t>1Tahun 6 Bulan</t>
  </si>
  <si>
    <t>Orang tua ( DI RAWAT, cuci darah )</t>
  </si>
  <si>
    <t>IZIN KAKEK MENINGGAL</t>
  </si>
  <si>
    <r>
      <rPr>
        <sz val="11"/>
        <color theme="1"/>
        <rFont val="Cambria"/>
        <charset val="134"/>
      </rPr>
      <t>ada surdok</t>
    </r>
    <r>
      <rPr>
        <sz val="11"/>
        <color rgb="FFFF0000"/>
        <rFont val="Cambria"/>
        <charset val="134"/>
      </rPr>
      <t xml:space="preserve"> ( sakit lambung )</t>
    </r>
  </si>
  <si>
    <t>Edah Jubaedah</t>
  </si>
  <si>
    <t>Ahmad valen divo setiawan</t>
  </si>
  <si>
    <t>W/H ( Crusher)</t>
  </si>
  <si>
    <t>Akmal Fauji Yanto</t>
  </si>
  <si>
    <t>Irma maryani</t>
  </si>
  <si>
    <t>3Tahun11 Bulan</t>
  </si>
  <si>
    <t>Maryamah</t>
  </si>
  <si>
    <t>Arianti Mustika</t>
  </si>
  <si>
    <t>Gilang</t>
  </si>
  <si>
    <t>Ega putri</t>
  </si>
  <si>
    <t>Yuli Nuraeni</t>
  </si>
  <si>
    <t>Bulan Purnamasari</t>
  </si>
  <si>
    <t>Erlangga saputra</t>
  </si>
  <si>
    <t>LOGISTIK ( Material )</t>
  </si>
  <si>
    <t>Tati  Sumarni</t>
  </si>
  <si>
    <t>2Tahun 6 Bulan</t>
  </si>
  <si>
    <t>sakit ( DI RAWAT )</t>
  </si>
  <si>
    <t>Ananda Nurkholifah</t>
  </si>
  <si>
    <t>1Tahun 9 Bulan</t>
  </si>
  <si>
    <t>surdok blm di kasih</t>
  </si>
  <si>
    <t>sakit Diare( tidak ada surdok)</t>
  </si>
  <si>
    <t>sakit ( CAMPAK)</t>
  </si>
  <si>
    <t xml:space="preserve">sakit </t>
  </si>
  <si>
    <t>3Tahun 1 Bulan</t>
  </si>
  <si>
    <t xml:space="preserve">istri sakit </t>
  </si>
  <si>
    <t>2Tahun5 Bulan</t>
  </si>
  <si>
    <t>belum buat surat izin</t>
  </si>
  <si>
    <t>0Tahun 11Bulan</t>
  </si>
  <si>
    <r>
      <rPr>
        <sz val="11"/>
        <color theme="1"/>
        <rFont val="Cambria"/>
        <charset val="134"/>
      </rPr>
      <t>Izin,</t>
    </r>
    <r>
      <rPr>
        <sz val="11"/>
        <color rgb="FFFF0000"/>
        <rFont val="Cambria"/>
        <charset val="134"/>
      </rPr>
      <t xml:space="preserve"> ( orangtua di rawat )</t>
    </r>
  </si>
  <si>
    <r>
      <rPr>
        <sz val="11"/>
        <color theme="1"/>
        <rFont val="Cambria"/>
        <charset val="134"/>
      </rPr>
      <t>Izin,</t>
    </r>
    <r>
      <rPr>
        <sz val="11"/>
        <color rgb="FFFF0000"/>
        <rFont val="Cambria"/>
        <charset val="134"/>
      </rPr>
      <t xml:space="preserve"> ( anak sakit )</t>
    </r>
  </si>
  <si>
    <t>0Tahun 9Bulan</t>
  </si>
  <si>
    <t>sakit meriang ( tidak ada surdok)</t>
  </si>
  <si>
    <t>surdok ada</t>
  </si>
  <si>
    <t xml:space="preserve"> </t>
  </si>
  <si>
    <r>
      <rPr>
        <sz val="11"/>
        <color rgb="FFFF0000"/>
        <rFont val="Cambria"/>
        <charset val="134"/>
      </rPr>
      <t xml:space="preserve">sakit </t>
    </r>
    <r>
      <rPr>
        <sz val="11"/>
        <color theme="1"/>
        <rFont val="Cambria"/>
        <charset val="134"/>
      </rPr>
      <t>( ada surdok)</t>
    </r>
  </si>
  <si>
    <t>Ahmad Fajar</t>
  </si>
  <si>
    <t>Yuli wulandari</t>
  </si>
  <si>
    <t>Refli Aditya</t>
  </si>
  <si>
    <t>LEADER PROD</t>
  </si>
  <si>
    <t>3Tahun2 Bulan</t>
  </si>
  <si>
    <t>Salman Alfarizi</t>
  </si>
  <si>
    <t>Sahrul Babu</t>
  </si>
  <si>
    <t>LEADER MAINT</t>
  </si>
  <si>
    <t>Adinda Putri</t>
  </si>
  <si>
    <t>Lutpia septyandini</t>
  </si>
  <si>
    <t>Sakit di rawat</t>
  </si>
  <si>
    <t>Harsono</t>
  </si>
  <si>
    <t>Helper</t>
  </si>
  <si>
    <t>Noval</t>
  </si>
  <si>
    <t>Adnan</t>
  </si>
  <si>
    <t>DRIVER</t>
  </si>
  <si>
    <t>Indra Erlangga</t>
  </si>
  <si>
    <t>M Rizki</t>
  </si>
  <si>
    <t>surdok menyusul</t>
  </si>
  <si>
    <t>surat izin blm ada</t>
  </si>
  <si>
    <t>1Tahun 2 Bulan</t>
  </si>
  <si>
    <t>PRODUCTION ( Leader)</t>
  </si>
  <si>
    <t>2Tahun8 Bulan</t>
  </si>
  <si>
    <t>1Tahun9Bulan</t>
  </si>
  <si>
    <t>4Tahun1Bulan</t>
  </si>
  <si>
    <t>sakit</t>
  </si>
  <si>
    <t>1Tahun5 Bulan</t>
  </si>
  <si>
    <t>sakit ( Ada surdok )</t>
  </si>
  <si>
    <t>2Tahun6 Bulan</t>
  </si>
  <si>
    <t>surdok sudah</t>
  </si>
  <si>
    <t>diare</t>
  </si>
  <si>
    <t>3Tahun1Bulan</t>
  </si>
  <si>
    <t>1Tahun9 Bulan</t>
  </si>
  <si>
    <t>asam lambung,diare</t>
  </si>
  <si>
    <t>1Tahun 8 Bulan</t>
  </si>
  <si>
    <t>Orang tua ( DI RAWAT)</t>
  </si>
  <si>
    <t>demam</t>
  </si>
  <si>
    <t>2Tahun10 Bulan</t>
  </si>
  <si>
    <t>0Tahun 10Bulan</t>
  </si>
  <si>
    <t>Logistik ( Helper )</t>
  </si>
  <si>
    <t>Wulandari</t>
  </si>
  <si>
    <t>Yuyun Anggraini</t>
  </si>
  <si>
    <t>Atikah hana wafiqah</t>
  </si>
  <si>
    <t>Meldi mudyawati</t>
  </si>
  <si>
    <t>sakit ulu hati,demam</t>
  </si>
  <si>
    <t>Muhammad Rizky</t>
  </si>
  <si>
    <t>Asep saepul busyfa</t>
  </si>
  <si>
    <t>Ahmad Muhaymin</t>
  </si>
  <si>
    <t>Bambang Erlangga</t>
  </si>
  <si>
    <t>M Dava Andrian</t>
  </si>
  <si>
    <t>Jeni Aprilia</t>
  </si>
  <si>
    <t>Ade Saputra</t>
  </si>
  <si>
    <t>LOGISTIK ( Wip )</t>
  </si>
  <si>
    <t>Malika Shahla Fuad</t>
  </si>
  <si>
    <t>Khuznul Amalia</t>
  </si>
  <si>
    <t>Asep budianto</t>
  </si>
  <si>
    <t>Suci</t>
  </si>
  <si>
    <t>Intan Dhevita</t>
  </si>
  <si>
    <t>Rizki Firmansyah</t>
  </si>
  <si>
    <t>Diki Maulana</t>
  </si>
  <si>
    <t xml:space="preserve">Sri Rahayu </t>
  </si>
  <si>
    <t xml:space="preserve">dlm perjalanan </t>
  </si>
  <si>
    <t>Surdok sudah</t>
  </si>
  <si>
    <t>1Tahun 3 Bulan</t>
  </si>
  <si>
    <t xml:space="preserve"> SAKIT (surdok menyusul)</t>
  </si>
  <si>
    <t>Sana Saputra</t>
  </si>
  <si>
    <t xml:space="preserve"> adik di rawat </t>
  </si>
  <si>
    <t>Fahmi Pratama</t>
  </si>
  <si>
    <t>Dirawat</t>
  </si>
  <si>
    <t>ASAM LAMBUNG</t>
  </si>
  <si>
    <t>SAKIT ( pulang lebih awal ) surdok menyusul</t>
  </si>
  <si>
    <t>anak sakit</t>
  </si>
  <si>
    <t>ke bank</t>
  </si>
  <si>
    <t>asam lambung</t>
  </si>
  <si>
    <t>3Tahun3 Bulan</t>
  </si>
  <si>
    <t>types</t>
  </si>
  <si>
    <t>2Tahun11 Bulan</t>
  </si>
  <si>
    <t>2Tahun1 Bulan</t>
  </si>
  <si>
    <t>Raden Muhamad Rifqi</t>
  </si>
  <si>
    <t>Nurul Afifah</t>
  </si>
  <si>
    <t xml:space="preserve"> SAKIT jatuh dari motor </t>
  </si>
  <si>
    <t>Anak Sakit</t>
  </si>
  <si>
    <t>Anak sakit</t>
  </si>
  <si>
    <t>0Tahu2 Bulan</t>
  </si>
  <si>
    <t>M Rafi Azhar</t>
  </si>
  <si>
    <t>Kecelakaan jatuh dari motor</t>
  </si>
  <si>
    <t>ANAK SAKIT</t>
  </si>
  <si>
    <t>Sahrul babu</t>
  </si>
  <si>
    <t>keperluan keluarga</t>
  </si>
  <si>
    <t>M reza wahyu</t>
  </si>
  <si>
    <t>Delon Krisdianto</t>
  </si>
  <si>
    <t>Marsya febriana</t>
  </si>
  <si>
    <t>Rama fadriyan</t>
  </si>
  <si>
    <t>3Tahun4 Bulan</t>
  </si>
  <si>
    <t>Ayub sunandar</t>
  </si>
  <si>
    <t>LOGISTIK ( DRIVER )</t>
  </si>
  <si>
    <t>2Tahun9 Bulan</t>
  </si>
  <si>
    <t>Nur Asyifa Metha Aulia</t>
  </si>
  <si>
    <t>Fery Kurniawan</t>
  </si>
  <si>
    <t>( orangtua di rawat)</t>
  </si>
  <si>
    <t>Reva Ryami'raj</t>
  </si>
  <si>
    <t>Sahrul raja abdul rohim</t>
  </si>
  <si>
    <t>0Tahun 0 Bulan</t>
  </si>
  <si>
    <t xml:space="preserve"> SAKIT  asam lambung(surdok menyusul)</t>
  </si>
  <si>
    <t>1Tahun8Bulan</t>
  </si>
  <si>
    <t xml:space="preserve"> SAKIT diare (surdok menyusul)</t>
  </si>
  <si>
    <t>sakit ,pulang awal(surdok menyusul)</t>
  </si>
  <si>
    <t>izin pulang cepat (ibadah ) yesus kristus</t>
  </si>
  <si>
    <t>1Tahun10Bulan</t>
  </si>
  <si>
    <t>sakit mata merah,bengkak,gatal (surdok menyusul)</t>
  </si>
  <si>
    <t>asam lambung ( SURDOK MENYUSUL )</t>
  </si>
  <si>
    <t>orang tua di rawat</t>
  </si>
  <si>
    <t xml:space="preserve"> SAKIT (surdok ADA)</t>
  </si>
  <si>
    <t>Motor mogok</t>
  </si>
  <si>
    <t>Siti Dwipayanti</t>
  </si>
  <si>
    <t>sakit demam (surdok menyusul)</t>
  </si>
  <si>
    <t>SAKIT pulang lebih awal</t>
  </si>
  <si>
    <t xml:space="preserve"> SAKIT demam (surdok menyusul)</t>
  </si>
  <si>
    <t>Wahyu Sukolaksono</t>
  </si>
  <si>
    <t>Sefti Maharani</t>
  </si>
  <si>
    <t xml:space="preserve"> SAKIT (surdok ada)</t>
  </si>
  <si>
    <t>Wiranti</t>
  </si>
  <si>
    <t>demam,meriang ( SURDOK MENYUSUL )</t>
  </si>
  <si>
    <t>SAKIT habis kontrak 30 juni 2026</t>
  </si>
  <si>
    <t>Dedi Gunawan</t>
  </si>
  <si>
    <t xml:space="preserve"> SAKIT asam lambung (surdok menyusul)</t>
  </si>
  <si>
    <t>Damin Yusup</t>
  </si>
  <si>
    <t>M Nabil</t>
  </si>
  <si>
    <t xml:space="preserve"> sakit,pulang awal (surdok menyusul)</t>
  </si>
  <si>
    <t>alpa hbs kontrak 4 juni 2026</t>
  </si>
  <si>
    <t>Delivery ( helper)</t>
  </si>
  <si>
    <t>Acara keluarga</t>
  </si>
  <si>
    <t>Ferdi ardiansah</t>
  </si>
  <si>
    <t>Luthfi Alfaridzi</t>
  </si>
  <si>
    <t>Farhan fery agasty</t>
  </si>
  <si>
    <t>Teguh Restyana</t>
  </si>
  <si>
    <t>Dwi Wahyu</t>
  </si>
  <si>
    <t>Evi Faradina</t>
  </si>
  <si>
    <t>Yogi Yusnandar</t>
  </si>
  <si>
    <t>IZIN, ( orangtua di rawat )</t>
  </si>
  <si>
    <t>Alga Putra Nugraha</t>
  </si>
  <si>
    <t xml:space="preserve"> SAKIT  asam lambung</t>
  </si>
  <si>
    <t>SAKIT ( dirawat )</t>
  </si>
  <si>
    <t>2Tahun 9 Bulan</t>
  </si>
  <si>
    <t>Selvia Citra Lestari</t>
  </si>
  <si>
    <t>QC (Incoming)</t>
  </si>
  <si>
    <t>Yunianty latifah</t>
  </si>
  <si>
    <t>Amanda anatasya</t>
  </si>
  <si>
    <t>izin ( AYAH KECELAKAAN )</t>
  </si>
  <si>
    <t xml:space="preserve"> SAKIT MAAG</t>
  </si>
  <si>
    <t>Ahiva putri rafifah</t>
  </si>
  <si>
    <t>Muhammad Syafik</t>
  </si>
  <si>
    <t xml:space="preserve"> SAKIT demam</t>
  </si>
  <si>
    <t>Sevina Akhmad</t>
  </si>
  <si>
    <t>0Tahun 0Bulan</t>
  </si>
  <si>
    <t>Syahrul saeful azis</t>
  </si>
  <si>
    <t>Diah nur afifah</t>
  </si>
  <si>
    <t>SAKIT ( Tangan bengkak )</t>
  </si>
  <si>
    <t>3Tahun 7 Bulan</t>
  </si>
  <si>
    <t>Rian Saputra</t>
  </si>
  <si>
    <t>Cici ratih</t>
  </si>
  <si>
    <t>Devi kartika sari</t>
  </si>
  <si>
    <t>Dhea fita</t>
  </si>
  <si>
    <t>Lilis khoirunisa</t>
  </si>
  <si>
    <t>Annisa wulan natasha</t>
  </si>
  <si>
    <t>Yuda</t>
  </si>
  <si>
    <t>4Tahun11 Bulan</t>
  </si>
  <si>
    <t>Irmawati</t>
  </si>
  <si>
    <t>Elis Puspitasari</t>
  </si>
  <si>
    <t>Sinta Lestari</t>
  </si>
  <si>
    <t>Nadila Khoerurroviqoh</t>
  </si>
  <si>
    <t>Desti Nuraini</t>
  </si>
  <si>
    <t>Dini Maryani</t>
  </si>
  <si>
    <t>M Nur Faisal</t>
  </si>
  <si>
    <t>Ariel wahyu</t>
  </si>
  <si>
    <t>Fikri M Riswan</t>
  </si>
  <si>
    <t>Ananda amelia putri</t>
  </si>
  <si>
    <t>Krisdayanto</t>
  </si>
  <si>
    <t>Baguss Rommy hermawan</t>
  </si>
  <si>
    <t>adik meninggal</t>
  </si>
  <si>
    <t>Resti</t>
  </si>
  <si>
    <t>Renaldi</t>
  </si>
  <si>
    <t>izin ( keperluan keluarga )</t>
  </si>
  <si>
    <t>Carissa tansi</t>
  </si>
  <si>
    <t xml:space="preserve">Omang </t>
  </si>
  <si>
    <t>1Tahun11 Bulan</t>
  </si>
  <si>
    <t>Sevira akhmad</t>
  </si>
  <si>
    <t>1Tahun10 Bulan</t>
  </si>
  <si>
    <t>4Tahun6 Bulan</t>
  </si>
  <si>
    <t>M rajib</t>
  </si>
  <si>
    <t>3Tahun10 Bulan</t>
  </si>
  <si>
    <t>3Tahun7 Bulan</t>
  </si>
  <si>
    <t>Kuswandi</t>
  </si>
  <si>
    <t>Logistik (Drifer )</t>
  </si>
  <si>
    <t>Andiny Rachmawati putri</t>
  </si>
  <si>
    <t>Muhaimin</t>
  </si>
  <si>
    <t>Yesi nurfarha</t>
  </si>
  <si>
    <t>2Tahun0 Bulan</t>
  </si>
  <si>
    <t>Marta</t>
  </si>
  <si>
    <t>Farid Prizky</t>
  </si>
  <si>
    <t>Joan Valevi</t>
  </si>
  <si>
    <t>Fitrah Maudy</t>
  </si>
  <si>
    <t>Naila Okta Fitri R</t>
  </si>
  <si>
    <t>Leni Safitri</t>
  </si>
  <si>
    <t>Dion Sutrisna</t>
  </si>
  <si>
    <t>Rani Meilani</t>
  </si>
  <si>
    <t>MUHAMMAD ZIKRI</t>
  </si>
  <si>
    <t>MUHIDIN</t>
  </si>
  <si>
    <t>DONA YUNITA SARI</t>
  </si>
  <si>
    <t>HR/GA</t>
  </si>
  <si>
    <t>HANDI SUHENDI</t>
  </si>
  <si>
    <t>EXCEL NIRVANANDA DIAS DEVANDA</t>
  </si>
  <si>
    <t>ANDRI ADITYA FEBRIANSYAH</t>
  </si>
  <si>
    <t>RANI OCTAVIANI</t>
  </si>
  <si>
    <t>WULANDARI</t>
  </si>
  <si>
    <t>MUHAMAD RIZKY FADILAH</t>
  </si>
  <si>
    <t>QC/QA</t>
  </si>
  <si>
    <t>INTAN FATIMAH AZ ZAHRA</t>
  </si>
  <si>
    <t>ANISA PEBRIYANTI</t>
  </si>
  <si>
    <t>PANGERAN MUHAMAD ROMADHON</t>
  </si>
  <si>
    <t>PRISKA ADELIA</t>
  </si>
  <si>
    <t>SERLI CITRA DEWI</t>
  </si>
  <si>
    <t>NILAM</t>
  </si>
  <si>
    <t>TEDDY RAMDAN</t>
  </si>
  <si>
    <t>CAESAR DWI WARDHANA</t>
  </si>
  <si>
    <t>JIL KARISA</t>
  </si>
  <si>
    <t>HALIMAH TUSADIYAH</t>
  </si>
  <si>
    <t>EKA APRIYANTI</t>
  </si>
  <si>
    <t>AGUNG</t>
  </si>
  <si>
    <t>SUHERMAN PUTRA WIJAYA</t>
  </si>
  <si>
    <t>AKMAL FARIZAL</t>
  </si>
  <si>
    <t>ANDRIAN</t>
  </si>
  <si>
    <t>DEYNDRA MUHAMMAH SYAFIQ</t>
  </si>
  <si>
    <t>ADITYA MAULANA</t>
  </si>
  <si>
    <t>HILDA MINATI</t>
  </si>
  <si>
    <t>NARA AZAHRA</t>
  </si>
  <si>
    <t>DAFFA AHMAD DZAKWAN</t>
  </si>
  <si>
    <t>JULI 2026</t>
  </si>
  <si>
    <t>AGUSTUS 2026</t>
  </si>
  <si>
    <t>PA</t>
  </si>
  <si>
    <t>YUDA</t>
  </si>
  <si>
    <t>5Tahun1 Bulan</t>
  </si>
  <si>
    <t>IRMA MARIYANI</t>
  </si>
  <si>
    <t>4Tahun7 Bulan</t>
  </si>
  <si>
    <t>ENJUM</t>
  </si>
  <si>
    <t>MELAWATI HASANAH</t>
  </si>
  <si>
    <t>QA/ QC</t>
  </si>
  <si>
    <t>MISNAN</t>
  </si>
  <si>
    <t>REFLI ADITYA</t>
  </si>
  <si>
    <t>3Tahun8 Bulan</t>
  </si>
  <si>
    <t>TITIN PATIMAH</t>
  </si>
  <si>
    <t>NURUL FATIMAH</t>
  </si>
  <si>
    <t>SYAMSUL MA'RUF AMAR SENA</t>
  </si>
  <si>
    <t>3Tahun6 Bulan</t>
  </si>
  <si>
    <t>SUSANTI SULISTIAWATI</t>
  </si>
  <si>
    <t>3Tahun5 Bulan</t>
  </si>
  <si>
    <t>FAHMI</t>
  </si>
  <si>
    <t>ABDUL AZIS</t>
  </si>
  <si>
    <t>ALDI YATNA SAPUTRA</t>
  </si>
  <si>
    <t>AYUB SUNANDAR</t>
  </si>
  <si>
    <t>TATI SUMARNI</t>
  </si>
  <si>
    <t>AJAY AHMAD ZAENUDIN</t>
  </si>
  <si>
    <t>YOGI YUSNANDAR</t>
  </si>
  <si>
    <t>SITI LATIPAH</t>
  </si>
  <si>
    <t>izin ,anak sakit demam</t>
  </si>
  <si>
    <t>SAEPULOH</t>
  </si>
  <si>
    <t>MUHAMAD ALI WAPA SADILI</t>
  </si>
  <si>
    <t>EDAH JUBAEDAH</t>
  </si>
  <si>
    <t>SINTA APRIANI</t>
  </si>
  <si>
    <t>AYU NUR FADILAH</t>
  </si>
  <si>
    <t>EVAN DESKA WARDANA</t>
  </si>
  <si>
    <t>LIESNAWATI</t>
  </si>
  <si>
    <t>KRISDAYANTO</t>
  </si>
  <si>
    <t>SITI HALIMAH</t>
  </si>
  <si>
    <t>FITRI RAMDANI</t>
  </si>
  <si>
    <t>MANSUR SURYANA</t>
  </si>
  <si>
    <t>IKA RETNO SAFITRI</t>
  </si>
  <si>
    <t>DELVITA SAFITRI</t>
  </si>
  <si>
    <t>2Tahun2 Bulan</t>
  </si>
  <si>
    <t>ALDI</t>
  </si>
  <si>
    <t>NURSITA DEWI</t>
  </si>
  <si>
    <t>ASANUDIN</t>
  </si>
  <si>
    <t>SAHRUL BABU</t>
  </si>
  <si>
    <t>GITA</t>
  </si>
  <si>
    <t>ILHAM ARDIANSYAH</t>
  </si>
  <si>
    <t>MARYAMAH</t>
  </si>
  <si>
    <t>AFRIZAL MAULANA HAKIM</t>
  </si>
  <si>
    <t>SITI AMINAH</t>
  </si>
  <si>
    <t>RAMA FADRIYAN</t>
  </si>
  <si>
    <t>M. UUS</t>
  </si>
  <si>
    <t>ARIANTI MUSTIKA</t>
  </si>
  <si>
    <t>MUHAMAD MA'MUN VIRMANSYAH</t>
  </si>
  <si>
    <t>NABILA SYAKIB</t>
  </si>
  <si>
    <t>WAFA HANIFAH</t>
  </si>
  <si>
    <t>NENDI HIDAYAT</t>
  </si>
  <si>
    <t>DANI PRASETYO</t>
  </si>
  <si>
    <t>JARIS AKBAR SUBAGJA</t>
  </si>
  <si>
    <t>M. FARHAN</t>
  </si>
  <si>
    <t>NURSIDAWATI</t>
  </si>
  <si>
    <t>GILANG SAPUTRA</t>
  </si>
  <si>
    <t>ERLIANA LESTARI</t>
  </si>
  <si>
    <t>WINA YUNINGSIH</t>
  </si>
  <si>
    <t>SALMAN ALFARIZI</t>
  </si>
  <si>
    <t>DAJAT SUDRAJAT</t>
  </si>
  <si>
    <t>SECURITY</t>
  </si>
  <si>
    <t>ROMIN</t>
  </si>
  <si>
    <t>5Tahun7 Bulan</t>
  </si>
  <si>
    <t>IYAN SOPYAN</t>
  </si>
  <si>
    <t>FAHMI AROBY</t>
  </si>
  <si>
    <t>JUNAEDI</t>
  </si>
  <si>
    <t>ENAN DARMAWAN</t>
  </si>
  <si>
    <t>ANGGA BAYU PAMUNGKAS</t>
  </si>
  <si>
    <t>MUHAMMAD FAZRI</t>
  </si>
  <si>
    <t>NOPAL</t>
  </si>
  <si>
    <t>RINI ANTIKA</t>
  </si>
  <si>
    <t>UJANG WIJAYA</t>
  </si>
  <si>
    <t>MUHAIMIN</t>
  </si>
  <si>
    <t>MUHAMMAD FADEL</t>
  </si>
  <si>
    <t>YULI WULANDARI</t>
  </si>
  <si>
    <t>MUHAMMAD AL ZAMRI</t>
  </si>
  <si>
    <t>MUHAMMAD DAFFA AL BARIQ</t>
  </si>
  <si>
    <t>SUHENDRA</t>
  </si>
  <si>
    <t>FAREL ACHMADINATA</t>
  </si>
  <si>
    <t>SYAHRIL SIDIK</t>
  </si>
  <si>
    <t>JAMALUDIN</t>
  </si>
  <si>
    <t>OPIK MAULANA YUSUP</t>
  </si>
  <si>
    <t>ERLIN</t>
  </si>
  <si>
    <t>ILMA DELIMA RAMADHANI</t>
  </si>
  <si>
    <t>AKMAL FAUJI YANTO</t>
  </si>
  <si>
    <t>HERI</t>
  </si>
  <si>
    <t>INDRA ERLANGGA</t>
  </si>
  <si>
    <t>ERLANGGA SAPUTRA</t>
  </si>
  <si>
    <t>ADNAN DWI SETIAWAN</t>
  </si>
  <si>
    <t>AHMAD MUHAYMIN</t>
  </si>
  <si>
    <t>REVA RYAMI'RAJ</t>
  </si>
  <si>
    <t>ATIKAH HANA WAFIQAH</t>
  </si>
  <si>
    <t>ASEP BUDIANTO</t>
  </si>
  <si>
    <t>INTAN DHEVITA</t>
  </si>
  <si>
    <t>ANNISA WULAN NATASHA</t>
  </si>
  <si>
    <t>SRI RAHAYU SEKAR NINGSIH</t>
  </si>
  <si>
    <t>NUR ASYIFA METHA AULIA</t>
  </si>
  <si>
    <t>WIRANTI AYU LESTARI</t>
  </si>
  <si>
    <t>MARSYA FEBRIANA</t>
  </si>
  <si>
    <t>AHIVA PUTRI RAFIFAH</t>
  </si>
  <si>
    <t>MUHAMMAD RAFI AZHAR</t>
  </si>
  <si>
    <t>LUTHFI AL FARIDZI</t>
  </si>
  <si>
    <t>SAHRUL RAJA ABDUL ROHIM</t>
  </si>
  <si>
    <t>DEVI KARTIKA SARI</t>
  </si>
  <si>
    <t>RADEN MUHAMAD RIFQI</t>
  </si>
  <si>
    <t>CARISSA TANSY AMANDA</t>
  </si>
  <si>
    <t>DWI WAHYU GUNA WIJAYA</t>
  </si>
  <si>
    <t>DINI MARYANI</t>
  </si>
  <si>
    <t>SITI DJULAEHA</t>
  </si>
  <si>
    <t>MUHAMMAD ADIT PRAMUDITHA</t>
  </si>
  <si>
    <t>INTAN FAUZIAH RAHMAT</t>
  </si>
  <si>
    <t>MUHAMAD NUR FAISAL</t>
  </si>
  <si>
    <t>RIAN SAPUTRA</t>
  </si>
  <si>
    <t>SELVIA CITRA LESTARI</t>
  </si>
  <si>
    <t>QC INCOMING</t>
  </si>
  <si>
    <t>SEVIRA AKHMAD</t>
  </si>
  <si>
    <t>SEVINA AKHMAD</t>
  </si>
  <si>
    <t>DHIMAS ENDRIKO</t>
  </si>
  <si>
    <t>ANDINY RACHMAWATI PUTRI</t>
  </si>
  <si>
    <t>CICI RATIH MAESAROH</t>
  </si>
  <si>
    <t>M RAJIB TSAUBANI</t>
  </si>
  <si>
    <t>MOCHAMMAD AZRIEL RIZQON SAPUTRA</t>
  </si>
  <si>
    <t>SATYA MAGHRIBI</t>
  </si>
  <si>
    <t>NADILA KHOERURROVIQOH</t>
  </si>
  <si>
    <t>DENI GUNAWAN</t>
  </si>
  <si>
    <t>FARID PRIZKY</t>
  </si>
  <si>
    <t>M ROSYID AL FADIL</t>
  </si>
  <si>
    <t>NOVI JUNIYANTI</t>
  </si>
  <si>
    <t>MARTA</t>
  </si>
  <si>
    <t>BINTANG MAHARANI</t>
  </si>
  <si>
    <t>JOAN VALEVI</t>
  </si>
  <si>
    <t>YOGA TRI ADITIA</t>
  </si>
  <si>
    <t>MAURA NOVALISA</t>
  </si>
  <si>
    <t>NAZWA KHOERUNISYA</t>
  </si>
  <si>
    <t>YESI NURFARHA</t>
  </si>
  <si>
    <t>VATRIO ZULFRYANSYAH</t>
  </si>
  <si>
    <t>DEVIANA ALYA FADILAH</t>
  </si>
  <si>
    <t>ABDUL HASAN</t>
  </si>
  <si>
    <t>LOGISTIK ( Crusher )</t>
  </si>
  <si>
    <t>KUSWANDI</t>
  </si>
  <si>
    <t>ENGINNERING</t>
  </si>
  <si>
    <t>PRIMA DUTA</t>
  </si>
  <si>
    <t>YOGAS HIDAYAT</t>
  </si>
  <si>
    <t>FITRAH MAUDY</t>
  </si>
  <si>
    <t>NADIA MAHMUDAH</t>
  </si>
  <si>
    <t>LENI SAFITRI</t>
  </si>
  <si>
    <t>DION SUTRISNA</t>
  </si>
  <si>
    <t>DADANG SAPUTRA</t>
  </si>
  <si>
    <t>KEVIN EVANDRA</t>
  </si>
  <si>
    <t>ANNISA PUTRI GUSTIAS</t>
  </si>
  <si>
    <t>EKA BAGUS PRATAMA PUTRA</t>
  </si>
  <si>
    <t>MUHAMMAD ZEPRI</t>
  </si>
  <si>
    <t>KEISYA AGUSTINA</t>
  </si>
  <si>
    <t>JAKA SUDRAJAT</t>
  </si>
  <si>
    <t>ADITYA SAPUTRA</t>
  </si>
  <si>
    <t>RIO RAHARJA</t>
  </si>
  <si>
    <t>ABIM SYAEFULLOH</t>
  </si>
  <si>
    <t>AKBAR DONI IRAWAN</t>
  </si>
  <si>
    <t>RAHEEL IRZA PRADITA</t>
  </si>
  <si>
    <t>RAFLY KUSWANDA PUTRA</t>
  </si>
  <si>
    <t>ERLANGGA HEWARNA</t>
  </si>
  <si>
    <t>SUPARNO</t>
  </si>
  <si>
    <t>WONGSO HERDI REKSO</t>
  </si>
  <si>
    <t>IRPAN YUDISTIRA</t>
  </si>
  <si>
    <t>SEPTEMBER 2026</t>
  </si>
  <si>
    <t>PANJI NURAGA</t>
  </si>
  <si>
    <t>OPERATOR</t>
  </si>
  <si>
    <t>RIAN ABI SAPUTRA</t>
  </si>
  <si>
    <t>RIDWAN PANCA LESMANA</t>
  </si>
  <si>
    <t>ASEP</t>
  </si>
  <si>
    <t>KEVIN PERMANA</t>
  </si>
  <si>
    <t>OPERATOR ( MATERIAL)</t>
  </si>
  <si>
    <t>AGUNG FEBRIAN IRAWAN</t>
  </si>
  <si>
    <t>ALFATIR RAIHAN</t>
  </si>
  <si>
    <t>OPERATOR (COMPONEN)</t>
  </si>
  <si>
    <t>PIKRI PRAYOGA</t>
  </si>
  <si>
    <t>IGO PERMANA</t>
  </si>
  <si>
    <t>AIDIL FATURRAHMAN HAKIM</t>
  </si>
  <si>
    <t>MAULANA FEBRIAN</t>
  </si>
  <si>
    <t>ANGGI RIANDI</t>
  </si>
  <si>
    <t>BOY JATI PERMANA</t>
  </si>
  <si>
    <t>FAISAL ABDUL GANI</t>
  </si>
  <si>
    <t>MUHAMMAD AFDAL FATURRAHMAN</t>
  </si>
  <si>
    <t>MUHAMMAD NABIL FAUZAN</t>
  </si>
  <si>
    <t>FARREL FAVIAN FAIQ</t>
  </si>
  <si>
    <t>REVALDO ZALVIERO</t>
  </si>
  <si>
    <t>5Tahun3 Bulan</t>
  </si>
  <si>
    <t>Sakit (tidak ada SKD)</t>
  </si>
  <si>
    <t>dwi wahyu</t>
  </si>
  <si>
    <t xml:space="preserve"> Sakit (dirawat)</t>
  </si>
  <si>
    <t>Sakit ( tidak ada surdok)</t>
  </si>
  <si>
    <t>Sakit (ada SKD)</t>
  </si>
  <si>
    <t>Pulang awal karna sakit</t>
  </si>
  <si>
    <t>Orang tua sakit</t>
  </si>
  <si>
    <t>Tanpa keterangan</t>
  </si>
  <si>
    <t>Sakit ( surdok ada)</t>
  </si>
  <si>
    <t>Pulang Awal (sakit)</t>
  </si>
  <si>
    <t>Tanpa Keterangan</t>
  </si>
  <si>
    <t>IZIN (Antar Ortu Control ke RS)</t>
  </si>
  <si>
    <t>Pulang awal</t>
  </si>
  <si>
    <t>Izin</t>
  </si>
  <si>
    <t>RONI</t>
  </si>
  <si>
    <t>ADITYA RAMDHANY</t>
  </si>
  <si>
    <t>AGAM SYAH MAHMUDIN</t>
  </si>
  <si>
    <t>ALFI IBRAHIM</t>
  </si>
  <si>
    <t>KENEK</t>
  </si>
  <si>
    <t>VINA SEPTIYANA</t>
  </si>
  <si>
    <t>IDHAYANI ROHMAKHASANAH</t>
  </si>
  <si>
    <t>NABILA RAMADANI</t>
  </si>
  <si>
    <t>NURAENI</t>
  </si>
  <si>
    <t>START WORKING</t>
  </si>
  <si>
    <t>BULAN</t>
  </si>
  <si>
    <t>0 Tahun 2 Bulan</t>
  </si>
  <si>
    <t>JULI</t>
  </si>
  <si>
    <t>AGT</t>
  </si>
  <si>
    <t>SEPT</t>
  </si>
  <si>
    <t>1 Tahun 5 Bulan</t>
  </si>
  <si>
    <t>1 Tahun 1 Bulan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</si>
</sst>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  <numFmt numFmtId="181" formatCode="[$-409]d\-mmm\-yyyy;@"/>
    <numFmt numFmtId="182" formatCode="mmm\-yy"/>
  </numFmts>
  <fonts count="61">
    <font>
      <sz val="11"/>
      <color theme="1"/>
      <name val="Calibri"/>
      <charset val="134"/>
      <scheme val="minor"/>
    </font>
    <font>
      <b/>
      <sz val="13"/>
      <color theme="0"/>
      <name val="Cambria"/>
      <charset val="134"/>
    </font>
    <font>
      <b/>
      <sz val="11"/>
      <color theme="0"/>
      <name val="Cambria"/>
      <charset val="134"/>
    </font>
    <font>
      <sz val="11"/>
      <color theme="1"/>
      <name val="Cambria"/>
      <charset val="134"/>
    </font>
    <font>
      <sz val="13"/>
      <color theme="1"/>
      <name val="Cambria"/>
      <charset val="134"/>
    </font>
    <font>
      <b/>
      <sz val="13"/>
      <color theme="1"/>
      <name val="Cambria"/>
      <charset val="134"/>
    </font>
    <font>
      <sz val="10"/>
      <color theme="1"/>
      <name val="Calibri"/>
      <charset val="134"/>
      <scheme val="minor"/>
    </font>
    <font>
      <sz val="11"/>
      <color rgb="FFFF0000"/>
      <name val="Cambria"/>
      <charset val="134"/>
    </font>
    <font>
      <sz val="10"/>
      <color theme="1"/>
      <name val="Adobe Ming Std L"/>
      <charset val="128"/>
    </font>
    <font>
      <b/>
      <u val="double"/>
      <sz val="28"/>
      <color theme="1"/>
      <name val="Times New Roman"/>
      <charset val="134"/>
    </font>
    <font>
      <b/>
      <sz val="11"/>
      <color rgb="FFFF0000"/>
      <name val="Cambria"/>
      <charset val="134"/>
    </font>
    <font>
      <b/>
      <sz val="18"/>
      <color theme="1"/>
      <name val="Times New Roman"/>
      <charset val="134"/>
    </font>
    <font>
      <sz val="11"/>
      <color rgb="FF9C0006"/>
      <name val="Cambria"/>
      <charset val="134"/>
    </font>
    <font>
      <sz val="11"/>
      <color theme="0"/>
      <name val="Cambria"/>
      <charset val="134"/>
    </font>
    <font>
      <sz val="9"/>
      <color theme="1"/>
      <name val="Cambria"/>
      <charset val="134"/>
    </font>
    <font>
      <sz val="10"/>
      <color theme="1"/>
      <name val="Cambria"/>
      <charset val="134"/>
    </font>
    <font>
      <sz val="12"/>
      <color theme="1"/>
      <name val="Calibri"/>
      <charset val="134"/>
    </font>
    <font>
      <sz val="11"/>
      <color rgb="FF000000"/>
      <name val="Cambria"/>
      <charset val="134"/>
    </font>
    <font>
      <sz val="12"/>
      <color theme="1"/>
      <name val="Cambria"/>
      <charset val="134"/>
    </font>
    <font>
      <b/>
      <sz val="11"/>
      <color theme="1"/>
      <name val="Cambria"/>
      <charset val="134"/>
    </font>
    <font>
      <sz val="11"/>
      <color theme="1"/>
      <name val="Calibri"/>
      <charset val="134"/>
    </font>
    <font>
      <sz val="11"/>
      <color rgb="FF434343"/>
      <name val="Cambria"/>
      <charset val="134"/>
    </font>
    <font>
      <sz val="10"/>
      <color theme="1"/>
      <name val="Times New Roman"/>
      <charset val="134"/>
    </font>
    <font>
      <sz val="10"/>
      <color rgb="FFFF0000"/>
      <name val="Cambria"/>
      <charset val="134"/>
    </font>
    <font>
      <sz val="11"/>
      <color rgb="FFFF0000"/>
      <name val="Calibri"/>
      <charset val="134"/>
      <scheme val="minor"/>
    </font>
    <font>
      <sz val="10"/>
      <name val="Times New Roman"/>
      <charset val="134"/>
    </font>
    <font>
      <sz val="11"/>
      <name val="Cambria"/>
      <charset val="134"/>
    </font>
    <font>
      <sz val="9"/>
      <color rgb="FFFF0000"/>
      <name val="Cambria"/>
      <charset val="134"/>
    </font>
    <font>
      <sz val="10"/>
      <color indexed="8"/>
      <name val="Times New Roman"/>
      <charset val="134"/>
    </font>
    <font>
      <sz val="9"/>
      <color theme="0"/>
      <name val="Calibri"/>
      <charset val="134"/>
      <scheme val="minor"/>
    </font>
    <font>
      <sz val="10"/>
      <color theme="0"/>
      <name val="Times New Roman"/>
      <charset val="134"/>
    </font>
    <font>
      <sz val="9"/>
      <color theme="1"/>
      <name val="Calibri"/>
      <charset val="134"/>
    </font>
    <font>
      <sz val="12"/>
      <color theme="0"/>
      <name val="Calibri"/>
      <charset val="134"/>
      <scheme val="minor"/>
    </font>
    <font>
      <b/>
      <sz val="13"/>
      <color rgb="FFFF0000"/>
      <name val="Cambria"/>
      <charset val="134"/>
    </font>
    <font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theme="1"/>
      <name val="Adobe Heiti Std R"/>
      <charset val="12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"/>
    </font>
    <font>
      <b/>
      <sz val="9"/>
      <name val="Tahoma"/>
      <charset val="1"/>
    </font>
    <font>
      <b/>
      <sz val="9"/>
      <name val="Times New Roman"/>
      <charset val="134"/>
    </font>
    <font>
      <sz val="9"/>
      <name val="Times New Roman"/>
      <charset val="134"/>
    </font>
    <font>
      <sz val="1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0" borderId="53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54" applyNumberFormat="0" applyFill="0" applyAlignment="0" applyProtection="0">
      <alignment vertical="center"/>
    </xf>
    <xf numFmtId="0" fontId="43" fillId="0" borderId="54" applyNumberFormat="0" applyFill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1" borderId="56" applyNumberFormat="0" applyAlignment="0" applyProtection="0">
      <alignment vertical="center"/>
    </xf>
    <xf numFmtId="0" fontId="46" fillId="12" borderId="57" applyNumberFormat="0" applyAlignment="0" applyProtection="0">
      <alignment vertical="center"/>
    </xf>
    <xf numFmtId="0" fontId="47" fillId="12" borderId="56" applyNumberFormat="0" applyAlignment="0" applyProtection="0">
      <alignment vertical="center"/>
    </xf>
    <xf numFmtId="0" fontId="48" fillId="13" borderId="58" applyNumberFormat="0" applyAlignment="0" applyProtection="0">
      <alignment vertical="center"/>
    </xf>
    <xf numFmtId="0" fontId="49" fillId="0" borderId="59" applyNumberFormat="0" applyFill="0" applyAlignment="0" applyProtection="0">
      <alignment vertical="center"/>
    </xf>
    <xf numFmtId="0" fontId="50" fillId="0" borderId="60" applyNumberFormat="0" applyFill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0" fillId="0" borderId="0"/>
  </cellStyleXfs>
  <cellXfs count="3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58" fontId="3" fillId="0" borderId="1" xfId="0" applyNumberFormat="1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9" xfId="3" applyFont="1" applyFill="1" applyBorder="1" applyAlignment="1">
      <alignment horizontal="center" vertical="center"/>
    </xf>
    <xf numFmtId="0" fontId="8" fillId="5" borderId="20" xfId="0" applyFont="1" applyFill="1" applyBorder="1"/>
    <xf numFmtId="0" fontId="8" fillId="5" borderId="21" xfId="0" applyFont="1" applyFill="1" applyBorder="1"/>
    <xf numFmtId="0" fontId="9" fillId="5" borderId="21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5" borderId="22" xfId="0" applyFont="1" applyFill="1" applyBorder="1"/>
    <xf numFmtId="0" fontId="8" fillId="5" borderId="0" xfId="0" applyFont="1" applyFill="1"/>
    <xf numFmtId="0" fontId="9" fillId="5" borderId="0" xfId="0" applyFont="1" applyFill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8" fillId="5" borderId="24" xfId="0" applyFont="1" applyFill="1" applyBorder="1"/>
    <xf numFmtId="0" fontId="8" fillId="5" borderId="23" xfId="0" applyFont="1" applyFill="1" applyBorder="1"/>
    <xf numFmtId="0" fontId="11" fillId="5" borderId="23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vertical="center" wrapText="1" readingOrder="1"/>
    </xf>
    <xf numFmtId="0" fontId="3" fillId="0" borderId="28" xfId="0" applyFont="1" applyBorder="1" applyAlignment="1">
      <alignment vertical="center" wrapText="1" readingOrder="1"/>
    </xf>
    <xf numFmtId="0" fontId="12" fillId="0" borderId="1" xfId="0" applyFont="1" applyBorder="1"/>
    <xf numFmtId="0" fontId="13" fillId="6" borderId="1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 wrapText="1" readingOrder="1"/>
    </xf>
    <xf numFmtId="0" fontId="12" fillId="6" borderId="29" xfId="0" applyFont="1" applyFill="1" applyBorder="1" applyAlignment="1">
      <alignment vertical="center" wrapText="1" readingOrder="1"/>
    </xf>
    <xf numFmtId="0" fontId="12" fillId="6" borderId="27" xfId="0" applyFont="1" applyFill="1" applyBorder="1" applyAlignment="1">
      <alignment vertical="center" wrapText="1" readingOrder="1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3" fillId="0" borderId="30" xfId="3" applyFont="1" applyFill="1" applyBorder="1" applyAlignment="1">
      <alignment horizontal="center" vertical="center"/>
    </xf>
    <xf numFmtId="0" fontId="12" fillId="6" borderId="31" xfId="0" applyFont="1" applyFill="1" applyBorder="1" applyAlignment="1">
      <alignment vertical="center" wrapText="1" readingOrder="1"/>
    </xf>
    <xf numFmtId="0" fontId="15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3" fillId="6" borderId="27" xfId="0" applyFont="1" applyFill="1" applyBorder="1" applyAlignment="1">
      <alignment vertical="center" wrapText="1" readingOrder="1"/>
    </xf>
    <xf numFmtId="0" fontId="3" fillId="6" borderId="31" xfId="0" applyFont="1" applyFill="1" applyBorder="1" applyAlignment="1">
      <alignment vertical="center" wrapText="1" readingOrder="1"/>
    </xf>
    <xf numFmtId="0" fontId="17" fillId="0" borderId="1" xfId="0" applyFont="1" applyBorder="1"/>
    <xf numFmtId="0" fontId="18" fillId="0" borderId="9" xfId="0" applyFont="1" applyBorder="1" applyAlignment="1">
      <alignment horizontal="center" vertical="center"/>
    </xf>
    <xf numFmtId="0" fontId="3" fillId="6" borderId="29" xfId="0" applyFont="1" applyFill="1" applyBorder="1" applyAlignment="1">
      <alignment vertical="center" wrapText="1" readingOrder="1"/>
    </xf>
    <xf numFmtId="180" fontId="3" fillId="0" borderId="1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7" xfId="0" applyFont="1" applyBorder="1" applyAlignment="1">
      <alignment vertical="center" wrapText="1" readingOrder="1"/>
    </xf>
    <xf numFmtId="0" fontId="18" fillId="0" borderId="1" xfId="0" applyFont="1" applyBorder="1" applyAlignment="1">
      <alignment horizontal="center" vertical="center"/>
    </xf>
    <xf numFmtId="0" fontId="3" fillId="3" borderId="31" xfId="0" applyFont="1" applyFill="1" applyBorder="1" applyAlignment="1">
      <alignment vertical="center" wrapText="1" readingOrder="1"/>
    </xf>
    <xf numFmtId="0" fontId="3" fillId="0" borderId="1" xfId="0" applyFont="1" applyBorder="1"/>
    <xf numFmtId="0" fontId="3" fillId="3" borderId="29" xfId="0" applyFont="1" applyFill="1" applyBorder="1" applyAlignment="1">
      <alignment vertical="center" wrapText="1" readingOrder="1"/>
    </xf>
    <xf numFmtId="0" fontId="3" fillId="0" borderId="31" xfId="0" applyFont="1" applyBorder="1" applyAlignment="1">
      <alignment vertical="center" wrapText="1" readingOrder="1"/>
    </xf>
    <xf numFmtId="0" fontId="3" fillId="3" borderId="28" xfId="0" applyFont="1" applyFill="1" applyBorder="1" applyAlignment="1">
      <alignment vertical="center" wrapText="1" readingOrder="1"/>
    </xf>
    <xf numFmtId="0" fontId="21" fillId="3" borderId="27" xfId="0" applyFont="1" applyFill="1" applyBorder="1" applyAlignment="1">
      <alignment vertical="center" wrapText="1" readingOrder="1"/>
    </xf>
    <xf numFmtId="0" fontId="21" fillId="3" borderId="29" xfId="0" applyFont="1" applyFill="1" applyBorder="1" applyAlignment="1">
      <alignment vertical="center" wrapText="1" readingOrder="1"/>
    </xf>
    <xf numFmtId="0" fontId="3" fillId="3" borderId="27" xfId="0" applyFont="1" applyFill="1" applyBorder="1" applyAlignment="1">
      <alignment wrapText="1" readingOrder="1"/>
    </xf>
    <xf numFmtId="0" fontId="3" fillId="0" borderId="29" xfId="0" applyFont="1" applyBorder="1" applyAlignment="1">
      <alignment vertical="center" wrapText="1" readingOrder="1"/>
    </xf>
    <xf numFmtId="0" fontId="3" fillId="6" borderId="1" xfId="0" applyFont="1" applyFill="1" applyBorder="1" applyAlignment="1">
      <alignment horizontal="center" vertical="center"/>
    </xf>
    <xf numFmtId="0" fontId="0" fillId="0" borderId="9" xfId="0" applyBorder="1"/>
    <xf numFmtId="0" fontId="3" fillId="0" borderId="32" xfId="0" applyFont="1" applyBorder="1" applyAlignment="1">
      <alignment horizontal="center" vertical="center"/>
    </xf>
    <xf numFmtId="0" fontId="0" fillId="0" borderId="5" xfId="0" applyBorder="1"/>
    <xf numFmtId="0" fontId="20" fillId="0" borderId="28" xfId="0" applyFont="1" applyBorder="1" applyAlignment="1">
      <alignment vertical="center" wrapText="1" readingOrder="1"/>
    </xf>
    <xf numFmtId="0" fontId="3" fillId="0" borderId="5" xfId="0" applyFont="1" applyBorder="1" applyAlignment="1">
      <alignment horizontal="center" vertical="center"/>
    </xf>
    <xf numFmtId="9" fontId="3" fillId="0" borderId="5" xfId="3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0" fontId="3" fillId="0" borderId="33" xfId="0" applyFont="1" applyBorder="1" applyAlignment="1">
      <alignment vertical="center" wrapText="1" readingOrder="1"/>
    </xf>
    <xf numFmtId="0" fontId="20" fillId="0" borderId="33" xfId="0" applyFont="1" applyBorder="1" applyAlignment="1">
      <alignment vertical="center" wrapText="1" readingOrder="1"/>
    </xf>
    <xf numFmtId="0" fontId="3" fillId="0" borderId="34" xfId="0" applyFont="1" applyBorder="1" applyAlignment="1">
      <alignment vertical="center" wrapText="1" readingOrder="1"/>
    </xf>
    <xf numFmtId="0" fontId="3" fillId="0" borderId="35" xfId="0" applyFont="1" applyBorder="1" applyAlignment="1">
      <alignment vertical="center" wrapText="1" readingOrder="1"/>
    </xf>
    <xf numFmtId="0" fontId="18" fillId="6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9" fontId="3" fillId="6" borderId="0" xfId="3" applyFont="1" applyFill="1" applyAlignment="1">
      <alignment horizontal="center" vertical="center"/>
    </xf>
    <xf numFmtId="9" fontId="3" fillId="0" borderId="9" xfId="3" applyFont="1" applyFill="1" applyBorder="1" applyAlignment="1">
      <alignment horizontal="center" vertical="center"/>
    </xf>
    <xf numFmtId="0" fontId="0" fillId="6" borderId="0" xfId="0" applyFill="1"/>
    <xf numFmtId="0" fontId="0" fillId="0" borderId="7" xfId="0" applyBorder="1"/>
    <xf numFmtId="0" fontId="3" fillId="0" borderId="33" xfId="0" applyFont="1" applyBorder="1" applyAlignment="1">
      <alignment vertical="center" wrapText="1" readingOrder="1"/>
    </xf>
    <xf numFmtId="0" fontId="3" fillId="0" borderId="27" xfId="0" applyFont="1" applyBorder="1" applyAlignment="1">
      <alignment vertical="center" wrapText="1" readingOrder="1"/>
    </xf>
    <xf numFmtId="0" fontId="20" fillId="0" borderId="27" xfId="0" applyFont="1" applyBorder="1" applyAlignment="1">
      <alignment vertical="center" wrapText="1" readingOrder="1"/>
    </xf>
    <xf numFmtId="0" fontId="3" fillId="0" borderId="36" xfId="0" applyFont="1" applyBorder="1" applyAlignment="1">
      <alignment horizontal="center" vertical="center"/>
    </xf>
    <xf numFmtId="0" fontId="22" fillId="0" borderId="0" xfId="0" applyFont="1"/>
    <xf numFmtId="0" fontId="11" fillId="5" borderId="0" xfId="0" applyFont="1" applyFill="1" applyAlignment="1">
      <alignment horizontal="center" vertical="center"/>
    </xf>
    <xf numFmtId="182" fontId="1" fillId="2" borderId="37" xfId="0" applyNumberFormat="1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1" fontId="1" fillId="2" borderId="7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81" fontId="7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4" fillId="0" borderId="0" xfId="0" applyFont="1"/>
    <xf numFmtId="0" fontId="6" fillId="6" borderId="0" xfId="0" applyFont="1" applyFill="1"/>
    <xf numFmtId="0" fontId="9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1" fontId="1" fillId="6" borderId="38" xfId="0" applyNumberFormat="1" applyFont="1" applyFill="1" applyBorder="1" applyAlignment="1">
      <alignment horizontal="center" vertical="center"/>
    </xf>
    <xf numFmtId="1" fontId="1" fillId="6" borderId="0" xfId="0" applyNumberFormat="1" applyFont="1" applyFill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vertical="center" wrapText="1" readingOrder="1"/>
    </xf>
    <xf numFmtId="0" fontId="7" fillId="0" borderId="27" xfId="0" applyFont="1" applyBorder="1" applyAlignment="1">
      <alignment vertical="center" wrapText="1" readingOrder="1"/>
    </xf>
    <xf numFmtId="0" fontId="7" fillId="6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25" fillId="6" borderId="1" xfId="49" applyFont="1" applyFill="1" applyBorder="1" applyAlignment="1">
      <alignment horizontal="left" vertical="center"/>
    </xf>
    <xf numFmtId="0" fontId="25" fillId="6" borderId="7" xfId="49" applyFont="1" applyFill="1" applyBorder="1" applyAlignment="1">
      <alignment horizontal="left" vertical="center"/>
    </xf>
    <xf numFmtId="0" fontId="26" fillId="0" borderId="41" xfId="0" applyFont="1" applyBorder="1" applyAlignment="1">
      <alignment horizontal="center" vertical="center"/>
    </xf>
    <xf numFmtId="0" fontId="25" fillId="6" borderId="12" xfId="49" applyFont="1" applyFill="1" applyBorder="1" applyAlignment="1">
      <alignment horizontal="left" vertical="center"/>
    </xf>
    <xf numFmtId="0" fontId="22" fillId="6" borderId="1" xfId="49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left" vertical="center"/>
    </xf>
    <xf numFmtId="182" fontId="25" fillId="6" borderId="1" xfId="0" applyNumberFormat="1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8" fillId="6" borderId="1" xfId="49" applyFont="1" applyFill="1" applyBorder="1" applyAlignment="1">
      <alignment vertical="center"/>
    </xf>
    <xf numFmtId="0" fontId="25" fillId="6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/>
    </xf>
    <xf numFmtId="0" fontId="27" fillId="0" borderId="9" xfId="0" applyFont="1" applyBorder="1" applyAlignment="1">
      <alignment horizontal="center" vertical="center"/>
    </xf>
    <xf numFmtId="182" fontId="25" fillId="6" borderId="1" xfId="49" applyNumberFormat="1" applyFont="1" applyFill="1" applyBorder="1" applyAlignment="1">
      <alignment horizontal="left" vertical="center"/>
    </xf>
    <xf numFmtId="182" fontId="22" fillId="6" borderId="42" xfId="49" applyNumberFormat="1" applyFont="1" applyFill="1" applyBorder="1" applyAlignment="1">
      <alignment horizontal="left" vertical="center"/>
    </xf>
    <xf numFmtId="0" fontId="22" fillId="6" borderId="1" xfId="0" applyFont="1" applyFill="1" applyBorder="1"/>
    <xf numFmtId="0" fontId="25" fillId="6" borderId="43" xfId="49" applyFont="1" applyFill="1" applyBorder="1" applyAlignment="1">
      <alignment horizontal="left" vertical="center"/>
    </xf>
    <xf numFmtId="0" fontId="25" fillId="6" borderId="44" xfId="49" applyFont="1" applyFill="1" applyBorder="1" applyAlignment="1">
      <alignment horizontal="left" vertical="center"/>
    </xf>
    <xf numFmtId="0" fontId="25" fillId="6" borderId="9" xfId="49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9" fillId="6" borderId="9" xfId="0" applyFont="1" applyFill="1" applyBorder="1"/>
    <xf numFmtId="0" fontId="29" fillId="6" borderId="9" xfId="0" applyFont="1" applyFill="1" applyBorder="1" applyAlignment="1">
      <alignment horizontal="center" vertical="center"/>
    </xf>
    <xf numFmtId="0" fontId="25" fillId="6" borderId="5" xfId="49" applyFont="1" applyFill="1" applyBorder="1" applyAlignment="1">
      <alignment horizontal="left" vertical="center"/>
    </xf>
    <xf numFmtId="0" fontId="25" fillId="6" borderId="45" xfId="49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5" fillId="6" borderId="10" xfId="49" applyFont="1" applyFill="1" applyBorder="1" applyAlignment="1">
      <alignment horizontal="left" vertical="center"/>
    </xf>
    <xf numFmtId="0" fontId="13" fillId="6" borderId="10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25" fillId="6" borderId="6" xfId="49" applyFont="1" applyFill="1" applyBorder="1" applyAlignment="1">
      <alignment horizontal="left" vertical="center"/>
    </xf>
    <xf numFmtId="182" fontId="22" fillId="6" borderId="9" xfId="49" applyNumberFormat="1" applyFont="1" applyFill="1" applyBorder="1" applyAlignment="1">
      <alignment horizontal="left" vertical="center"/>
    </xf>
    <xf numFmtId="182" fontId="30" fillId="6" borderId="9" xfId="49" applyNumberFormat="1" applyFont="1" applyFill="1" applyBorder="1" applyAlignment="1">
      <alignment horizontal="left" vertical="center"/>
    </xf>
    <xf numFmtId="182" fontId="30" fillId="6" borderId="9" xfId="49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82" fontId="22" fillId="6" borderId="5" xfId="49" applyNumberFormat="1" applyFont="1" applyFill="1" applyBorder="1" applyAlignment="1">
      <alignment horizontal="left" vertical="center"/>
    </xf>
    <xf numFmtId="0" fontId="13" fillId="6" borderId="5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0" fillId="0" borderId="1" xfId="0" applyBorder="1"/>
    <xf numFmtId="0" fontId="25" fillId="6" borderId="2" xfId="0" applyFont="1" applyFill="1" applyBorder="1" applyAlignment="1">
      <alignment horizontal="left" vertical="center"/>
    </xf>
    <xf numFmtId="0" fontId="25" fillId="6" borderId="2" xfId="49" applyFont="1" applyFill="1" applyBorder="1" applyAlignment="1">
      <alignment horizontal="left" vertical="center"/>
    </xf>
    <xf numFmtId="0" fontId="25" fillId="6" borderId="9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25" fillId="6" borderId="7" xfId="0" applyFont="1" applyFill="1" applyBorder="1" applyAlignment="1">
      <alignment horizontal="left" vertical="center"/>
    </xf>
    <xf numFmtId="182" fontId="22" fillId="6" borderId="10" xfId="49" applyNumberFormat="1" applyFont="1" applyFill="1" applyBorder="1" applyAlignment="1">
      <alignment horizontal="left" vertical="center"/>
    </xf>
    <xf numFmtId="2" fontId="0" fillId="0" borderId="9" xfId="0" applyNumberFormat="1" applyBorder="1"/>
    <xf numFmtId="2" fontId="0" fillId="0" borderId="9" xfId="0" applyNumberFormat="1" applyBorder="1" applyAlignment="1">
      <alignment horizontal="center" vertical="center"/>
    </xf>
    <xf numFmtId="0" fontId="25" fillId="6" borderId="37" xfId="49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2" fontId="22" fillId="6" borderId="42" xfId="49" applyNumberFormat="1" applyFont="1" applyFill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0" fillId="6" borderId="9" xfId="0" applyFill="1" applyBorder="1"/>
    <xf numFmtId="0" fontId="25" fillId="6" borderId="9" xfId="0" applyFont="1" applyFill="1" applyBorder="1" applyAlignment="1">
      <alignment horizontal="center" vertical="center"/>
    </xf>
    <xf numFmtId="2" fontId="0" fillId="6" borderId="9" xfId="0" applyNumberFormat="1" applyFill="1" applyBorder="1"/>
    <xf numFmtId="2" fontId="25" fillId="6" borderId="9" xfId="0" applyNumberFormat="1" applyFont="1" applyFill="1" applyBorder="1" applyAlignment="1">
      <alignment horizontal="left" vertical="center"/>
    </xf>
    <xf numFmtId="2" fontId="25" fillId="6" borderId="5" xfId="0" applyNumberFormat="1" applyFont="1" applyFill="1" applyBorder="1" applyAlignment="1">
      <alignment horizontal="left" vertical="center"/>
    </xf>
    <xf numFmtId="2" fontId="0" fillId="0" borderId="5" xfId="0" applyNumberFormat="1" applyBorder="1"/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82" fontId="22" fillId="6" borderId="1" xfId="49" applyNumberFormat="1" applyFont="1" applyFill="1" applyBorder="1" applyAlignment="1">
      <alignment horizontal="left" vertical="center"/>
    </xf>
    <xf numFmtId="0" fontId="0" fillId="0" borderId="10" xfId="0" applyBorder="1"/>
    <xf numFmtId="0" fontId="22" fillId="0" borderId="1" xfId="0" applyFont="1" applyBorder="1"/>
    <xf numFmtId="0" fontId="30" fillId="6" borderId="2" xfId="0" applyFont="1" applyFill="1" applyBorder="1" applyAlignment="1">
      <alignment horizontal="center" vertical="center"/>
    </xf>
    <xf numFmtId="0" fontId="22" fillId="6" borderId="0" xfId="0" applyFont="1" applyFill="1"/>
    <xf numFmtId="0" fontId="22" fillId="0" borderId="2" xfId="0" applyFont="1" applyBorder="1"/>
    <xf numFmtId="0" fontId="30" fillId="6" borderId="1" xfId="0" applyFont="1" applyFill="1" applyBorder="1" applyAlignment="1">
      <alignment horizontal="center" vertical="center"/>
    </xf>
    <xf numFmtId="0" fontId="31" fillId="0" borderId="1" xfId="0" applyFont="1" applyBorder="1"/>
    <xf numFmtId="0" fontId="22" fillId="3" borderId="1" xfId="0" applyFont="1" applyFill="1" applyBorder="1" applyAlignment="1">
      <alignment vertical="center" wrapText="1" readingOrder="1"/>
    </xf>
    <xf numFmtId="0" fontId="22" fillId="0" borderId="1" xfId="0" applyFont="1" applyBorder="1" applyAlignment="1">
      <alignment horizontal="center" vertical="center"/>
    </xf>
    <xf numFmtId="0" fontId="31" fillId="3" borderId="1" xfId="0" applyFont="1" applyFill="1" applyBorder="1" applyAlignment="1">
      <alignment vertical="center" wrapText="1" readingOrder="1"/>
    </xf>
    <xf numFmtId="0" fontId="31" fillId="6" borderId="1" xfId="0" applyFont="1" applyFill="1" applyBorder="1" applyAlignment="1">
      <alignment vertical="center" wrapText="1" readingOrder="1"/>
    </xf>
    <xf numFmtId="0" fontId="22" fillId="7" borderId="1" xfId="0" applyFont="1" applyFill="1" applyBorder="1" applyAlignment="1">
      <alignment vertical="center" wrapText="1" readingOrder="1"/>
    </xf>
    <xf numFmtId="0" fontId="31" fillId="0" borderId="1" xfId="0" applyFont="1" applyBorder="1" applyAlignment="1">
      <alignment vertical="center" wrapText="1" readingOrder="1"/>
    </xf>
    <xf numFmtId="0" fontId="22" fillId="0" borderId="1" xfId="0" applyFont="1" applyBorder="1" applyAlignment="1">
      <alignment vertical="center" wrapText="1" readingOrder="1"/>
    </xf>
    <xf numFmtId="0" fontId="22" fillId="0" borderId="10" xfId="0" applyFont="1" applyBorder="1"/>
    <xf numFmtId="1" fontId="1" fillId="8" borderId="1" xfId="0" applyNumberFormat="1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29" fillId="6" borderId="5" xfId="0" applyFont="1" applyFill="1" applyBorder="1"/>
    <xf numFmtId="0" fontId="29" fillId="6" borderId="2" xfId="0" applyFont="1" applyFill="1" applyBorder="1"/>
    <xf numFmtId="0" fontId="3" fillId="6" borderId="2" xfId="0" applyFont="1" applyFill="1" applyBorder="1" applyAlignment="1">
      <alignment horizontal="center" vertical="center"/>
    </xf>
    <xf numFmtId="182" fontId="30" fillId="6" borderId="5" xfId="49" applyNumberFormat="1" applyFont="1" applyFill="1" applyBorder="1" applyAlignment="1">
      <alignment horizontal="left" vertical="center"/>
    </xf>
    <xf numFmtId="0" fontId="0" fillId="0" borderId="25" xfId="0" applyBorder="1"/>
    <xf numFmtId="0" fontId="3" fillId="6" borderId="45" xfId="0" applyFont="1" applyFill="1" applyBorder="1" applyAlignment="1">
      <alignment horizontal="center" vertical="center"/>
    </xf>
    <xf numFmtId="2" fontId="3" fillId="6" borderId="9" xfId="0" applyNumberFormat="1" applyFont="1" applyFill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32" fillId="6" borderId="1" xfId="0" applyFont="1" applyFill="1" applyBorder="1" applyAlignment="1">
      <alignment horizontal="center"/>
    </xf>
    <xf numFmtId="0" fontId="17" fillId="0" borderId="9" xfId="0" applyFont="1" applyBorder="1"/>
    <xf numFmtId="0" fontId="10" fillId="0" borderId="6" xfId="0" applyFont="1" applyBorder="1" applyAlignment="1">
      <alignment horizontal="center" vertical="center"/>
    </xf>
    <xf numFmtId="182" fontId="22" fillId="7" borderId="9" xfId="49" applyNumberFormat="1" applyFont="1" applyFill="1" applyBorder="1" applyAlignment="1">
      <alignment horizontal="left" vertical="center"/>
    </xf>
    <xf numFmtId="182" fontId="30" fillId="7" borderId="5" xfId="49" applyNumberFormat="1" applyFont="1" applyFill="1" applyBorder="1" applyAlignment="1">
      <alignment horizontal="center" vertical="center"/>
    </xf>
    <xf numFmtId="182" fontId="30" fillId="7" borderId="5" xfId="49" applyNumberFormat="1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0" fillId="0" borderId="45" xfId="0" applyBorder="1"/>
    <xf numFmtId="1" fontId="33" fillId="2" borderId="1" xfId="0" applyNumberFormat="1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181" fontId="7" fillId="0" borderId="2" xfId="0" applyNumberFormat="1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/>
    </xf>
    <xf numFmtId="0" fontId="17" fillId="0" borderId="7" xfId="0" applyFont="1" applyBorder="1"/>
    <xf numFmtId="0" fontId="17" fillId="6" borderId="7" xfId="0" applyFont="1" applyFill="1" applyBorder="1"/>
    <xf numFmtId="0" fontId="17" fillId="6" borderId="9" xfId="0" applyFont="1" applyFill="1" applyBorder="1"/>
    <xf numFmtId="0" fontId="17" fillId="0" borderId="40" xfId="0" applyFont="1" applyBorder="1"/>
    <xf numFmtId="0" fontId="17" fillId="0" borderId="38" xfId="0" applyFont="1" applyBorder="1"/>
    <xf numFmtId="0" fontId="3" fillId="0" borderId="39" xfId="0" applyFont="1" applyBorder="1"/>
    <xf numFmtId="0" fontId="35" fillId="6" borderId="9" xfId="0" applyFont="1" applyFill="1" applyBorder="1"/>
    <xf numFmtId="0" fontId="35" fillId="6" borderId="5" xfId="0" applyFont="1" applyFill="1" applyBorder="1"/>
    <xf numFmtId="182" fontId="22" fillId="6" borderId="6" xfId="49" applyNumberFormat="1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82" fontId="22" fillId="6" borderId="2" xfId="49" applyNumberFormat="1" applyFont="1" applyFill="1" applyBorder="1" applyAlignment="1">
      <alignment horizontal="left" vertical="center"/>
    </xf>
    <xf numFmtId="0" fontId="27" fillId="0" borderId="6" xfId="0" applyFont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6" borderId="9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5" fillId="6" borderId="38" xfId="0" applyFont="1" applyFill="1" applyBorder="1"/>
    <xf numFmtId="0" fontId="35" fillId="6" borderId="0" xfId="0" applyFont="1" applyFill="1"/>
    <xf numFmtId="9" fontId="0" fillId="0" borderId="0" xfId="3" applyFont="1" applyBorder="1"/>
    <xf numFmtId="0" fontId="35" fillId="6" borderId="38" xfId="0" applyFont="1" applyFill="1" applyBorder="1" applyAlignment="1">
      <alignment horizontal="center"/>
    </xf>
    <xf numFmtId="0" fontId="35" fillId="6" borderId="0" xfId="0" applyFont="1" applyFill="1" applyAlignment="1">
      <alignment horizontal="center"/>
    </xf>
    <xf numFmtId="0" fontId="9" fillId="5" borderId="50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11" fillId="5" borderId="50" xfId="0" applyFont="1" applyFill="1" applyBorder="1" applyAlignment="1">
      <alignment horizontal="center" vertical="center"/>
    </xf>
    <xf numFmtId="0" fontId="11" fillId="5" borderId="5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6" fillId="0" borderId="0" xfId="0" applyFont="1"/>
    <xf numFmtId="0" fontId="35" fillId="0" borderId="11" xfId="0" applyFont="1" applyBorder="1" applyAlignment="1">
      <alignment horizontal="left"/>
    </xf>
    <xf numFmtId="0" fontId="35" fillId="0" borderId="38" xfId="0" applyFont="1" applyBorder="1" applyAlignment="1">
      <alignment horizontal="left"/>
    </xf>
    <xf numFmtId="0" fontId="36" fillId="0" borderId="23" xfId="0" applyFont="1" applyBorder="1"/>
    <xf numFmtId="0" fontId="35" fillId="0" borderId="25" xfId="0" applyFont="1" applyBorder="1" applyAlignment="1">
      <alignment horizontal="left"/>
    </xf>
    <xf numFmtId="0" fontId="35" fillId="0" borderId="25" xfId="0" applyFont="1" applyBorder="1" applyAlignment="1">
      <alignment horizontal="center"/>
    </xf>
    <xf numFmtId="0" fontId="35" fillId="0" borderId="38" xfId="0" applyFont="1" applyBorder="1" applyAlignment="1">
      <alignment horizontal="center"/>
    </xf>
    <xf numFmtId="182" fontId="1" fillId="2" borderId="37" xfId="0" applyNumberFormat="1" applyFont="1" applyFill="1" applyBorder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9">
    <dxf>
      <font>
        <b val="1"/>
        <i val="0"/>
        <color rgb="FFFF0000"/>
      </font>
      <fill>
        <patternFill patternType="solid">
          <bgColor rgb="FFFF9999"/>
        </patternFill>
      </fill>
    </dxf>
    <dxf>
      <font>
        <b val="1"/>
        <i val="0"/>
        <color theme="5" tint="-0.249946592608417"/>
      </font>
      <fill>
        <patternFill patternType="solid">
          <bgColor theme="7" tint="0.799798577837458"/>
        </patternFill>
      </fill>
    </dxf>
    <dxf>
      <font>
        <b val="1"/>
        <i val="0"/>
        <color rgb="FF002060"/>
      </font>
      <fill>
        <patternFill patternType="solid">
          <bgColor theme="9" tint="0.79979857783745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1</xdr:col>
      <xdr:colOff>857249</xdr:colOff>
      <xdr:row>7</xdr:row>
      <xdr:rowOff>83037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45" y="830580"/>
          <a:ext cx="1131570" cy="9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1</xdr:col>
      <xdr:colOff>856705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45" y="830580"/>
          <a:ext cx="1131570" cy="971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1</xdr:col>
      <xdr:colOff>856705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45" y="830580"/>
          <a:ext cx="1131570" cy="9715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1</xdr:col>
      <xdr:colOff>856705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45" y="830580"/>
          <a:ext cx="1131570" cy="9715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1</xdr:col>
      <xdr:colOff>856705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45" y="830580"/>
          <a:ext cx="1131570" cy="9715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1</xdr:col>
      <xdr:colOff>856705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45" y="830580"/>
          <a:ext cx="1131570" cy="9715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1</xdr:col>
      <xdr:colOff>1093470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0580"/>
          <a:ext cx="1093470" cy="9715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2</xdr:col>
      <xdr:colOff>662395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0580"/>
          <a:ext cx="2059305" cy="971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2</xdr:col>
      <xdr:colOff>195670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0580"/>
          <a:ext cx="1598930" cy="971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2</xdr:col>
      <xdr:colOff>753835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0580"/>
          <a:ext cx="2049145" cy="971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449035</xdr:colOff>
      <xdr:row>3</xdr:row>
      <xdr:rowOff>134670</xdr:rowOff>
    </xdr:from>
    <xdr:to>
      <xdr:col>3</xdr:col>
      <xdr:colOff>224245</xdr:colOff>
      <xdr:row>7</xdr:row>
      <xdr:rowOff>82600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30580"/>
          <a:ext cx="2541905" cy="971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42</xdr:col>
      <xdr:colOff>85725</xdr:colOff>
      <xdr:row>13</xdr:row>
      <xdr:rowOff>46355</xdr:rowOff>
    </xdr:from>
    <xdr:to>
      <xdr:col>44</xdr:col>
      <xdr:colOff>76200</xdr:colOff>
      <xdr:row>14</xdr:row>
      <xdr:rowOff>237490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8660" y="46355"/>
          <a:ext cx="1247775" cy="4006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ATA%20HR\Data%20HR\HR%20DATA\2.HUMAN%20RESOURCE%20PT.IPP\5.%20HRIS\DATA%20KARYAWAN%20IPP\DATA_KARYAWAN_PT._IPP_UPDATE%201%20sep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 kontrak"/>
      <sheetName val="ABSEN"/>
      <sheetName val="NO SURAT"/>
      <sheetName val="MASTER DATA 2025"/>
      <sheetName val="MASTER AKTIF"/>
      <sheetName val="PKWTT, PKWT(AKTIF) 2025"/>
      <sheetName val="Sheet2"/>
      <sheetName val="KONTRAK HARIAN(AKTIF)"/>
      <sheetName val="STAFF"/>
      <sheetName val="KONTRAK HARIAN(AKTIF) 2025"/>
      <sheetName val="PKL"/>
      <sheetName val="PKL 2025"/>
      <sheetName val="NO SURAT (2)"/>
      <sheetName val="Sheet4"/>
      <sheetName val="MASA KERJA"/>
      <sheetName val="Resign"/>
      <sheetName val="TTD SERAGAM"/>
      <sheetName val="lost data"/>
      <sheetName val="Sheet1"/>
      <sheetName val="tanda terima seragam"/>
      <sheetName val="tanda terima seragam (office)"/>
    </sheetNames>
    <sheetDataSet>
      <sheetData sheetId="0" refreshError="1"/>
      <sheetData sheetId="1" refreshError="1"/>
      <sheetData sheetId="2" refreshError="1"/>
      <sheetData sheetId="3" refreshError="1">
        <row r="3">
          <cell r="C3" t="str">
            <v>SULISTIAWATI</v>
          </cell>
          <cell r="D3">
            <v>44132</v>
          </cell>
          <cell r="E3" t="str">
            <v>4Tahun11 Bulan</v>
          </cell>
        </row>
        <row r="4">
          <cell r="C4" t="str">
            <v>ERICK RICKAMA MAYKESANJAYA</v>
          </cell>
          <cell r="D4">
            <v>44236</v>
          </cell>
          <cell r="E4" t="str">
            <v>4Tahun7 Bulan</v>
          </cell>
        </row>
        <row r="5">
          <cell r="C5" t="str">
            <v>YUDA</v>
          </cell>
          <cell r="D5">
            <v>44378</v>
          </cell>
          <cell r="E5" t="str">
            <v>4Tahun3 Bulan</v>
          </cell>
        </row>
        <row r="6">
          <cell r="C6" t="str">
            <v>GUGUN GUNAWAN</v>
          </cell>
          <cell r="D6">
            <v>44440</v>
          </cell>
          <cell r="E6" t="str">
            <v>4Tahun1 Bulan</v>
          </cell>
        </row>
        <row r="7">
          <cell r="C7" t="str">
            <v>ROBI NURONI</v>
          </cell>
          <cell r="D7">
            <v>44512</v>
          </cell>
          <cell r="E7" t="str">
            <v>3Tahun10 Bulan</v>
          </cell>
        </row>
        <row r="8">
          <cell r="C8" t="str">
            <v>IRMA MARIYANI</v>
          </cell>
          <cell r="D8">
            <v>44562</v>
          </cell>
          <cell r="E8" t="str">
            <v>3Tahun9 Bulan</v>
          </cell>
        </row>
        <row r="9">
          <cell r="C9" t="str">
            <v>TINI HARTINI</v>
          </cell>
          <cell r="D9">
            <v>44566</v>
          </cell>
          <cell r="E9" t="str">
            <v>3Tahun8 Bulan</v>
          </cell>
        </row>
        <row r="10">
          <cell r="C10" t="str">
            <v>ENJUM</v>
          </cell>
          <cell r="D10">
            <v>44567</v>
          </cell>
          <cell r="E10" t="str">
            <v>3Tahun8 Bulan</v>
          </cell>
        </row>
        <row r="11">
          <cell r="C11" t="str">
            <v>MELAWATI HASANAH</v>
          </cell>
          <cell r="D11">
            <v>44571</v>
          </cell>
          <cell r="E11" t="str">
            <v>3Tahun8 Bulan</v>
          </cell>
        </row>
        <row r="12">
          <cell r="C12" t="str">
            <v>PIKI SAPARI</v>
          </cell>
          <cell r="D12">
            <v>44605</v>
          </cell>
          <cell r="E12" t="str">
            <v>3Tahun7 Bulan</v>
          </cell>
        </row>
        <row r="13">
          <cell r="C13" t="str">
            <v>ENCIH</v>
          </cell>
          <cell r="D13">
            <v>44718</v>
          </cell>
          <cell r="E13" t="str">
            <v>3Tahun3 Bulan</v>
          </cell>
        </row>
        <row r="14">
          <cell r="C14" t="str">
            <v>MUHAMMAD RIO AJI PRATAMA</v>
          </cell>
          <cell r="D14">
            <v>44782</v>
          </cell>
          <cell r="E14" t="str">
            <v>3Tahun1 Bulan</v>
          </cell>
        </row>
        <row r="15">
          <cell r="C15" t="str">
            <v>DENDY SUWANDI</v>
          </cell>
          <cell r="D15">
            <v>44783</v>
          </cell>
          <cell r="E15" t="str">
            <v>3Tahun1 Bulan</v>
          </cell>
        </row>
        <row r="16">
          <cell r="C16" t="str">
            <v>MISNAN</v>
          </cell>
          <cell r="D16">
            <v>44814</v>
          </cell>
          <cell r="E16" t="str">
            <v>3Tahun0 Bulan</v>
          </cell>
        </row>
        <row r="17">
          <cell r="C17" t="str">
            <v>REFLI ADITYA</v>
          </cell>
          <cell r="D17">
            <v>44869</v>
          </cell>
          <cell r="E17" t="str">
            <v>2Tahun10 Bulan</v>
          </cell>
        </row>
        <row r="18">
          <cell r="C18" t="str">
            <v>TITIN PATIMAH</v>
          </cell>
          <cell r="D18">
            <v>44869</v>
          </cell>
          <cell r="E18" t="str">
            <v>2Tahun10 Bulan</v>
          </cell>
        </row>
        <row r="19">
          <cell r="C19" t="str">
            <v>NURDIANSYAH</v>
          </cell>
          <cell r="D19">
            <v>44872</v>
          </cell>
          <cell r="E19" t="str">
            <v>2Tahun10 Bulan</v>
          </cell>
        </row>
        <row r="20">
          <cell r="C20" t="str">
            <v>NURUL FATIMAH</v>
          </cell>
          <cell r="D20">
            <v>44896</v>
          </cell>
          <cell r="E20" t="str">
            <v>2Tahun10 Bulan</v>
          </cell>
        </row>
        <row r="21">
          <cell r="C21" t="str">
            <v>IKBAL</v>
          </cell>
          <cell r="D21">
            <v>44936</v>
          </cell>
          <cell r="E21" t="str">
            <v>2Tahun8 Bulan</v>
          </cell>
        </row>
        <row r="22">
          <cell r="C22" t="str">
            <v>SYAMSUL MARUF AMAR SENA</v>
          </cell>
          <cell r="D22">
            <v>44936</v>
          </cell>
          <cell r="E22" t="str">
            <v>2Tahun8 Bulan</v>
          </cell>
        </row>
        <row r="23">
          <cell r="C23" t="str">
            <v>JELITA NUR SALSABILA</v>
          </cell>
          <cell r="D23">
            <v>44959</v>
          </cell>
          <cell r="E23" t="str">
            <v>2Tahun8 Bulan</v>
          </cell>
        </row>
        <row r="24">
          <cell r="C24" t="str">
            <v>SUSANTI SULISTIAWATI</v>
          </cell>
          <cell r="D24">
            <v>44963</v>
          </cell>
          <cell r="E24" t="str">
            <v>2Tahun7 Bulan</v>
          </cell>
        </row>
        <row r="25">
          <cell r="C25" t="str">
            <v>ARI SEPTYAN FIBYANTO</v>
          </cell>
          <cell r="D25">
            <v>44992</v>
          </cell>
          <cell r="E25" t="str">
            <v>2Tahun6 Bulan</v>
          </cell>
        </row>
        <row r="26">
          <cell r="C26" t="str">
            <v>TRI PONTJO BUDI SANTOSO</v>
          </cell>
          <cell r="D26">
            <v>45023</v>
          </cell>
          <cell r="E26" t="str">
            <v>2Tahun5 Bulan</v>
          </cell>
        </row>
        <row r="27">
          <cell r="C27" t="str">
            <v/>
          </cell>
          <cell r="D27">
            <v>45054</v>
          </cell>
          <cell r="E27" t="str">
            <v>2Tahun4 Bulan</v>
          </cell>
        </row>
        <row r="28">
          <cell r="C28" t="str">
            <v>WANDA HAMIDAH</v>
          </cell>
          <cell r="D28">
            <v>45059</v>
          </cell>
          <cell r="E28" t="str">
            <v>2Tahun4 Bulan</v>
          </cell>
        </row>
        <row r="29">
          <cell r="C29" t="str">
            <v>ABDUL AZIS</v>
          </cell>
          <cell r="D29">
            <v>45082</v>
          </cell>
          <cell r="E29" t="str">
            <v>2Tahun3 Bulan</v>
          </cell>
        </row>
        <row r="30">
          <cell r="C30" t="str">
            <v>AMUNG</v>
          </cell>
          <cell r="D30">
            <v>45082</v>
          </cell>
          <cell r="E30" t="str">
            <v>2Tahun3 Bulan</v>
          </cell>
        </row>
        <row r="31">
          <cell r="C31" t="str">
            <v>ALDI YATNA SAPUTRA</v>
          </cell>
          <cell r="D31">
            <v>45089</v>
          </cell>
          <cell r="E31" t="str">
            <v>2Tahun3 Bulan</v>
          </cell>
        </row>
        <row r="32">
          <cell r="C32" t="str">
            <v>AYUB SUNANDAR</v>
          </cell>
          <cell r="D32">
            <v>45089</v>
          </cell>
          <cell r="E32" t="str">
            <v>2Tahun3 Bulan</v>
          </cell>
        </row>
        <row r="33">
          <cell r="C33" t="str">
            <v>TATI SUMARNI</v>
          </cell>
          <cell r="D33">
            <v>45108</v>
          </cell>
          <cell r="E33" t="str">
            <v>2Tahun3 Bulan</v>
          </cell>
        </row>
        <row r="34">
          <cell r="C34" t="str">
            <v>AJAY AHMAD ZAENUDIN</v>
          </cell>
          <cell r="D34">
            <v>45113</v>
          </cell>
          <cell r="E34" t="str">
            <v>2Tahun2 Bulan</v>
          </cell>
        </row>
        <row r="35">
          <cell r="C35" t="str">
            <v>YOGI YUSNANDAR</v>
          </cell>
          <cell r="D35">
            <v>45119</v>
          </cell>
          <cell r="E35" t="str">
            <v>2Tahun2 Bulan</v>
          </cell>
        </row>
        <row r="36">
          <cell r="C36" t="str">
            <v>SITI LATIPAH</v>
          </cell>
          <cell r="D36">
            <v>45142</v>
          </cell>
          <cell r="E36" t="str">
            <v>2Tahun1 Bulan</v>
          </cell>
        </row>
        <row r="37">
          <cell r="C37" t="str">
            <v>FITRI TIA ANGGRAENI</v>
          </cell>
          <cell r="D37">
            <v>45152</v>
          </cell>
          <cell r="E37" t="str">
            <v>2Tahun1 Bulan</v>
          </cell>
        </row>
        <row r="38">
          <cell r="C38" t="str">
            <v>UTARI APRILIA</v>
          </cell>
          <cell r="D38">
            <v>45152</v>
          </cell>
          <cell r="E38" t="str">
            <v>2Tahun1 Bulan</v>
          </cell>
        </row>
        <row r="39">
          <cell r="C39" t="str">
            <v>JEFRI SAPUTRA</v>
          </cell>
          <cell r="D39">
            <v>45154</v>
          </cell>
          <cell r="E39" t="str">
            <v>2Tahun1 Bulan</v>
          </cell>
        </row>
        <row r="40">
          <cell r="C40" t="str">
            <v>SAEPULOH</v>
          </cell>
          <cell r="D40">
            <v>45154</v>
          </cell>
          <cell r="E40" t="str">
            <v>2Tahun1 Bulan</v>
          </cell>
        </row>
        <row r="41">
          <cell r="C41" t="str">
            <v>UMAR ROSIDIN</v>
          </cell>
          <cell r="D41">
            <v>45154</v>
          </cell>
          <cell r="E41" t="str">
            <v>2Tahun1 Bulan</v>
          </cell>
        </row>
        <row r="42">
          <cell r="C42" t="str">
            <v>MUHAMAD ALI WAPA SADILI</v>
          </cell>
          <cell r="D42">
            <v>45158</v>
          </cell>
          <cell r="E42" t="str">
            <v>2Tahun1 Bulan</v>
          </cell>
        </row>
        <row r="43">
          <cell r="C43" t="str">
            <v>EDAH JUBAEDAH</v>
          </cell>
          <cell r="D43">
            <v>45161</v>
          </cell>
          <cell r="E43" t="str">
            <v>2Tahun1 Bulan</v>
          </cell>
        </row>
        <row r="44">
          <cell r="C44" t="str">
            <v>SINTA APRIANI</v>
          </cell>
          <cell r="D44">
            <v>45161</v>
          </cell>
          <cell r="E44" t="str">
            <v>2Tahun1 Bulan</v>
          </cell>
        </row>
        <row r="45">
          <cell r="C45" t="str">
            <v>AYU NUR FADILAH</v>
          </cell>
          <cell r="D45">
            <v>45163</v>
          </cell>
          <cell r="E45" t="str">
            <v>2Tahun1 Bulan</v>
          </cell>
        </row>
        <row r="46">
          <cell r="C46" t="str">
            <v>PUTRI APRILLIA</v>
          </cell>
          <cell r="D46">
            <v>45166</v>
          </cell>
          <cell r="E46" t="str">
            <v>2Tahun1 Bulan</v>
          </cell>
        </row>
        <row r="47">
          <cell r="C47" t="str">
            <v>EVAN DESKA WARDANA</v>
          </cell>
          <cell r="D47">
            <v>45177</v>
          </cell>
          <cell r="E47" t="str">
            <v>2Tahun0 Bulan</v>
          </cell>
        </row>
        <row r="48">
          <cell r="C48" t="str">
            <v>ILHAM MAULANA</v>
          </cell>
          <cell r="D48">
            <v>45177</v>
          </cell>
          <cell r="E48" t="str">
            <v>2Tahun0 Bulan</v>
          </cell>
        </row>
        <row r="49">
          <cell r="C49" t="str">
            <v>KIKI AMALIAH</v>
          </cell>
          <cell r="D49">
            <v>45187</v>
          </cell>
          <cell r="E49" t="str">
            <v>2Tahun0 Bulan</v>
          </cell>
        </row>
        <row r="50">
          <cell r="C50" t="str">
            <v>DELLA APRIANA SEFTIANI</v>
          </cell>
          <cell r="D50">
            <v>45189</v>
          </cell>
          <cell r="E50" t="str">
            <v>2Tahun0 Bulan</v>
          </cell>
        </row>
        <row r="51">
          <cell r="C51" t="str">
            <v>LIESNAWATI</v>
          </cell>
          <cell r="D51">
            <v>45189</v>
          </cell>
          <cell r="E51" t="str">
            <v>2Tahun0 Bulan</v>
          </cell>
        </row>
        <row r="52">
          <cell r="C52" t="str">
            <v>NURHADI</v>
          </cell>
          <cell r="D52">
            <v>45237</v>
          </cell>
          <cell r="E52" t="str">
            <v>1Tahun10 Bulan</v>
          </cell>
        </row>
        <row r="53">
          <cell r="C53" t="str">
            <v>KRISDAYANTO</v>
          </cell>
          <cell r="D53">
            <v>45241</v>
          </cell>
          <cell r="E53" t="str">
            <v>1Tahun10 Bulan</v>
          </cell>
        </row>
        <row r="54">
          <cell r="C54" t="str">
            <v>JEANNY ANISSA P</v>
          </cell>
          <cell r="D54">
            <v>45261</v>
          </cell>
          <cell r="E54" t="str">
            <v>1Tahun10 Bulan</v>
          </cell>
        </row>
        <row r="55">
          <cell r="C55" t="str">
            <v>MUMIN MUKHLIS</v>
          </cell>
          <cell r="D55">
            <v>45329</v>
          </cell>
          <cell r="E55" t="str">
            <v>1Tahun7 Bulan</v>
          </cell>
        </row>
        <row r="56">
          <cell r="C56" t="str">
            <v>ANGGA ERLANGGA</v>
          </cell>
          <cell r="D56">
            <v>45345</v>
          </cell>
          <cell r="E56" t="str">
            <v>1Tahun7 Bulan</v>
          </cell>
        </row>
        <row r="57">
          <cell r="C57" t="str">
            <v>SITI HALIMAH</v>
          </cell>
          <cell r="D57">
            <v>45345</v>
          </cell>
          <cell r="E57" t="str">
            <v>1Tahun7 Bulan</v>
          </cell>
        </row>
        <row r="58">
          <cell r="C58" t="str">
            <v>FITRI RAMDANI</v>
          </cell>
          <cell r="D58">
            <v>45348</v>
          </cell>
          <cell r="E58" t="str">
            <v>1Tahun7 Bulan</v>
          </cell>
        </row>
        <row r="59">
          <cell r="C59" t="str">
            <v>MANSUR SURYANA</v>
          </cell>
          <cell r="D59">
            <v>45356</v>
          </cell>
          <cell r="E59" t="str">
            <v>1Tahun6 Bulan</v>
          </cell>
        </row>
        <row r="60">
          <cell r="C60" t="str">
            <v>LENI MARLINA</v>
          </cell>
          <cell r="D60">
            <v>45359</v>
          </cell>
          <cell r="E60" t="str">
            <v>1Tahun6 Bulan</v>
          </cell>
        </row>
        <row r="61">
          <cell r="C61" t="str">
            <v>ABDUL ROSID</v>
          </cell>
          <cell r="D61">
            <v>45364</v>
          </cell>
          <cell r="E61" t="str">
            <v>1Tahun6 Bulan</v>
          </cell>
        </row>
        <row r="62">
          <cell r="C62" t="str">
            <v>NURUL MU'MININ</v>
          </cell>
          <cell r="D62">
            <v>45370</v>
          </cell>
          <cell r="E62" t="str">
            <v>1Tahun6 Bulan</v>
          </cell>
        </row>
        <row r="63">
          <cell r="C63" t="str">
            <v>DITA WIDAWATI</v>
          </cell>
          <cell r="D63">
            <v>45399</v>
          </cell>
          <cell r="E63" t="str">
            <v>1Tahun5 Bulan</v>
          </cell>
        </row>
        <row r="64">
          <cell r="C64" t="str">
            <v>WIDIYANTI</v>
          </cell>
          <cell r="D64">
            <v>45405</v>
          </cell>
          <cell r="E64" t="str">
            <v>1Tahun5 Bulan</v>
          </cell>
        </row>
        <row r="65">
          <cell r="C65" t="str">
            <v>ANGGI SEPTIAN</v>
          </cell>
          <cell r="D65">
            <v>45406</v>
          </cell>
          <cell r="E65" t="str">
            <v>1Tahun5 Bulan</v>
          </cell>
        </row>
        <row r="66">
          <cell r="C66" t="str">
            <v>SATIM</v>
          </cell>
          <cell r="D66">
            <v>45408</v>
          </cell>
          <cell r="E66" t="str">
            <v>1Tahun5 Bulan</v>
          </cell>
        </row>
        <row r="67">
          <cell r="C67" t="str">
            <v>IKA RETNO SAFITRI</v>
          </cell>
          <cell r="D67">
            <v>45410</v>
          </cell>
          <cell r="E67" t="str">
            <v>1Tahun5 Bulan</v>
          </cell>
        </row>
        <row r="68">
          <cell r="C68" t="str">
            <v>NUR KISTI WIDAYANTI</v>
          </cell>
          <cell r="D68">
            <v>45410</v>
          </cell>
          <cell r="E68" t="str">
            <v>1Tahun5 Bulan</v>
          </cell>
        </row>
        <row r="69">
          <cell r="C69" t="str">
            <v>MAULINA NUR APRILIA</v>
          </cell>
          <cell r="D69">
            <v>45418</v>
          </cell>
          <cell r="E69" t="str">
            <v>1Tahun4 Bulan</v>
          </cell>
        </row>
        <row r="70">
          <cell r="C70" t="str">
            <v>DEA AMELIA</v>
          </cell>
          <cell r="D70">
            <v>45418</v>
          </cell>
          <cell r="E70" t="str">
            <v>1Tahun4 Bulan</v>
          </cell>
        </row>
        <row r="71">
          <cell r="C71" t="str">
            <v>DELVITA SAFITRI</v>
          </cell>
          <cell r="D71">
            <v>45418</v>
          </cell>
          <cell r="E71" t="str">
            <v>1Tahun4 Bulan</v>
          </cell>
        </row>
        <row r="72">
          <cell r="C72" t="str">
            <v>MUHAMMAD ANDRI MAULANA</v>
          </cell>
          <cell r="D72">
            <v>45442</v>
          </cell>
          <cell r="E72" t="str">
            <v>1Tahun4 Bulan</v>
          </cell>
        </row>
        <row r="73">
          <cell r="C73" t="str">
            <v>AHMAD ARIF FATHONI</v>
          </cell>
          <cell r="D73">
            <v>45436</v>
          </cell>
          <cell r="E73" t="str">
            <v>1Tahun4 Bulan</v>
          </cell>
        </row>
        <row r="74">
          <cell r="C74" t="str">
            <v>NENDI RAMDANI</v>
          </cell>
          <cell r="D74">
            <v>45448</v>
          </cell>
          <cell r="E74" t="str">
            <v>1Tahun3 Bulan</v>
          </cell>
        </row>
        <row r="75">
          <cell r="C75" t="str">
            <v>ALDI</v>
          </cell>
          <cell r="D75">
            <v>45449</v>
          </cell>
          <cell r="E75" t="str">
            <v>1Tahun3 Bulan</v>
          </cell>
        </row>
        <row r="76">
          <cell r="C76" t="str">
            <v>DEBORA ASKA YOSEPHA SIBURIAN</v>
          </cell>
          <cell r="D76">
            <v>45464</v>
          </cell>
          <cell r="E76" t="str">
            <v>1Tahun3 Bulan</v>
          </cell>
        </row>
        <row r="77">
          <cell r="C77" t="str">
            <v>ZAENAB AZAHRA</v>
          </cell>
          <cell r="D77">
            <v>45464</v>
          </cell>
          <cell r="E77" t="str">
            <v>1Tahun3 Bulan</v>
          </cell>
        </row>
        <row r="78">
          <cell r="C78" t="str">
            <v>NURSITA DEWI</v>
          </cell>
          <cell r="D78">
            <v>45495</v>
          </cell>
          <cell r="E78" t="str">
            <v>1Tahun2 Bulan</v>
          </cell>
        </row>
        <row r="79">
          <cell r="C79" t="str">
            <v>LUKMAN HAKIM</v>
          </cell>
          <cell r="D79">
            <v>45495</v>
          </cell>
          <cell r="E79" t="str">
            <v>1Tahun2 Bulan</v>
          </cell>
        </row>
        <row r="80">
          <cell r="C80" t="str">
            <v>RIZKY AYUDIA PRAMESTI</v>
          </cell>
          <cell r="D80">
            <v>45482</v>
          </cell>
          <cell r="E80" t="str">
            <v>1Tahun2 Bulan</v>
          </cell>
        </row>
        <row r="81">
          <cell r="C81" t="str">
            <v>DESI NOVIYANTI</v>
          </cell>
          <cell r="D81">
            <v>45492</v>
          </cell>
          <cell r="E81" t="str">
            <v>1Tahun2 Bulan</v>
          </cell>
        </row>
        <row r="82">
          <cell r="C82" t="str">
            <v>DEPI YULIANINGSIH</v>
          </cell>
          <cell r="D82">
            <v>45495</v>
          </cell>
          <cell r="E82" t="str">
            <v>1Tahun2 Bulan</v>
          </cell>
        </row>
        <row r="83">
          <cell r="C83" t="str">
            <v>MUHAMMAD CHOIRUL ROZIKIN</v>
          </cell>
          <cell r="D83">
            <v>45537</v>
          </cell>
          <cell r="E83" t="str">
            <v>1Tahun1 Bulan</v>
          </cell>
        </row>
        <row r="84">
          <cell r="C84" t="str">
            <v>LOVI OKKIANI</v>
          </cell>
          <cell r="D84">
            <v>45566</v>
          </cell>
          <cell r="E84" t="str">
            <v>1Tahun0 Bulan</v>
          </cell>
        </row>
        <row r="85">
          <cell r="C85" t="str">
            <v>ROSIDIK</v>
          </cell>
          <cell r="D85">
            <v>45572</v>
          </cell>
          <cell r="E85" t="str">
            <v>0Tahun11 Bulan</v>
          </cell>
        </row>
        <row r="86">
          <cell r="C86" t="str">
            <v>SITI MARIAM</v>
          </cell>
          <cell r="D86">
            <v>45572</v>
          </cell>
          <cell r="E86" t="str">
            <v>0Tahun11 Bulan</v>
          </cell>
        </row>
        <row r="87">
          <cell r="C87" t="str">
            <v>INDRA</v>
          </cell>
          <cell r="D87">
            <v>45580</v>
          </cell>
          <cell r="E87" t="str">
            <v>0Tahun11 Bulan</v>
          </cell>
        </row>
        <row r="88">
          <cell r="C88" t="str">
            <v>JUNAEDI ASMIN</v>
          </cell>
          <cell r="D88">
            <v>45581</v>
          </cell>
          <cell r="E88" t="str">
            <v>0Tahun11 Bulan</v>
          </cell>
        </row>
        <row r="89">
          <cell r="C89" t="str">
            <v>ARDIMANSYAH JAELANI</v>
          </cell>
          <cell r="D89">
            <v>45590</v>
          </cell>
          <cell r="E89" t="str">
            <v>0Tahun11 Bulan</v>
          </cell>
        </row>
        <row r="90">
          <cell r="C90" t="str">
            <v>ISNATIN</v>
          </cell>
          <cell r="D90">
            <v>45597</v>
          </cell>
          <cell r="E90" t="str">
            <v>0Tahun11 Bulan</v>
          </cell>
        </row>
        <row r="91">
          <cell r="C91" t="str">
            <v>RENDI RAMADHAN</v>
          </cell>
          <cell r="D91">
            <v>45410</v>
          </cell>
          <cell r="E91" t="str">
            <v>1Tahun5 Bulan</v>
          </cell>
        </row>
        <row r="92">
          <cell r="C92" t="str">
            <v>ANGGA AFLAHA HARAHAP</v>
          </cell>
          <cell r="D92">
            <v>45482</v>
          </cell>
          <cell r="E92" t="str">
            <v>1Tahun2 Bulan</v>
          </cell>
        </row>
        <row r="93">
          <cell r="C93" t="str">
            <v>ASANUDIN</v>
          </cell>
          <cell r="D93">
            <v>45482</v>
          </cell>
          <cell r="E93" t="str">
            <v>1Tahun2 Bulan</v>
          </cell>
        </row>
        <row r="94">
          <cell r="C94" t="str">
            <v>SAHRUL BABU</v>
          </cell>
          <cell r="D94">
            <v>45482</v>
          </cell>
          <cell r="E94" t="str">
            <v>1Tahun2 Bulan</v>
          </cell>
        </row>
        <row r="95">
          <cell r="C95" t="str">
            <v>SUNENTI</v>
          </cell>
          <cell r="D95">
            <v>45482</v>
          </cell>
          <cell r="E95" t="str">
            <v>1Tahun2 Bulan</v>
          </cell>
        </row>
        <row r="96">
          <cell r="C96" t="str">
            <v>DITA ANJANI</v>
          </cell>
          <cell r="D96">
            <v>45483</v>
          </cell>
          <cell r="E96" t="str">
            <v>1Tahun2 Bulan</v>
          </cell>
        </row>
        <row r="97">
          <cell r="C97" t="str">
            <v>RAFIQOLD ZAIDAN HERMAWAN</v>
          </cell>
          <cell r="D97">
            <v>45483</v>
          </cell>
          <cell r="E97" t="str">
            <v>1Tahun2 Bulan</v>
          </cell>
        </row>
        <row r="98">
          <cell r="C98" t="str">
            <v>LILI ROMLI</v>
          </cell>
          <cell r="D98">
            <v>45512</v>
          </cell>
          <cell r="E98" t="str">
            <v>1Tahun1 Bulan</v>
          </cell>
        </row>
        <row r="99">
          <cell r="C99" t="str">
            <v>GITA</v>
          </cell>
          <cell r="D99">
            <v>45516</v>
          </cell>
          <cell r="E99" t="str">
            <v>1Tahun1 Bulan</v>
          </cell>
        </row>
        <row r="100">
          <cell r="C100" t="str">
            <v>ILHAM ARDIANSYAH</v>
          </cell>
          <cell r="D100">
            <v>45516</v>
          </cell>
          <cell r="E100" t="str">
            <v>1Tahun1 Bulan</v>
          </cell>
        </row>
        <row r="101">
          <cell r="C101" t="str">
            <v>OMSAH OLIVIANTI</v>
          </cell>
          <cell r="D101">
            <v>45516</v>
          </cell>
          <cell r="E101" t="str">
            <v>1Tahun1 Bulan</v>
          </cell>
        </row>
        <row r="102">
          <cell r="C102" t="str">
            <v>RIZKI NURHIDAYAT</v>
          </cell>
          <cell r="D102">
            <v>45516</v>
          </cell>
          <cell r="E102" t="str">
            <v>1Tahun1 Bulan</v>
          </cell>
        </row>
        <row r="103">
          <cell r="C103" t="str">
            <v>SHELI LESTARI</v>
          </cell>
          <cell r="D103">
            <v>45516</v>
          </cell>
          <cell r="E103" t="str">
            <v>1Tahun1 Bulan</v>
          </cell>
        </row>
        <row r="104">
          <cell r="C104" t="str">
            <v>FIRDAUS FAUZI</v>
          </cell>
          <cell r="D104">
            <v>45519</v>
          </cell>
          <cell r="E104" t="str">
            <v>1Tahun1 Bulan</v>
          </cell>
        </row>
        <row r="105">
          <cell r="C105" t="str">
            <v>IDA FITRIA RAHMAYANTI</v>
          </cell>
          <cell r="D105">
            <v>45523</v>
          </cell>
          <cell r="E105" t="str">
            <v>1Tahun1 Bulan</v>
          </cell>
        </row>
        <row r="106">
          <cell r="C106" t="str">
            <v>SITI AISYAH</v>
          </cell>
          <cell r="D106">
            <v>45532</v>
          </cell>
          <cell r="E106" t="str">
            <v>1Tahun1 Bulan</v>
          </cell>
        </row>
        <row r="107">
          <cell r="C107" t="str">
            <v>JAIRA ALFIRAZ</v>
          </cell>
          <cell r="D107">
            <v>45547</v>
          </cell>
          <cell r="E107" t="str">
            <v>1Tahun0 Bulan</v>
          </cell>
        </row>
        <row r="108">
          <cell r="C108" t="str">
            <v>MARYAMAH</v>
          </cell>
          <cell r="D108">
            <v>45547</v>
          </cell>
          <cell r="E108" t="str">
            <v>1Tahun0 Bulan</v>
          </cell>
        </row>
        <row r="109">
          <cell r="C109" t="str">
            <v>ARYA KAMIL IRHAM</v>
          </cell>
          <cell r="D109">
            <v>45572</v>
          </cell>
          <cell r="E109" t="str">
            <v>0Tahun11 Bulan</v>
          </cell>
        </row>
        <row r="110">
          <cell r="C110" t="str">
            <v>RIFQY FAJAR IZA M</v>
          </cell>
          <cell r="D110">
            <v>45572</v>
          </cell>
          <cell r="E110" t="str">
            <v>0Tahun11 Bulan</v>
          </cell>
        </row>
        <row r="111">
          <cell r="C111" t="str">
            <v>SYAFIQ RAFLY YUSNIZAR</v>
          </cell>
          <cell r="D111">
            <v>45582</v>
          </cell>
          <cell r="E111" t="str">
            <v>0Tahun11 Bulan</v>
          </cell>
        </row>
        <row r="112">
          <cell r="C112" t="str">
            <v>JAFAR SIDIQ</v>
          </cell>
          <cell r="D112">
            <v>45607</v>
          </cell>
          <cell r="E112" t="str">
            <v>0Tahun10 Bulan</v>
          </cell>
        </row>
        <row r="113">
          <cell r="C113" t="str">
            <v>ARYA WIFA WIDIATAMA</v>
          </cell>
          <cell r="D113">
            <v>45609</v>
          </cell>
          <cell r="E113" t="str">
            <v>0Tahun10 Bulan</v>
          </cell>
        </row>
        <row r="114">
          <cell r="C114" t="str">
            <v>AFRIZAL MAULANA HAKIM</v>
          </cell>
          <cell r="D114">
            <v>45572</v>
          </cell>
          <cell r="E114" t="str">
            <v>0Tahun11 Bulan</v>
          </cell>
        </row>
        <row r="115">
          <cell r="C115" t="str">
            <v>MAHDI GUNAWAN</v>
          </cell>
          <cell r="D115">
            <v>45483</v>
          </cell>
          <cell r="E115" t="str">
            <v>1Tahun2 Bulan</v>
          </cell>
        </row>
        <row r="116">
          <cell r="C116" t="str">
            <v>SITI AMINAH</v>
          </cell>
          <cell r="D116">
            <v>45467</v>
          </cell>
          <cell r="E116" t="str">
            <v>1Tahun3 Bulan</v>
          </cell>
        </row>
        <row r="117">
          <cell r="C117" t="str">
            <v>RAMA FADRIYAN</v>
          </cell>
          <cell r="D117">
            <v>45475</v>
          </cell>
          <cell r="E117" t="str">
            <v>1Tahun3 Bulan</v>
          </cell>
        </row>
        <row r="118">
          <cell r="C118" t="str">
            <v>ADE ROSLINA ISTIHANAH</v>
          </cell>
          <cell r="D118">
            <v>45614</v>
          </cell>
          <cell r="E118" t="str">
            <v>0Tahun10 Bulan</v>
          </cell>
        </row>
        <row r="119">
          <cell r="C119" t="str">
            <v>YOGI SAKTI ANDHIKA</v>
          </cell>
          <cell r="D119">
            <v>45614</v>
          </cell>
          <cell r="E119" t="str">
            <v>0Tahun10 Bulan</v>
          </cell>
        </row>
        <row r="120">
          <cell r="C120" t="str">
            <v>CIPTO BUDI RAHARJO</v>
          </cell>
          <cell r="D120">
            <v>45630</v>
          </cell>
          <cell r="E120" t="str">
            <v>0Tahun9 Bulan</v>
          </cell>
        </row>
        <row r="121">
          <cell r="C121" t="str">
            <v>SAPARUDDIN NASUTION</v>
          </cell>
          <cell r="D121">
            <v>45631</v>
          </cell>
          <cell r="E121" t="str">
            <v>0Tahun9 Bulan</v>
          </cell>
        </row>
        <row r="122">
          <cell r="C122" t="str">
            <v>MUHAMAD NURFAIQ</v>
          </cell>
          <cell r="D122">
            <v>45631</v>
          </cell>
          <cell r="E122" t="str">
            <v>0Tahun9 Bulan</v>
          </cell>
        </row>
        <row r="123">
          <cell r="C123" t="str">
            <v>M UUS</v>
          </cell>
          <cell r="D123">
            <v>45631</v>
          </cell>
          <cell r="E123" t="str">
            <v>0Tahun9 Bulan</v>
          </cell>
        </row>
        <row r="124">
          <cell r="C124" t="str">
            <v>ANDRI</v>
          </cell>
          <cell r="D124">
            <v>45631</v>
          </cell>
          <cell r="E124" t="str">
            <v>0Tahun9 Bulan</v>
          </cell>
        </row>
        <row r="125">
          <cell r="C125" t="str">
            <v>MOCHAMMAD RIZAL DWI ANGGRIANTO</v>
          </cell>
          <cell r="D125">
            <v>45631</v>
          </cell>
          <cell r="E125" t="str">
            <v>0Tahun9 Bulan</v>
          </cell>
        </row>
        <row r="126">
          <cell r="C126" t="str">
            <v>SAEPUL ANWAR</v>
          </cell>
          <cell r="D126">
            <v>45632</v>
          </cell>
          <cell r="E126" t="str">
            <v>0Tahun9 Bulan</v>
          </cell>
        </row>
        <row r="127">
          <cell r="C127" t="str">
            <v>EDRIANSYAH MAULANA</v>
          </cell>
          <cell r="D127">
            <v>45635</v>
          </cell>
          <cell r="E127" t="str">
            <v>0Tahun9 Bulan</v>
          </cell>
        </row>
        <row r="128">
          <cell r="C128" t="str">
            <v>ASRIATI FITRIA</v>
          </cell>
          <cell r="D128">
            <v>45635</v>
          </cell>
          <cell r="E128" t="str">
            <v>0Tahun9 Bulan</v>
          </cell>
        </row>
        <row r="129">
          <cell r="C129" t="str">
            <v>ARIANTI MUSTIKA</v>
          </cell>
          <cell r="D129">
            <v>45635</v>
          </cell>
          <cell r="E129" t="str">
            <v>0Tahun9 Bulan</v>
          </cell>
        </row>
        <row r="130">
          <cell r="C130" t="str">
            <v>DEWI TUNGGAL</v>
          </cell>
          <cell r="D130">
            <v>45635</v>
          </cell>
          <cell r="E130" t="str">
            <v>0Tahun9 Bulan</v>
          </cell>
        </row>
        <row r="131">
          <cell r="C131" t="str">
            <v>ENENG SILVI HERMAWATI</v>
          </cell>
          <cell r="D131">
            <v>45635</v>
          </cell>
          <cell r="E131" t="str">
            <v>0Tahun9 Bulan</v>
          </cell>
        </row>
        <row r="132">
          <cell r="C132" t="str">
            <v>LASMINI</v>
          </cell>
          <cell r="D132">
            <v>45635</v>
          </cell>
          <cell r="E132" t="str">
            <v>0Tahun9 Bulan</v>
          </cell>
        </row>
        <row r="133">
          <cell r="C133" t="str">
            <v>MIMI PARYANI</v>
          </cell>
          <cell r="D133">
            <v>45635</v>
          </cell>
          <cell r="E133" t="str">
            <v>0Tahun9 Bulan</v>
          </cell>
        </row>
        <row r="134">
          <cell r="C134" t="str">
            <v>ROLINAH</v>
          </cell>
          <cell r="D134">
            <v>45635</v>
          </cell>
          <cell r="E134" t="str">
            <v>0Tahun9 Bulan</v>
          </cell>
        </row>
        <row r="135">
          <cell r="C135" t="str">
            <v>TINAH RAMADANTI</v>
          </cell>
          <cell r="D135">
            <v>45635</v>
          </cell>
          <cell r="E135" t="str">
            <v>0Tahun9 Bulan</v>
          </cell>
        </row>
        <row r="136">
          <cell r="C136" t="str">
            <v>ZAHRA JULIANE</v>
          </cell>
          <cell r="D136">
            <v>45635</v>
          </cell>
          <cell r="E136" t="str">
            <v>0Tahun9 Bulan</v>
          </cell>
        </row>
        <row r="137">
          <cell r="C137" t="str">
            <v>FATMA SETIA NINGRUM</v>
          </cell>
          <cell r="D137">
            <v>45642</v>
          </cell>
          <cell r="E137" t="str">
            <v>0Tahun9 Bulan</v>
          </cell>
        </row>
        <row r="138">
          <cell r="C138" t="str">
            <v>YULIYANTI</v>
          </cell>
          <cell r="D138">
            <v>45642</v>
          </cell>
          <cell r="E138" t="str">
            <v>0Tahun9 Bulan</v>
          </cell>
        </row>
        <row r="139">
          <cell r="C139" t="str">
            <v>SITI AMINAH</v>
          </cell>
          <cell r="D139">
            <v>45642</v>
          </cell>
          <cell r="E139" t="str">
            <v>0Tahun9 Bulan</v>
          </cell>
        </row>
        <row r="140">
          <cell r="C140" t="str">
            <v>SELVIA APRILIANI</v>
          </cell>
          <cell r="D140">
            <v>45642</v>
          </cell>
          <cell r="E140" t="str">
            <v>0Tahun9 Bulan</v>
          </cell>
        </row>
        <row r="141">
          <cell r="C141" t="str">
            <v>HARDIYAN MAULANA</v>
          </cell>
          <cell r="D141">
            <v>45642</v>
          </cell>
          <cell r="E141" t="str">
            <v>0Tahun9 Bulan</v>
          </cell>
        </row>
        <row r="142">
          <cell r="C142" t="str">
            <v>DESTA PUTRA ALFIANSYAH</v>
          </cell>
          <cell r="D142">
            <v>45642</v>
          </cell>
          <cell r="E142" t="str">
            <v>0Tahun9 Bulan</v>
          </cell>
        </row>
        <row r="143">
          <cell r="C143" t="str">
            <v>MUHAMAD NURWIJAYA</v>
          </cell>
          <cell r="D143">
            <v>45642</v>
          </cell>
          <cell r="E143" t="str">
            <v>0Tahun9 Bulan</v>
          </cell>
        </row>
        <row r="144">
          <cell r="C144" t="str">
            <v>MUHAMMAD DIKI</v>
          </cell>
          <cell r="D144">
            <v>45649</v>
          </cell>
          <cell r="E144" t="str">
            <v>0Tahun9 Bulan</v>
          </cell>
        </row>
        <row r="145">
          <cell r="C145" t="str">
            <v>AUDIA SYIFA MUFIDA</v>
          </cell>
          <cell r="D145">
            <v>45649</v>
          </cell>
          <cell r="E145" t="str">
            <v>0Tahun9 Bulan</v>
          </cell>
        </row>
        <row r="146">
          <cell r="C146" t="str">
            <v>AFIF SOBARI</v>
          </cell>
          <cell r="D146">
            <v>45649</v>
          </cell>
          <cell r="E146" t="str">
            <v>0Tahun9 Bulan</v>
          </cell>
        </row>
        <row r="147">
          <cell r="C147" t="str">
            <v>KRISMAWATI SITORUS</v>
          </cell>
          <cell r="D147">
            <v>45649</v>
          </cell>
          <cell r="E147" t="str">
            <v>0Tahun9 Bulan</v>
          </cell>
        </row>
        <row r="148">
          <cell r="C148" t="str">
            <v>MUHAMAD MAMUN VIRMANSYAH</v>
          </cell>
          <cell r="D148">
            <v>45649</v>
          </cell>
          <cell r="E148" t="str">
            <v>0Tahun9 Bulan</v>
          </cell>
        </row>
        <row r="149">
          <cell r="C149" t="str">
            <v>NABILA SYAKIP</v>
          </cell>
          <cell r="D149">
            <v>45649</v>
          </cell>
          <cell r="E149" t="str">
            <v>0Tahun9 Bulan</v>
          </cell>
        </row>
        <row r="150">
          <cell r="C150" t="str">
            <v>AMIH</v>
          </cell>
          <cell r="D150">
            <v>45650</v>
          </cell>
          <cell r="E150" t="str">
            <v>0Tahun9 Bulan</v>
          </cell>
        </row>
        <row r="151">
          <cell r="C151" t="str">
            <v>APIP APRIYANTO</v>
          </cell>
          <cell r="D151">
            <v>45650</v>
          </cell>
          <cell r="E151" t="str">
            <v>0Tahun9 Bulan</v>
          </cell>
        </row>
        <row r="152">
          <cell r="C152" t="str">
            <v>ASSYIFA SOFIA ADELLA</v>
          </cell>
          <cell r="D152">
            <v>45650</v>
          </cell>
          <cell r="E152" t="str">
            <v>0Tahun9 Bulan</v>
          </cell>
        </row>
        <row r="153">
          <cell r="C153" t="str">
            <v>MUHIDIN</v>
          </cell>
          <cell r="D153">
            <v>45650</v>
          </cell>
          <cell r="E153" t="str">
            <v>0Tahun9 Bulan</v>
          </cell>
        </row>
        <row r="154">
          <cell r="C154" t="str">
            <v>UCU SUMIATI</v>
          </cell>
          <cell r="D154">
            <v>45650</v>
          </cell>
          <cell r="E154" t="str">
            <v>0Tahun9 Bulan</v>
          </cell>
        </row>
        <row r="155">
          <cell r="C155" t="str">
            <v>SITI MARYAMAH</v>
          </cell>
          <cell r="D155">
            <v>45650</v>
          </cell>
          <cell r="E155" t="str">
            <v>0Tahun9 Bulan</v>
          </cell>
        </row>
        <row r="156">
          <cell r="C156" t="str">
            <v>TEGUH ARY HARTANTO</v>
          </cell>
          <cell r="D156">
            <v>45678</v>
          </cell>
          <cell r="E156" t="str">
            <v>0Tahun8 Bulan</v>
          </cell>
        </row>
        <row r="157">
          <cell r="C157" t="str">
            <v>ARIF PIRMANSYAH</v>
          </cell>
          <cell r="D157">
            <v>45678</v>
          </cell>
          <cell r="E157" t="str">
            <v>0Tahun8 Bulan</v>
          </cell>
        </row>
        <row r="158">
          <cell r="C158" t="str">
            <v>HARIS MULYANA</v>
          </cell>
          <cell r="D158">
            <v>45678</v>
          </cell>
          <cell r="E158" t="str">
            <v>0Tahun8 Bulan</v>
          </cell>
        </row>
        <row r="159">
          <cell r="C159" t="str">
            <v>LILIS</v>
          </cell>
          <cell r="D159">
            <v>45678</v>
          </cell>
          <cell r="E159" t="str">
            <v>0Tahun8 Bulan</v>
          </cell>
        </row>
        <row r="160">
          <cell r="C160" t="str">
            <v>BAYU SETIAJI</v>
          </cell>
          <cell r="D160">
            <v>45678</v>
          </cell>
          <cell r="E160" t="str">
            <v>0Tahun8 Bulan</v>
          </cell>
        </row>
        <row r="161">
          <cell r="C161" t="str">
            <v>MUHAMMAD SIDIK ALFARIZI</v>
          </cell>
          <cell r="D161">
            <v>45678</v>
          </cell>
          <cell r="E161" t="str">
            <v>0Tahun8 Bulan</v>
          </cell>
        </row>
        <row r="162">
          <cell r="C162" t="str">
            <v>MUHAMMAD BIAS ALFARISI</v>
          </cell>
          <cell r="D162">
            <v>45678</v>
          </cell>
          <cell r="E162" t="str">
            <v>0Tahun8 Bulan</v>
          </cell>
        </row>
        <row r="163">
          <cell r="C163" t="str">
            <v>YADI</v>
          </cell>
          <cell r="D163">
            <v>45678</v>
          </cell>
          <cell r="E163" t="str">
            <v>0Tahun8 Bulan</v>
          </cell>
        </row>
        <row r="164">
          <cell r="C164" t="str">
            <v>ABDUL MAJID</v>
          </cell>
          <cell r="D164">
            <v>45687</v>
          </cell>
          <cell r="E164" t="str">
            <v>0Tahun8 Bulan</v>
          </cell>
        </row>
        <row r="165">
          <cell r="C165" t="str">
            <v>SUPRIADI</v>
          </cell>
          <cell r="D165">
            <v>45691</v>
          </cell>
          <cell r="E165" t="str">
            <v>0Tahun8 Bulan</v>
          </cell>
        </row>
        <row r="166">
          <cell r="C166" t="str">
            <v>FERI ANGGARA</v>
          </cell>
          <cell r="D166">
            <v>45691</v>
          </cell>
          <cell r="E166" t="str">
            <v>0Tahun8 Bulan</v>
          </cell>
        </row>
        <row r="167">
          <cell r="C167" t="str">
            <v>OPIK SYAHPUTRA</v>
          </cell>
          <cell r="D167">
            <v>45691</v>
          </cell>
          <cell r="E167" t="str">
            <v>0Tahun8 Bulan</v>
          </cell>
        </row>
        <row r="168">
          <cell r="C168" t="str">
            <v>GITALIS DWI NATARINA</v>
          </cell>
          <cell r="D168">
            <v>45691</v>
          </cell>
          <cell r="E168" t="str">
            <v>0Tahun8 Bulan</v>
          </cell>
        </row>
        <row r="169">
          <cell r="C169" t="str">
            <v>PIPIT AMELIA</v>
          </cell>
          <cell r="D169">
            <v>45691</v>
          </cell>
          <cell r="E169" t="str">
            <v>0Tahun8 Bulan</v>
          </cell>
        </row>
        <row r="170">
          <cell r="C170" t="str">
            <v>RIKA HERAWATI</v>
          </cell>
          <cell r="D170">
            <v>45691</v>
          </cell>
          <cell r="E170" t="str">
            <v>0Tahun8 Bulan</v>
          </cell>
        </row>
        <row r="171">
          <cell r="C171" t="str">
            <v>LAELY MUNAYAH</v>
          </cell>
          <cell r="D171">
            <v>45698</v>
          </cell>
          <cell r="E171" t="str">
            <v>0Tahun7 Bulan</v>
          </cell>
        </row>
        <row r="172">
          <cell r="C172" t="str">
            <v>TIKA RAHMA WITRI</v>
          </cell>
          <cell r="D172">
            <v>45698</v>
          </cell>
          <cell r="E172" t="str">
            <v>0Tahun7 Bulan</v>
          </cell>
        </row>
        <row r="173">
          <cell r="C173" t="str">
            <v>AZIS MAULANA IBRAHIM</v>
          </cell>
          <cell r="D173">
            <v>45698</v>
          </cell>
          <cell r="E173" t="str">
            <v>0Tahun7 Bulan</v>
          </cell>
        </row>
        <row r="174">
          <cell r="C174" t="str">
            <v>DONI DANUARTA</v>
          </cell>
          <cell r="D174">
            <v>45698</v>
          </cell>
          <cell r="E174" t="str">
            <v>0Tahun7 Bulan</v>
          </cell>
        </row>
        <row r="175">
          <cell r="C175" t="str">
            <v>HALIMATUSSADIAH</v>
          </cell>
          <cell r="D175">
            <v>45698</v>
          </cell>
          <cell r="E175" t="str">
            <v>0Tahun7 Bulan</v>
          </cell>
        </row>
        <row r="176">
          <cell r="C176" t="str">
            <v>RUDI YANSYAH</v>
          </cell>
          <cell r="D176">
            <v>45698</v>
          </cell>
          <cell r="E176" t="str">
            <v>0Tahun7 Bulan</v>
          </cell>
        </row>
        <row r="177">
          <cell r="C177" t="str">
            <v>SURYA MAHENDRA</v>
          </cell>
          <cell r="D177">
            <v>45698</v>
          </cell>
          <cell r="E177" t="str">
            <v>0Tahun7 Bulan</v>
          </cell>
        </row>
        <row r="178">
          <cell r="C178" t="str">
            <v>WIDIA ASTUTI</v>
          </cell>
          <cell r="D178">
            <v>45701</v>
          </cell>
          <cell r="E178" t="str">
            <v>0Tahun7 Bulan</v>
          </cell>
        </row>
        <row r="179">
          <cell r="C179" t="str">
            <v>RAHAYU YULIYANTI</v>
          </cell>
          <cell r="D179">
            <v>45701</v>
          </cell>
          <cell r="E179" t="str">
            <v>0Tahun7 Bulan</v>
          </cell>
        </row>
        <row r="180">
          <cell r="C180" t="str">
            <v>AI DESI NATALIA</v>
          </cell>
          <cell r="D180">
            <v>45701</v>
          </cell>
          <cell r="E180" t="str">
            <v>0Tahun7 Bulan</v>
          </cell>
        </row>
        <row r="181">
          <cell r="C181" t="str">
            <v>WAFA HANIFAH</v>
          </cell>
          <cell r="D181">
            <v>45705</v>
          </cell>
          <cell r="E181" t="str">
            <v>0Tahun7 Bulan</v>
          </cell>
        </row>
        <row r="182">
          <cell r="C182" t="str">
            <v>ANGGUN LESTARI</v>
          </cell>
          <cell r="D182">
            <v>45705</v>
          </cell>
          <cell r="E182" t="str">
            <v>0Tahun7 Bulan</v>
          </cell>
        </row>
        <row r="183">
          <cell r="C183" t="str">
            <v>BARKAH</v>
          </cell>
          <cell r="D183">
            <v>45705</v>
          </cell>
          <cell r="E183" t="str">
            <v>0Tahun7 Bulan</v>
          </cell>
        </row>
        <row r="184">
          <cell r="C184" t="str">
            <v>NENDI HIDAYAT</v>
          </cell>
          <cell r="D184">
            <v>45705</v>
          </cell>
          <cell r="E184" t="str">
            <v>0Tahun7 Bulan</v>
          </cell>
        </row>
        <row r="185">
          <cell r="C185" t="str">
            <v>AISYAH QURROTA AINY</v>
          </cell>
          <cell r="D185">
            <v>45705</v>
          </cell>
          <cell r="E185" t="str">
            <v>0Tahun7 Bulan</v>
          </cell>
        </row>
        <row r="186">
          <cell r="C186" t="str">
            <v>NUR ALISAH</v>
          </cell>
          <cell r="D186">
            <v>45705</v>
          </cell>
          <cell r="E186" t="str">
            <v>0Tahun7 Bulan</v>
          </cell>
        </row>
        <row r="187">
          <cell r="C187" t="str">
            <v>DANI PRASETYO</v>
          </cell>
          <cell r="D187">
            <v>45705</v>
          </cell>
          <cell r="E187" t="str">
            <v>0Tahun7 Bulan</v>
          </cell>
        </row>
        <row r="188">
          <cell r="C188" t="str">
            <v>ANGGI RIANDI</v>
          </cell>
          <cell r="D188">
            <v>45705</v>
          </cell>
          <cell r="E188" t="str">
            <v>0Tahun7 Bulan</v>
          </cell>
        </row>
        <row r="189">
          <cell r="C189" t="str">
            <v>YAHYA NUROHIM</v>
          </cell>
          <cell r="D189">
            <v>45705</v>
          </cell>
          <cell r="E189" t="str">
            <v>0Tahun7 Bulan</v>
          </cell>
        </row>
        <row r="190">
          <cell r="C190" t="str">
            <v>DIKI</v>
          </cell>
          <cell r="D190">
            <v>45705</v>
          </cell>
          <cell r="E190" t="str">
            <v>0Tahun7 Bulan</v>
          </cell>
        </row>
        <row r="191">
          <cell r="C191" t="str">
            <v>ARDIANSAH KURNIA SANDI</v>
          </cell>
          <cell r="D191">
            <v>45705</v>
          </cell>
          <cell r="E191" t="str">
            <v>0Tahun7 Bulan</v>
          </cell>
        </row>
        <row r="192">
          <cell r="C192" t="str">
            <v>RAHMADANI SUMANTO</v>
          </cell>
          <cell r="D192">
            <v>45705</v>
          </cell>
          <cell r="E192" t="str">
            <v>0Tahun7 Bulan</v>
          </cell>
        </row>
        <row r="193">
          <cell r="C193" t="str">
            <v>MIFTAHUDIN</v>
          </cell>
          <cell r="D193">
            <v>45705</v>
          </cell>
          <cell r="E193" t="str">
            <v>0Tahun7 Bulan</v>
          </cell>
        </row>
        <row r="194">
          <cell r="C194" t="str">
            <v>MUHAMMAD NIZAMMUDDIN</v>
          </cell>
          <cell r="D194">
            <v>45705</v>
          </cell>
          <cell r="E194" t="str">
            <v>0Tahun7 Bulan</v>
          </cell>
        </row>
        <row r="195">
          <cell r="C195" t="str">
            <v>JARIS AKBAR SUBAGJA</v>
          </cell>
          <cell r="D195">
            <v>45705</v>
          </cell>
          <cell r="E195" t="str">
            <v>0Tahun7 Bulan</v>
          </cell>
        </row>
        <row r="196">
          <cell r="C196" t="str">
            <v>HAFZI LISAN</v>
          </cell>
          <cell r="D196">
            <v>45713</v>
          </cell>
          <cell r="E196" t="str">
            <v>0Tahun7 Bulan</v>
          </cell>
        </row>
        <row r="197">
          <cell r="C197" t="str">
            <v>ROSSI</v>
          </cell>
          <cell r="D197">
            <v>45713</v>
          </cell>
          <cell r="E197" t="str">
            <v>0Tahun7 Bulan</v>
          </cell>
        </row>
        <row r="198">
          <cell r="C198" t="str">
            <v>LESTARI SRI INDAH</v>
          </cell>
          <cell r="D198">
            <v>45713</v>
          </cell>
          <cell r="E198" t="str">
            <v>0Tahun7 Bulan</v>
          </cell>
        </row>
        <row r="199">
          <cell r="C199" t="str">
            <v>LINDA SEPIRA</v>
          </cell>
          <cell r="D199">
            <v>45713</v>
          </cell>
          <cell r="E199" t="str">
            <v>0Tahun7 Bulan</v>
          </cell>
        </row>
        <row r="200">
          <cell r="C200" t="str">
            <v>MUHAMAD BAYU PRAYOGI</v>
          </cell>
          <cell r="D200">
            <v>45713</v>
          </cell>
          <cell r="E200" t="str">
            <v>0Tahun7 Bulan</v>
          </cell>
        </row>
        <row r="201">
          <cell r="C201" t="str">
            <v>M. FARHAN</v>
          </cell>
          <cell r="D201">
            <v>45713</v>
          </cell>
          <cell r="E201" t="str">
            <v>0Tahun7 Bulan</v>
          </cell>
        </row>
        <row r="202">
          <cell r="C202" t="str">
            <v>RIKA NUR SEPTIANI</v>
          </cell>
          <cell r="D202">
            <v>45713</v>
          </cell>
          <cell r="E202" t="str">
            <v>0Tahun7 Bulan</v>
          </cell>
        </row>
        <row r="203">
          <cell r="C203" t="str">
            <v>NIKO ROSALINA</v>
          </cell>
          <cell r="D203">
            <v>45713</v>
          </cell>
          <cell r="E203" t="str">
            <v>0Tahun7Bulan</v>
          </cell>
        </row>
        <row r="204">
          <cell r="C204" t="str">
            <v>NURSIDAWATI</v>
          </cell>
          <cell r="D204">
            <v>45756</v>
          </cell>
          <cell r="E204" t="str">
            <v>0Tahun5 Bulan</v>
          </cell>
        </row>
        <row r="205">
          <cell r="C205" t="str">
            <v>GILANG SAPUTRA</v>
          </cell>
          <cell r="D205">
            <v>45756</v>
          </cell>
          <cell r="E205" t="str">
            <v>0Tahun5 Bulan</v>
          </cell>
        </row>
        <row r="206">
          <cell r="C206" t="str">
            <v>ENCEP YOCEU</v>
          </cell>
          <cell r="D206">
            <v>45757</v>
          </cell>
          <cell r="E206" t="str">
            <v>0Tahun5 Bulan</v>
          </cell>
        </row>
        <row r="207">
          <cell r="C207" t="str">
            <v>RISKI ADITIA</v>
          </cell>
          <cell r="D207">
            <v>45757</v>
          </cell>
          <cell r="E207" t="str">
            <v>0Tahun5 Bulan</v>
          </cell>
        </row>
        <row r="208">
          <cell r="C208" t="str">
            <v>RIAN ABDI WIBAWA</v>
          </cell>
          <cell r="D208">
            <v>45757</v>
          </cell>
          <cell r="E208" t="str">
            <v>0Tahun5 Bulan</v>
          </cell>
        </row>
        <row r="209">
          <cell r="C209" t="str">
            <v>HARI TEJO SURYANTORO</v>
          </cell>
          <cell r="D209">
            <v>45748</v>
          </cell>
          <cell r="E209" t="str">
            <v>0Tahun6 Bulan</v>
          </cell>
        </row>
        <row r="210">
          <cell r="C210" t="str">
            <v>ERLIANA LESTARI</v>
          </cell>
          <cell r="D210">
            <v>45762</v>
          </cell>
          <cell r="E210" t="str">
            <v>0Tahun5 Bulan</v>
          </cell>
        </row>
        <row r="211">
          <cell r="C211" t="str">
            <v>ABAS JUNAEDI</v>
          </cell>
          <cell r="D211">
            <v>45762</v>
          </cell>
          <cell r="E211" t="str">
            <v>0Tahun5 Bulan</v>
          </cell>
        </row>
        <row r="212">
          <cell r="C212" t="str">
            <v>WINA YUNINGSIH</v>
          </cell>
          <cell r="D212">
            <v>45762</v>
          </cell>
          <cell r="E212" t="str">
            <v>0Tahun5 Bulan</v>
          </cell>
        </row>
        <row r="213">
          <cell r="C213" t="str">
            <v>RIXY FERDIANSYAH</v>
          </cell>
          <cell r="D213">
            <v>45763</v>
          </cell>
          <cell r="E213" t="str">
            <v>0Tahun5 Bulan</v>
          </cell>
        </row>
        <row r="214">
          <cell r="C214" t="str">
            <v>RENALDI</v>
          </cell>
          <cell r="D214">
            <v>45763</v>
          </cell>
          <cell r="E214" t="str">
            <v>0Tahun5 Bulan</v>
          </cell>
        </row>
        <row r="215">
          <cell r="C215" t="str">
            <v>IMA KURNIA DEWI</v>
          </cell>
          <cell r="D215">
            <v>45763</v>
          </cell>
          <cell r="E215" t="str">
            <v>0Tahun5 Bulan</v>
          </cell>
        </row>
        <row r="216">
          <cell r="C216" t="str">
            <v>SALMAN ALFARIZI</v>
          </cell>
          <cell r="D216">
            <v>45779</v>
          </cell>
          <cell r="E216" t="str">
            <v>0Tahun5 Bulan</v>
          </cell>
        </row>
        <row r="217">
          <cell r="C217" t="str">
            <v>ROHMAN WIJAYA KUSUMAH</v>
          </cell>
          <cell r="D217">
            <v>45800</v>
          </cell>
          <cell r="E217" t="str">
            <v>0Tahun4 Bulan</v>
          </cell>
        </row>
        <row r="218">
          <cell r="C218" t="str">
            <v>DAJAT SUDRAJAT</v>
          </cell>
          <cell r="D218">
            <v>45783</v>
          </cell>
          <cell r="E218" t="str">
            <v>0Tahun4 Bulan</v>
          </cell>
        </row>
        <row r="219">
          <cell r="C219" t="str">
            <v>ROMIN</v>
          </cell>
          <cell r="D219">
            <v>45783</v>
          </cell>
          <cell r="E219" t="str">
            <v>0Tahun4 Bulan</v>
          </cell>
        </row>
        <row r="220">
          <cell r="C220" t="str">
            <v>ARIYANTO</v>
          </cell>
          <cell r="D220">
            <v>45810</v>
          </cell>
          <cell r="E220" t="str">
            <v>0Tahun4 Bulan</v>
          </cell>
        </row>
        <row r="221">
          <cell r="C221" t="str">
            <v>FAZRI AMARULLAH</v>
          </cell>
          <cell r="D221">
            <v>45810</v>
          </cell>
          <cell r="E221" t="str">
            <v>0Tahun4 Bulan</v>
          </cell>
        </row>
        <row r="222">
          <cell r="C222" t="str">
            <v>IYAN SOPYAN</v>
          </cell>
        </row>
        <row r="223">
          <cell r="C223" t="str">
            <v>MUHAMMAD REZA JAELANI</v>
          </cell>
          <cell r="D223">
            <v>45817</v>
          </cell>
          <cell r="E223" t="str">
            <v>0Tahun3 Bulan</v>
          </cell>
        </row>
        <row r="224">
          <cell r="C224" t="str">
            <v>SYAUQI BONDAN ASMARA</v>
          </cell>
          <cell r="D224">
            <v>45817</v>
          </cell>
          <cell r="E224" t="str">
            <v>0Tahun3 Bulan</v>
          </cell>
        </row>
        <row r="225">
          <cell r="C225" t="str">
            <v>FAHMI AROBY</v>
          </cell>
          <cell r="D225">
            <v>45817</v>
          </cell>
          <cell r="E225" t="str">
            <v>0Tahun3 Bulan</v>
          </cell>
        </row>
        <row r="226">
          <cell r="C226" t="str">
            <v>ADELLA DWI AGUSTIN S</v>
          </cell>
          <cell r="D226">
            <v>45817</v>
          </cell>
          <cell r="E226" t="str">
            <v>0Tahun3 Bulan</v>
          </cell>
        </row>
        <row r="227">
          <cell r="C227" t="str">
            <v>ISAH PUSPITA SARI</v>
          </cell>
          <cell r="D227">
            <v>45817</v>
          </cell>
          <cell r="E227" t="str">
            <v>0Tahun3 Bulan</v>
          </cell>
        </row>
        <row r="228">
          <cell r="C228" t="str">
            <v>DEWI SRI RAHAYU</v>
          </cell>
          <cell r="D228">
            <v>45819</v>
          </cell>
          <cell r="E228" t="str">
            <v>0Tahun3 Bulan</v>
          </cell>
        </row>
        <row r="229">
          <cell r="C229" t="str">
            <v>OVALINDA SEPTIANI AULIA</v>
          </cell>
          <cell r="D229">
            <v>45819</v>
          </cell>
          <cell r="E229" t="str">
            <v>0Tahun3 Bulan</v>
          </cell>
        </row>
        <row r="230">
          <cell r="C230" t="str">
            <v>ENAN DARMAWAN</v>
          </cell>
        </row>
        <row r="231">
          <cell r="C231" t="str">
            <v>AHMAD FAQRI ALI</v>
          </cell>
          <cell r="D231">
            <v>45838</v>
          </cell>
          <cell r="E231" t="str">
            <v>0Tahun3 Bulan</v>
          </cell>
        </row>
        <row r="232">
          <cell r="C232" t="str">
            <v>ADITYA AHMAD RIVAN SYACH</v>
          </cell>
          <cell r="D232">
            <v>45838</v>
          </cell>
          <cell r="E232" t="str">
            <v>0Tahun3 Bulan</v>
          </cell>
        </row>
        <row r="233">
          <cell r="C233" t="str">
            <v>TRI YUSWONO</v>
          </cell>
          <cell r="D233">
            <v>45838</v>
          </cell>
          <cell r="E233" t="str">
            <v>0Tahun3 Bulan</v>
          </cell>
        </row>
        <row r="234">
          <cell r="C234" t="str">
            <v>ANGGA BAYU PAMUNGKAS</v>
          </cell>
          <cell r="D234">
            <v>45849</v>
          </cell>
          <cell r="E234" t="str">
            <v>0Tahun2 Bulan</v>
          </cell>
        </row>
        <row r="235">
          <cell r="C235" t="str">
            <v>MUHAMMAD FAZRI</v>
          </cell>
          <cell r="D235">
            <v>45849</v>
          </cell>
          <cell r="E235" t="str">
            <v>0Tahun2 Bulan</v>
          </cell>
        </row>
        <row r="236">
          <cell r="C236" t="str">
            <v>NOPAL</v>
          </cell>
          <cell r="D236">
            <v>45849</v>
          </cell>
          <cell r="E236" t="str">
            <v>0Tahun2 Bulan</v>
          </cell>
        </row>
        <row r="237">
          <cell r="C237" t="str">
            <v>ADENG MAULANA</v>
          </cell>
          <cell r="D237">
            <v>45849</v>
          </cell>
          <cell r="E237" t="str">
            <v>0Tahun2 Bulan</v>
          </cell>
        </row>
        <row r="238">
          <cell r="C238" t="str">
            <v>AKMAL FARIZAL</v>
          </cell>
          <cell r="D238">
            <v>45849</v>
          </cell>
          <cell r="E238" t="str">
            <v>0Tahun2 Bulan</v>
          </cell>
        </row>
        <row r="239">
          <cell r="C239" t="str">
            <v>SOPIYAH</v>
          </cell>
          <cell r="D239">
            <v>45849</v>
          </cell>
          <cell r="E239" t="str">
            <v>0Tahun2 Bulan</v>
          </cell>
        </row>
        <row r="240">
          <cell r="C240" t="str">
            <v>ERMI MITA WUARLELA</v>
          </cell>
          <cell r="D240">
            <v>45849</v>
          </cell>
          <cell r="E240" t="str">
            <v>0Tahun2 Bulan</v>
          </cell>
        </row>
        <row r="241">
          <cell r="C241" t="str">
            <v>MOCHAMMAD EMAL MAULANA</v>
          </cell>
          <cell r="D241">
            <v>45854</v>
          </cell>
          <cell r="E241" t="str">
            <v>0Tahun2 Bulan</v>
          </cell>
        </row>
        <row r="242">
          <cell r="C242" t="str">
            <v>ABU BAKAR SIDIK</v>
          </cell>
          <cell r="D242">
            <v>45854</v>
          </cell>
          <cell r="E242" t="str">
            <v>0Tahun2 Bulan</v>
          </cell>
        </row>
        <row r="243">
          <cell r="C243" t="str">
            <v>DERI ARYANDI</v>
          </cell>
          <cell r="D243">
            <v>45854</v>
          </cell>
          <cell r="E243" t="str">
            <v>0Tahun2 Bulan</v>
          </cell>
        </row>
        <row r="244">
          <cell r="C244" t="str">
            <v>EKA SUKMA HADI</v>
          </cell>
          <cell r="D244">
            <v>45854</v>
          </cell>
          <cell r="E244" t="str">
            <v>0Tahun2 Bulan</v>
          </cell>
        </row>
        <row r="245">
          <cell r="C245" t="str">
            <v>MULTINI</v>
          </cell>
          <cell r="D245">
            <v>45854</v>
          </cell>
          <cell r="E245" t="str">
            <v>0Tahun2 Bulan</v>
          </cell>
        </row>
        <row r="246">
          <cell r="C246" t="str">
            <v>BADRUDIN</v>
          </cell>
          <cell r="D246">
            <v>45861</v>
          </cell>
          <cell r="E246" t="str">
            <v>0Tahun2 Bulan</v>
          </cell>
        </row>
        <row r="247">
          <cell r="C247" t="str">
            <v>ROSSA ANANDITA</v>
          </cell>
          <cell r="D247">
            <v>45868</v>
          </cell>
          <cell r="E247" t="str">
            <v>0Tahun2 Bulan</v>
          </cell>
        </row>
        <row r="248">
          <cell r="C248" t="str">
            <v>RINI ANTIKA</v>
          </cell>
          <cell r="D248">
            <v>45868</v>
          </cell>
          <cell r="E248" t="str">
            <v>0Tahun2 Bulan</v>
          </cell>
        </row>
        <row r="249">
          <cell r="C249" t="str">
            <v>NABILA LISTARIANI PUTRI</v>
          </cell>
          <cell r="D249">
            <v>45868</v>
          </cell>
          <cell r="E249" t="str">
            <v>0Tahun2 Bulan</v>
          </cell>
        </row>
        <row r="250">
          <cell r="C250" t="str">
            <v>AMIR SAPUTRA</v>
          </cell>
          <cell r="D250">
            <v>45868</v>
          </cell>
          <cell r="E250" t="str">
            <v>0Tahun2 Bulan</v>
          </cell>
        </row>
        <row r="251">
          <cell r="C251" t="str">
            <v>HENDRA FADLI</v>
          </cell>
          <cell r="D251">
            <v>45868</v>
          </cell>
          <cell r="E251" t="str">
            <v>0Tahun2 Bulan</v>
          </cell>
        </row>
        <row r="252">
          <cell r="C252" t="str">
            <v>IMAN RAHMAN</v>
          </cell>
          <cell r="D252">
            <v>45870</v>
          </cell>
          <cell r="E252" t="str">
            <v>0Tahun2 Bulan</v>
          </cell>
        </row>
        <row r="253">
          <cell r="C253" t="str">
            <v>AJI ANGGORO PANDU RAENO</v>
          </cell>
          <cell r="D253">
            <v>45880</v>
          </cell>
          <cell r="E253" t="str">
            <v>0Tahun1 Bulan</v>
          </cell>
        </row>
        <row r="254">
          <cell r="C254" t="str">
            <v>UJANG WIJAYA</v>
          </cell>
          <cell r="D254">
            <v>45880</v>
          </cell>
          <cell r="E254" t="str">
            <v>0Tahun1 Bulan</v>
          </cell>
        </row>
        <row r="255">
          <cell r="C255" t="str">
            <v>DEAN SEPTIYAN</v>
          </cell>
          <cell r="D255">
            <v>45880</v>
          </cell>
          <cell r="E255" t="str">
            <v>0Tahun1 Bulan</v>
          </cell>
        </row>
        <row r="256">
          <cell r="C256" t="str">
            <v>MUHAIMIN</v>
          </cell>
          <cell r="D256">
            <v>45882</v>
          </cell>
          <cell r="E256" t="str">
            <v>0Tahun1 Bulan</v>
          </cell>
        </row>
        <row r="257">
          <cell r="C257" t="str">
            <v>MUHAMMAD FADEL</v>
          </cell>
          <cell r="D257">
            <v>45887</v>
          </cell>
          <cell r="E257" t="str">
            <v>0Tahun1 Bulan</v>
          </cell>
        </row>
        <row r="258">
          <cell r="C258" t="str">
            <v>YULI WULANDARI</v>
          </cell>
          <cell r="D258">
            <v>45887</v>
          </cell>
          <cell r="E258" t="str">
            <v>0Tahun1 Bulan</v>
          </cell>
        </row>
        <row r="259">
          <cell r="C259" t="str">
            <v>HAYDAR RIDLO GALUH PANUTAN</v>
          </cell>
          <cell r="D259">
            <v>45887</v>
          </cell>
          <cell r="E259" t="str">
            <v>0Tahun1 Bulan</v>
          </cell>
        </row>
        <row r="260">
          <cell r="C260" t="str">
            <v>RINI ROSMAYANTI</v>
          </cell>
          <cell r="D260">
            <v>45887</v>
          </cell>
          <cell r="E260" t="str">
            <v>0Tahun1 Bulan</v>
          </cell>
        </row>
        <row r="261">
          <cell r="C261" t="str">
            <v>MUHAMMAD AL ZAMRI</v>
          </cell>
          <cell r="D261">
            <v>45890</v>
          </cell>
          <cell r="E261" t="str">
            <v>0Tahun1 Bulan</v>
          </cell>
        </row>
        <row r="262">
          <cell r="C262" t="str">
            <v>MUHAMMAD DAFFA AL BARIQ</v>
          </cell>
          <cell r="D262">
            <v>45890</v>
          </cell>
          <cell r="E262" t="str">
            <v>0Tahun1 Bulan</v>
          </cell>
        </row>
        <row r="263">
          <cell r="C263" t="str">
            <v>SUHENDRA</v>
          </cell>
          <cell r="D263">
            <v>45890</v>
          </cell>
          <cell r="E263" t="str">
            <v>0Tahun1 Bulan</v>
          </cell>
        </row>
        <row r="264">
          <cell r="C264" t="str">
            <v>FAREL ACHMADINATA</v>
          </cell>
          <cell r="D264">
            <v>45890</v>
          </cell>
          <cell r="E264" t="str">
            <v>0Tahun1 Bulan</v>
          </cell>
        </row>
        <row r="265">
          <cell r="C265" t="str">
            <v>CICIH</v>
          </cell>
          <cell r="D265">
            <v>45890</v>
          </cell>
          <cell r="E265" t="str">
            <v>0Tahun1 Bulan</v>
          </cell>
        </row>
        <row r="266">
          <cell r="C266" t="str">
            <v>NIKEN AYU</v>
          </cell>
          <cell r="D266">
            <v>45890</v>
          </cell>
          <cell r="E266" t="str">
            <v>0Tahun1 Bulan</v>
          </cell>
        </row>
        <row r="267">
          <cell r="C267" t="str">
            <v>RIKA AMALIA</v>
          </cell>
          <cell r="D267">
            <v>45890</v>
          </cell>
          <cell r="E267" t="str">
            <v>0Tahun1 Bulan</v>
          </cell>
        </row>
        <row r="268">
          <cell r="C268" t="str">
            <v>SYIFA FAUZIA AROFI</v>
          </cell>
          <cell r="D268">
            <v>45891</v>
          </cell>
          <cell r="E268" t="str">
            <v>0Tahun1 Bulan</v>
          </cell>
        </row>
        <row r="269">
          <cell r="C269" t="str">
            <v>SYAHRIL SIDIK</v>
          </cell>
          <cell r="D269">
            <v>45891</v>
          </cell>
          <cell r="E269" t="str">
            <v>0Tahun1 Bulan</v>
          </cell>
        </row>
        <row r="270">
          <cell r="C270" t="str">
            <v>RIO PRAITNO</v>
          </cell>
          <cell r="D270">
            <v>45891</v>
          </cell>
          <cell r="E270" t="str">
            <v>0Tahun1 Bulan</v>
          </cell>
        </row>
        <row r="271">
          <cell r="C271" t="str">
            <v>JAMALUDIN</v>
          </cell>
          <cell r="D271">
            <v>45891</v>
          </cell>
          <cell r="E271" t="str">
            <v>0Tahun1 Bulan</v>
          </cell>
        </row>
        <row r="272">
          <cell r="C272" t="str">
            <v>OPIK MAULANA YUSUP</v>
          </cell>
          <cell r="D272">
            <v>45891</v>
          </cell>
          <cell r="E272" t="str">
            <v>0Tahun1 Bulan</v>
          </cell>
        </row>
        <row r="273">
          <cell r="C273" t="str">
            <v>NADHIRA ATSILA</v>
          </cell>
          <cell r="D273">
            <v>45894</v>
          </cell>
          <cell r="E273" t="str">
            <v>0Tahun1 Bulan</v>
          </cell>
        </row>
        <row r="274">
          <cell r="C274" t="str">
            <v>FAIZAL NUR AHMAD</v>
          </cell>
          <cell r="D274">
            <v>45898</v>
          </cell>
          <cell r="E274" t="str">
            <v>0Tahun1 Bulan</v>
          </cell>
        </row>
        <row r="275">
          <cell r="C275" t="str">
            <v>RIKO MAULANA</v>
          </cell>
          <cell r="D275">
            <v>45898</v>
          </cell>
          <cell r="E275" t="str">
            <v>0Tahun1 Bulan</v>
          </cell>
        </row>
        <row r="276">
          <cell r="C276" t="str">
            <v>IKLIMAH CAHYANI</v>
          </cell>
          <cell r="D276">
            <v>45898</v>
          </cell>
          <cell r="E276" t="str">
            <v>0Tahun1 Bulan</v>
          </cell>
        </row>
        <row r="277">
          <cell r="C277" t="str">
            <v>FIDIYA DWI MELIYAWATI</v>
          </cell>
          <cell r="D277">
            <v>45898</v>
          </cell>
          <cell r="E277" t="str">
            <v>0Tahun1 Bulan</v>
          </cell>
        </row>
        <row r="278">
          <cell r="C278" t="str">
            <v>ALYA ROSITA</v>
          </cell>
          <cell r="D278">
            <v>45898</v>
          </cell>
          <cell r="E278" t="str">
            <v>0Tahun1 Bulan</v>
          </cell>
        </row>
        <row r="279">
          <cell r="C279" t="str">
            <v>DEWI RATNA SARI</v>
          </cell>
          <cell r="D279">
            <v>45898</v>
          </cell>
          <cell r="E279" t="str">
            <v>0Tahun1 Bulan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S104"/>
  <sheetViews>
    <sheetView zoomScale="150" zoomScaleNormal="150" topLeftCell="A10" workbookViewId="0">
      <pane xSplit="2" ySplit="2" topLeftCell="Q92" activePane="bottomRight" state="frozen"/>
      <selection/>
      <selection pane="topRight"/>
      <selection pane="bottomLeft"/>
      <selection pane="bottomRight" activeCell="AG96" sqref="AG96"/>
    </sheetView>
  </sheetViews>
  <sheetFormatPr defaultColWidth="9" defaultRowHeight="14.5"/>
  <cols>
    <col min="1" max="1" width="10.3636363636364" customWidth="1"/>
    <col min="2" max="2" width="27.9090909090909" customWidth="1"/>
    <col min="3" max="3" width="16.6363636363636" customWidth="1"/>
    <col min="4" max="4" width="20.0909090909091" customWidth="1"/>
    <col min="5" max="35" width="7.63636363636364" customWidth="1"/>
    <col min="36" max="36" width="10.3636363636364" customWidth="1"/>
    <col min="37" max="41" width="9" customWidth="1"/>
    <col min="42" max="42" width="15.6363636363636" customWidth="1"/>
    <col min="43" max="43" width="38.5454545454545" customWidth="1"/>
    <col min="44" max="45" width="15.6363636363636" customWidth="1"/>
  </cols>
  <sheetData>
    <row r="2" ht="20.15" customHeight="1" spans="1:4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ht="20.15" customHeight="1" spans="1:4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20.15" customHeight="1" spans="1:45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299"/>
    </row>
    <row r="5" ht="20.15" customHeight="1" spans="1:45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300"/>
    </row>
    <row r="6" ht="20.15" customHeight="1" spans="1:45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301"/>
    </row>
    <row r="7" ht="20.15" customHeight="1" spans="1:45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302"/>
    </row>
    <row r="8" ht="20.15" customHeight="1" spans="1:45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303"/>
    </row>
    <row r="9" ht="20.15" customHeight="1" spans="1:4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289"/>
      <c r="AG9" s="289"/>
      <c r="AH9" s="289"/>
    </row>
    <row r="10" s="20" customFormat="1" ht="16.5" spans="1:45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K10" s="56"/>
      <c r="AL10" s="23" t="s">
        <v>5</v>
      </c>
      <c r="AM10" s="24"/>
      <c r="AN10" s="24"/>
      <c r="AO10" s="25"/>
      <c r="AP10" s="2" t="s">
        <v>6</v>
      </c>
      <c r="AQ10" s="2" t="s">
        <v>7</v>
      </c>
      <c r="AR10" s="26" t="s">
        <v>8</v>
      </c>
      <c r="AS10" s="27" t="s">
        <v>9</v>
      </c>
    </row>
    <row r="11" s="21" customFormat="1" ht="23.15" customHeight="1" spans="1:45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258">
        <v>24</v>
      </c>
      <c r="I11" s="58">
        <v>25</v>
      </c>
      <c r="J11" s="58">
        <v>26</v>
      </c>
      <c r="K11" s="58">
        <v>27</v>
      </c>
      <c r="L11" s="58">
        <v>28</v>
      </c>
      <c r="M11" s="58">
        <v>29</v>
      </c>
      <c r="N11" s="58">
        <v>30</v>
      </c>
      <c r="O11" s="258">
        <v>31</v>
      </c>
      <c r="P11" s="58">
        <v>1</v>
      </c>
      <c r="Q11" s="58">
        <v>2</v>
      </c>
      <c r="R11" s="58">
        <v>3</v>
      </c>
      <c r="S11" s="58">
        <v>4</v>
      </c>
      <c r="T11" s="258">
        <v>5</v>
      </c>
      <c r="U11" s="58">
        <v>6</v>
      </c>
      <c r="V11" s="258">
        <v>7</v>
      </c>
      <c r="W11" s="58">
        <v>8</v>
      </c>
      <c r="X11" s="58">
        <v>9</v>
      </c>
      <c r="Y11" s="58">
        <v>10</v>
      </c>
      <c r="Z11" s="58">
        <v>11</v>
      </c>
      <c r="AA11" s="58">
        <v>12</v>
      </c>
      <c r="AB11" s="58">
        <v>13</v>
      </c>
      <c r="AC11" s="58">
        <v>14</v>
      </c>
      <c r="AD11" s="58">
        <v>15</v>
      </c>
      <c r="AE11" s="58">
        <v>16</v>
      </c>
      <c r="AF11" s="58">
        <v>17</v>
      </c>
      <c r="AG11" s="58">
        <v>18</v>
      </c>
      <c r="AH11" s="58">
        <v>19</v>
      </c>
      <c r="AI11" s="58">
        <v>20</v>
      </c>
      <c r="AK11" s="148" t="s">
        <v>10</v>
      </c>
      <c r="AL11" s="11" t="s">
        <v>11</v>
      </c>
      <c r="AM11" s="11" t="s">
        <v>12</v>
      </c>
      <c r="AN11" s="11" t="s">
        <v>13</v>
      </c>
      <c r="AO11" s="11" t="s">
        <v>14</v>
      </c>
      <c r="AP11" s="32"/>
      <c r="AQ11" s="32"/>
      <c r="AR11" s="33"/>
      <c r="AS11" s="34"/>
    </row>
    <row r="12" s="105" customFormat="1" ht="20.15" customHeight="1" spans="1:45">
      <c r="A12" s="68">
        <v>1</v>
      </c>
      <c r="B12" s="149" t="s">
        <v>15</v>
      </c>
      <c r="C12" s="149" t="s">
        <v>16</v>
      </c>
      <c r="D12" s="149" t="str">
        <f>VLOOKUP(B12,'[1]MASTER DATA 2025'!$C$3:$E$279,3,0)</f>
        <v>0Tahun11 Bulan</v>
      </c>
      <c r="E12" s="96" t="s">
        <v>11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259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K12" s="151">
        <f t="shared" ref="AK12:AK75" si="0">COUNTIF(E12:AI12,"H")</f>
        <v>0</v>
      </c>
      <c r="AL12" s="47">
        <f t="shared" ref="AL12:AL75" si="1">COUNTIF(E12:AI12,"S")</f>
        <v>1</v>
      </c>
      <c r="AM12" s="36">
        <f t="shared" ref="AM12:AM75" si="2">COUNTIF(E12:AI12,"I")</f>
        <v>0</v>
      </c>
      <c r="AN12" s="36">
        <f t="shared" ref="AN12:AN75" si="3">COUNTIF(E12:AI12,"A")</f>
        <v>0</v>
      </c>
      <c r="AO12" s="36">
        <f t="shared" ref="AO12:AO75" si="4">COUNTIF(E12:AI12,"OFF")</f>
        <v>0</v>
      </c>
      <c r="AP12" s="48">
        <f t="shared" ref="AP12:AP75" si="5">SUM(AK12:AN12)</f>
        <v>1</v>
      </c>
      <c r="AQ12" s="48"/>
      <c r="AR12" s="38">
        <v>16</v>
      </c>
      <c r="AS12" s="39">
        <f t="shared" ref="AS12:AS75" si="6">AP12/AR12</f>
        <v>0.0625</v>
      </c>
    </row>
    <row r="13" s="105" customFormat="1" ht="20.15" customHeight="1" spans="1:45">
      <c r="A13" s="68">
        <v>2</v>
      </c>
      <c r="B13" s="149" t="s">
        <v>17</v>
      </c>
      <c r="C13" s="149" t="s">
        <v>16</v>
      </c>
      <c r="D13" s="149" t="str">
        <f>VLOOKUP(B13,'[1]MASTER DATA 2025'!$C$3:$E$279,3,0)</f>
        <v>0Tahun9 Bulan</v>
      </c>
      <c r="E13" s="96" t="s">
        <v>11</v>
      </c>
      <c r="F13" s="96"/>
      <c r="G13" s="96" t="s">
        <v>11</v>
      </c>
      <c r="H13" s="96"/>
      <c r="I13" s="96"/>
      <c r="J13" s="96"/>
      <c r="K13" s="96"/>
      <c r="L13" s="96"/>
      <c r="M13" s="96"/>
      <c r="N13" s="96"/>
      <c r="O13" s="96" t="s">
        <v>11</v>
      </c>
      <c r="P13" s="96"/>
      <c r="Q13" s="96"/>
      <c r="R13" s="96"/>
      <c r="S13" s="96"/>
      <c r="T13" s="96"/>
      <c r="U13" s="259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K13" s="151">
        <f t="shared" si="0"/>
        <v>0</v>
      </c>
      <c r="AL13" s="35">
        <f t="shared" si="1"/>
        <v>3</v>
      </c>
      <c r="AM13" s="36">
        <f t="shared" si="2"/>
        <v>0</v>
      </c>
      <c r="AN13" s="36">
        <f t="shared" si="3"/>
        <v>0</v>
      </c>
      <c r="AO13" s="36">
        <f t="shared" si="4"/>
        <v>0</v>
      </c>
      <c r="AP13" s="37">
        <f t="shared" si="5"/>
        <v>3</v>
      </c>
      <c r="AQ13" s="52" t="s">
        <v>18</v>
      </c>
      <c r="AR13" s="38">
        <v>16</v>
      </c>
      <c r="AS13" s="39">
        <f t="shared" si="6"/>
        <v>0.1875</v>
      </c>
    </row>
    <row r="14" s="105" customFormat="1" ht="20.15" customHeight="1" spans="1:45">
      <c r="A14" s="68">
        <v>3</v>
      </c>
      <c r="B14" s="149" t="s">
        <v>19</v>
      </c>
      <c r="C14" s="149" t="s">
        <v>20</v>
      </c>
      <c r="D14" s="149" t="e">
        <f>VLOOKUP(B14,'[1]MASTER DATA 2025'!$C$3:$E$279,3,0)</f>
        <v>#N/A</v>
      </c>
      <c r="E14" s="96" t="s">
        <v>11</v>
      </c>
      <c r="F14" s="96"/>
      <c r="G14" s="96"/>
      <c r="H14" s="96"/>
      <c r="I14" s="96"/>
      <c r="J14" s="96"/>
      <c r="K14" s="96"/>
      <c r="L14" s="96"/>
      <c r="M14" s="96"/>
      <c r="N14" s="96" t="s">
        <v>11</v>
      </c>
      <c r="O14" s="96"/>
      <c r="P14" s="96"/>
      <c r="Q14" s="96" t="s">
        <v>11</v>
      </c>
      <c r="R14" s="96"/>
      <c r="S14" s="96"/>
      <c r="T14" s="96"/>
      <c r="U14" s="259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K14" s="151">
        <f t="shared" si="0"/>
        <v>0</v>
      </c>
      <c r="AL14" s="35">
        <f t="shared" si="1"/>
        <v>3</v>
      </c>
      <c r="AM14" s="36">
        <f t="shared" si="2"/>
        <v>0</v>
      </c>
      <c r="AN14" s="47">
        <f t="shared" si="3"/>
        <v>0</v>
      </c>
      <c r="AO14" s="36">
        <f t="shared" si="4"/>
        <v>0</v>
      </c>
      <c r="AP14" s="48">
        <f t="shared" si="5"/>
        <v>3</v>
      </c>
      <c r="AQ14" s="52" t="s">
        <v>18</v>
      </c>
      <c r="AR14" s="38">
        <v>16</v>
      </c>
      <c r="AS14" s="39">
        <f t="shared" si="6"/>
        <v>0.1875</v>
      </c>
    </row>
    <row r="15" s="105" customFormat="1" ht="20.15" customHeight="1" spans="1:45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96" t="s">
        <v>11</v>
      </c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259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K15" s="151">
        <f t="shared" si="0"/>
        <v>0</v>
      </c>
      <c r="AL15" s="35">
        <f t="shared" si="1"/>
        <v>1</v>
      </c>
      <c r="AM15" s="36">
        <f t="shared" si="2"/>
        <v>0</v>
      </c>
      <c r="AN15" s="36">
        <f t="shared" si="3"/>
        <v>0</v>
      </c>
      <c r="AO15" s="36">
        <f t="shared" si="4"/>
        <v>0</v>
      </c>
      <c r="AP15" s="37">
        <f t="shared" si="5"/>
        <v>1</v>
      </c>
      <c r="AQ15" s="37"/>
      <c r="AR15" s="38">
        <v>16</v>
      </c>
      <c r="AS15" s="39">
        <f t="shared" si="6"/>
        <v>0.0625</v>
      </c>
    </row>
    <row r="16" s="105" customFormat="1" ht="20.15" customHeight="1" spans="1:45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96" t="s">
        <v>11</v>
      </c>
      <c r="F16" s="96" t="s">
        <v>11</v>
      </c>
      <c r="G16" s="96"/>
      <c r="H16" s="96"/>
      <c r="I16" s="96"/>
      <c r="J16" s="96"/>
      <c r="K16" s="96"/>
      <c r="L16" s="96"/>
      <c r="M16" s="96"/>
      <c r="N16" s="96"/>
      <c r="O16" s="96" t="s">
        <v>11</v>
      </c>
      <c r="P16" s="96"/>
      <c r="Q16" s="96"/>
      <c r="R16" s="96"/>
      <c r="S16" s="96"/>
      <c r="T16" s="96"/>
      <c r="U16" s="259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K16" s="151">
        <f t="shared" si="0"/>
        <v>0</v>
      </c>
      <c r="AL16" s="35">
        <f t="shared" si="1"/>
        <v>3</v>
      </c>
      <c r="AM16" s="36">
        <f t="shared" si="2"/>
        <v>0</v>
      </c>
      <c r="AN16" s="36">
        <f t="shared" si="3"/>
        <v>0</v>
      </c>
      <c r="AO16" s="36">
        <f t="shared" si="4"/>
        <v>0</v>
      </c>
      <c r="AP16" s="37">
        <f t="shared" si="5"/>
        <v>3</v>
      </c>
      <c r="AQ16" s="52" t="s">
        <v>18</v>
      </c>
      <c r="AR16" s="38">
        <v>16</v>
      </c>
      <c r="AS16" s="39">
        <f t="shared" si="6"/>
        <v>0.1875</v>
      </c>
    </row>
    <row r="17" s="105" customFormat="1" ht="20.15" customHeight="1" spans="1:45">
      <c r="A17" s="68">
        <v>6</v>
      </c>
      <c r="B17" s="154" t="s">
        <v>23</v>
      </c>
      <c r="C17" s="154" t="s">
        <v>16</v>
      </c>
      <c r="D17" s="149" t="str">
        <f>VLOOKUP(B17,'[1]MASTER DATA 2025'!$C$3:$E$279,3,0)</f>
        <v>1Tahun4 Bulan</v>
      </c>
      <c r="E17" s="96" t="s">
        <v>11</v>
      </c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259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K17" s="151">
        <f t="shared" si="0"/>
        <v>0</v>
      </c>
      <c r="AL17" s="35">
        <f t="shared" si="1"/>
        <v>1</v>
      </c>
      <c r="AM17" s="36">
        <f t="shared" si="2"/>
        <v>0</v>
      </c>
      <c r="AN17" s="36">
        <f t="shared" si="3"/>
        <v>0</v>
      </c>
      <c r="AO17" s="36">
        <f t="shared" si="4"/>
        <v>0</v>
      </c>
      <c r="AP17" s="37">
        <f t="shared" si="5"/>
        <v>1</v>
      </c>
      <c r="AQ17" s="52"/>
      <c r="AR17" s="38">
        <v>16</v>
      </c>
      <c r="AS17" s="39">
        <f t="shared" si="6"/>
        <v>0.0625</v>
      </c>
    </row>
    <row r="18" s="105" customFormat="1" ht="20.15" customHeight="1" spans="1:45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96" t="s">
        <v>12</v>
      </c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 t="s">
        <v>11</v>
      </c>
      <c r="R18" s="96"/>
      <c r="S18" s="96"/>
      <c r="T18" s="96"/>
      <c r="U18" s="259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K18" s="151">
        <f t="shared" si="0"/>
        <v>0</v>
      </c>
      <c r="AL18" s="36">
        <f t="shared" si="1"/>
        <v>1</v>
      </c>
      <c r="AM18" s="35">
        <f t="shared" si="2"/>
        <v>1</v>
      </c>
      <c r="AN18" s="36">
        <f t="shared" si="3"/>
        <v>0</v>
      </c>
      <c r="AO18" s="36">
        <f t="shared" si="4"/>
        <v>0</v>
      </c>
      <c r="AP18" s="37">
        <f t="shared" si="5"/>
        <v>2</v>
      </c>
      <c r="AQ18" s="37" t="s">
        <v>25</v>
      </c>
      <c r="AR18" s="38">
        <v>16</v>
      </c>
      <c r="AS18" s="39">
        <f t="shared" si="6"/>
        <v>0.125</v>
      </c>
    </row>
    <row r="19" s="105" customFormat="1" ht="20.15" customHeight="1" spans="1:45">
      <c r="A19" s="68">
        <v>8</v>
      </c>
      <c r="B19" s="154" t="s">
        <v>26</v>
      </c>
      <c r="C19" s="150" t="s">
        <v>16</v>
      </c>
      <c r="D19" s="149" t="str">
        <f>VLOOKUP(B19,'[1]MASTER DATA 2025'!$C$3:$E$279,3,0)</f>
        <v>0Tahun3 Bulan</v>
      </c>
      <c r="E19" s="260" t="s">
        <v>11</v>
      </c>
      <c r="F19" s="96"/>
      <c r="G19" s="96"/>
      <c r="H19" s="96"/>
      <c r="I19" s="96" t="s">
        <v>11</v>
      </c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259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K19" s="151">
        <f t="shared" si="0"/>
        <v>0</v>
      </c>
      <c r="AL19" s="35">
        <f t="shared" si="1"/>
        <v>2</v>
      </c>
      <c r="AM19" s="36">
        <f t="shared" si="2"/>
        <v>0</v>
      </c>
      <c r="AN19" s="36">
        <f t="shared" si="3"/>
        <v>0</v>
      </c>
      <c r="AO19" s="36">
        <f t="shared" si="4"/>
        <v>0</v>
      </c>
      <c r="AP19" s="37">
        <f t="shared" si="5"/>
        <v>2</v>
      </c>
      <c r="AQ19" s="37" t="s">
        <v>25</v>
      </c>
      <c r="AR19" s="38">
        <v>16</v>
      </c>
      <c r="AS19" s="39">
        <f t="shared" si="6"/>
        <v>0.125</v>
      </c>
    </row>
    <row r="20" s="105" customFormat="1" ht="20.25" customHeight="1" spans="1:45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260" t="s">
        <v>11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259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 t="s">
        <v>11</v>
      </c>
      <c r="AG20" s="96"/>
      <c r="AH20" s="96"/>
      <c r="AI20" s="96"/>
      <c r="AK20" s="151">
        <f t="shared" si="0"/>
        <v>0</v>
      </c>
      <c r="AL20" s="35">
        <f t="shared" si="1"/>
        <v>2</v>
      </c>
      <c r="AM20" s="36">
        <f t="shared" si="2"/>
        <v>0</v>
      </c>
      <c r="AN20" s="36">
        <f t="shared" si="3"/>
        <v>0</v>
      </c>
      <c r="AO20" s="36">
        <f t="shared" si="4"/>
        <v>0</v>
      </c>
      <c r="AP20" s="37">
        <f t="shared" si="5"/>
        <v>2</v>
      </c>
      <c r="AQ20" s="37" t="s">
        <v>25</v>
      </c>
      <c r="AR20" s="38">
        <v>16</v>
      </c>
      <c r="AS20" s="39">
        <f t="shared" si="6"/>
        <v>0.125</v>
      </c>
    </row>
    <row r="21" s="105" customFormat="1" ht="20.15" customHeight="1" spans="1:45">
      <c r="A21" s="68">
        <v>10</v>
      </c>
      <c r="B21" s="154" t="s">
        <v>28</v>
      </c>
      <c r="C21" s="150" t="s">
        <v>16</v>
      </c>
      <c r="D21" s="149" t="str">
        <f>VLOOKUP(B21,'[1]MASTER DATA 2025'!$C$3:$E$279,3,0)</f>
        <v>0Tahun7 Bulan</v>
      </c>
      <c r="E21" s="260" t="s">
        <v>11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259"/>
      <c r="V21" s="96"/>
      <c r="W21" s="96"/>
      <c r="X21" s="96"/>
      <c r="Y21" s="96"/>
      <c r="Z21" s="96"/>
      <c r="AA21" s="96"/>
      <c r="AB21" s="96"/>
      <c r="AC21" s="96" t="s">
        <v>11</v>
      </c>
      <c r="AD21" s="96"/>
      <c r="AE21" s="96"/>
      <c r="AF21" s="96"/>
      <c r="AG21" s="96"/>
      <c r="AH21" s="96"/>
      <c r="AI21" s="96"/>
      <c r="AK21" s="151">
        <f t="shared" si="0"/>
        <v>0</v>
      </c>
      <c r="AL21" s="35">
        <f t="shared" si="1"/>
        <v>2</v>
      </c>
      <c r="AM21" s="36">
        <f t="shared" si="2"/>
        <v>0</v>
      </c>
      <c r="AN21" s="36">
        <f t="shared" si="3"/>
        <v>0</v>
      </c>
      <c r="AO21" s="36">
        <f t="shared" si="4"/>
        <v>0</v>
      </c>
      <c r="AP21" s="37">
        <f t="shared" si="5"/>
        <v>2</v>
      </c>
      <c r="AQ21" s="37"/>
      <c r="AR21" s="38">
        <v>16</v>
      </c>
      <c r="AS21" s="39">
        <f t="shared" si="6"/>
        <v>0.125</v>
      </c>
    </row>
    <row r="22" s="105" customFormat="1" ht="20.15" customHeight="1" spans="1:45">
      <c r="A22" s="68">
        <v>11</v>
      </c>
      <c r="B22" s="155" t="s">
        <v>29</v>
      </c>
      <c r="C22" s="150" t="s">
        <v>16</v>
      </c>
      <c r="D22" s="149" t="str">
        <f>VLOOKUP(B22,'[1]MASTER DATA 2025'!$C$3:$E$279,3,0)</f>
        <v>0Tahun5 Bulan</v>
      </c>
      <c r="E22" s="260" t="s">
        <v>11</v>
      </c>
      <c r="F22" s="96" t="s">
        <v>11</v>
      </c>
      <c r="G22" s="96"/>
      <c r="H22" s="96"/>
      <c r="I22" s="96"/>
      <c r="J22" s="96"/>
      <c r="K22" s="96"/>
      <c r="L22" s="96" t="s">
        <v>11</v>
      </c>
      <c r="M22" s="96" t="s">
        <v>11</v>
      </c>
      <c r="N22" s="96"/>
      <c r="O22" s="96"/>
      <c r="P22" s="96"/>
      <c r="Q22" s="96"/>
      <c r="R22" s="96"/>
      <c r="S22" s="96"/>
      <c r="T22" s="96"/>
      <c r="U22" s="259" t="s">
        <v>11</v>
      </c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K22" s="151">
        <f t="shared" si="0"/>
        <v>0</v>
      </c>
      <c r="AL22" s="35">
        <f t="shared" si="1"/>
        <v>5</v>
      </c>
      <c r="AM22" s="36">
        <f t="shared" si="2"/>
        <v>0</v>
      </c>
      <c r="AN22" s="36">
        <f t="shared" si="3"/>
        <v>0</v>
      </c>
      <c r="AO22" s="36">
        <f t="shared" si="4"/>
        <v>0</v>
      </c>
      <c r="AP22" s="37">
        <f t="shared" si="5"/>
        <v>5</v>
      </c>
      <c r="AQ22" s="52" t="s">
        <v>18</v>
      </c>
      <c r="AR22" s="38">
        <v>16</v>
      </c>
      <c r="AS22" s="39">
        <f t="shared" si="6"/>
        <v>0.3125</v>
      </c>
    </row>
    <row r="23" s="105" customFormat="1" ht="20.15" customHeight="1" spans="1:45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260" t="s">
        <v>13</v>
      </c>
      <c r="F23" s="96"/>
      <c r="G23" s="96"/>
      <c r="H23" s="96" t="s">
        <v>12</v>
      </c>
      <c r="I23" s="96" t="s">
        <v>12</v>
      </c>
      <c r="J23" s="96" t="s">
        <v>11</v>
      </c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259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K23" s="151">
        <f t="shared" si="0"/>
        <v>0</v>
      </c>
      <c r="AL23" s="35">
        <f t="shared" si="1"/>
        <v>1</v>
      </c>
      <c r="AM23" s="35">
        <f t="shared" si="2"/>
        <v>2</v>
      </c>
      <c r="AN23" s="35">
        <f t="shared" si="3"/>
        <v>1</v>
      </c>
      <c r="AO23" s="36">
        <f t="shared" si="4"/>
        <v>0</v>
      </c>
      <c r="AP23" s="37">
        <f t="shared" si="5"/>
        <v>4</v>
      </c>
      <c r="AQ23" s="52" t="s">
        <v>18</v>
      </c>
      <c r="AR23" s="38">
        <v>16</v>
      </c>
      <c r="AS23" s="39">
        <f t="shared" si="6"/>
        <v>0.25</v>
      </c>
    </row>
    <row r="24" s="105" customFormat="1" ht="20.15" customHeight="1" spans="1:45">
      <c r="A24" s="68">
        <v>13</v>
      </c>
      <c r="B24" s="155" t="s">
        <v>31</v>
      </c>
      <c r="C24" s="150" t="s">
        <v>16</v>
      </c>
      <c r="D24" s="149" t="str">
        <f>VLOOKUP(B24,'[1]MASTER DATA 2025'!$C$3:$E$279,3,0)</f>
        <v>1Tahun2 Bulan</v>
      </c>
      <c r="E24" s="96"/>
      <c r="F24" s="96" t="s">
        <v>11</v>
      </c>
      <c r="G24" s="96" t="s">
        <v>11</v>
      </c>
      <c r="H24" s="96"/>
      <c r="I24" s="96"/>
      <c r="J24" s="96"/>
      <c r="K24" s="96"/>
      <c r="L24" s="96"/>
      <c r="M24" s="96"/>
      <c r="N24" s="96"/>
      <c r="O24" s="96"/>
      <c r="P24" s="96" t="s">
        <v>12</v>
      </c>
      <c r="Q24" s="96"/>
      <c r="R24" s="96"/>
      <c r="S24" s="96"/>
      <c r="T24" s="96"/>
      <c r="U24" s="259" t="s">
        <v>12</v>
      </c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K24" s="151">
        <f t="shared" si="0"/>
        <v>0</v>
      </c>
      <c r="AL24" s="35">
        <f t="shared" si="1"/>
        <v>2</v>
      </c>
      <c r="AM24" s="35">
        <f t="shared" si="2"/>
        <v>2</v>
      </c>
      <c r="AN24" s="36">
        <f t="shared" si="3"/>
        <v>0</v>
      </c>
      <c r="AO24" s="36">
        <f t="shared" si="4"/>
        <v>0</v>
      </c>
      <c r="AP24" s="37">
        <f t="shared" si="5"/>
        <v>4</v>
      </c>
      <c r="AQ24" s="52" t="s">
        <v>18</v>
      </c>
      <c r="AR24" s="38">
        <v>16</v>
      </c>
      <c r="AS24" s="39">
        <f t="shared" si="6"/>
        <v>0.25</v>
      </c>
    </row>
    <row r="25" s="105" customFormat="1" ht="20.15" customHeight="1" spans="1:45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96"/>
      <c r="F25" s="96" t="s">
        <v>11</v>
      </c>
      <c r="G25" s="96"/>
      <c r="H25" s="96"/>
      <c r="I25" s="96"/>
      <c r="J25" s="96"/>
      <c r="K25" s="96"/>
      <c r="L25" s="96"/>
      <c r="M25" s="96"/>
      <c r="N25" s="96" t="s">
        <v>11</v>
      </c>
      <c r="O25" s="96"/>
      <c r="P25" s="96"/>
      <c r="Q25" s="96"/>
      <c r="R25" s="96"/>
      <c r="S25" s="96"/>
      <c r="T25" s="96"/>
      <c r="U25" s="259"/>
      <c r="V25" s="96"/>
      <c r="W25" s="96"/>
      <c r="X25" s="96"/>
      <c r="Y25" s="96"/>
      <c r="Z25" s="96"/>
      <c r="AA25" s="96"/>
      <c r="AB25" s="96" t="s">
        <v>11</v>
      </c>
      <c r="AC25" s="96"/>
      <c r="AD25" s="96"/>
      <c r="AE25" s="96"/>
      <c r="AF25" s="96"/>
      <c r="AG25" s="96"/>
      <c r="AH25" s="96"/>
      <c r="AI25" s="96"/>
      <c r="AK25" s="151">
        <f t="shared" si="0"/>
        <v>0</v>
      </c>
      <c r="AL25" s="35">
        <f t="shared" si="1"/>
        <v>3</v>
      </c>
      <c r="AM25" s="36">
        <f t="shared" si="2"/>
        <v>0</v>
      </c>
      <c r="AN25" s="36">
        <f t="shared" si="3"/>
        <v>0</v>
      </c>
      <c r="AO25" s="36">
        <f t="shared" si="4"/>
        <v>0</v>
      </c>
      <c r="AP25" s="37">
        <f t="shared" si="5"/>
        <v>3</v>
      </c>
      <c r="AQ25" s="37" t="s">
        <v>25</v>
      </c>
      <c r="AR25" s="38">
        <v>16</v>
      </c>
      <c r="AS25" s="39">
        <f t="shared" si="6"/>
        <v>0.1875</v>
      </c>
    </row>
    <row r="26" s="105" customFormat="1" ht="20.15" customHeight="1" spans="1:45">
      <c r="A26" s="68">
        <v>15</v>
      </c>
      <c r="B26" s="154" t="s">
        <v>33</v>
      </c>
      <c r="C26" s="150" t="s">
        <v>16</v>
      </c>
      <c r="D26" s="149" t="str">
        <f>VLOOKUP(B26,'[1]MASTER DATA 2025'!$C$3:$E$279,3,0)</f>
        <v>0Tahun3 Bulan</v>
      </c>
      <c r="E26" s="96"/>
      <c r="F26" s="96" t="s">
        <v>11</v>
      </c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259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K26" s="151">
        <f t="shared" si="0"/>
        <v>0</v>
      </c>
      <c r="AL26" s="35">
        <f t="shared" si="1"/>
        <v>1</v>
      </c>
      <c r="AM26" s="36">
        <f t="shared" si="2"/>
        <v>0</v>
      </c>
      <c r="AN26" s="36">
        <f t="shared" si="3"/>
        <v>0</v>
      </c>
      <c r="AO26" s="36">
        <f t="shared" si="4"/>
        <v>0</v>
      </c>
      <c r="AP26" s="37">
        <f t="shared" si="5"/>
        <v>1</v>
      </c>
      <c r="AQ26" s="37" t="s">
        <v>25</v>
      </c>
      <c r="AR26" s="38">
        <v>16</v>
      </c>
      <c r="AS26" s="39">
        <f t="shared" si="6"/>
        <v>0.0625</v>
      </c>
    </row>
    <row r="27" s="105" customFormat="1" ht="20.15" customHeight="1" spans="1:45">
      <c r="A27" s="68">
        <v>16</v>
      </c>
      <c r="B27" s="154" t="s">
        <v>34</v>
      </c>
      <c r="C27" s="150" t="s">
        <v>16</v>
      </c>
      <c r="D27" s="149" t="str">
        <f>VLOOKUP(B27,'[1]MASTER DATA 2025'!$C$3:$E$279,3,0)</f>
        <v>0Tahun8 Bulan</v>
      </c>
      <c r="E27" s="96"/>
      <c r="F27" s="96" t="s">
        <v>11</v>
      </c>
      <c r="G27" s="96"/>
      <c r="H27" s="96"/>
      <c r="I27" s="96" t="s">
        <v>11</v>
      </c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259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K27" s="151">
        <f t="shared" si="0"/>
        <v>0</v>
      </c>
      <c r="AL27" s="35">
        <f t="shared" si="1"/>
        <v>2</v>
      </c>
      <c r="AM27" s="36">
        <f t="shared" si="2"/>
        <v>0</v>
      </c>
      <c r="AN27" s="36">
        <f t="shared" si="3"/>
        <v>0</v>
      </c>
      <c r="AO27" s="36">
        <f t="shared" si="4"/>
        <v>0</v>
      </c>
      <c r="AP27" s="37">
        <f t="shared" si="5"/>
        <v>2</v>
      </c>
      <c r="AQ27" s="37" t="s">
        <v>25</v>
      </c>
      <c r="AR27" s="38">
        <v>16</v>
      </c>
      <c r="AS27" s="39">
        <f t="shared" si="6"/>
        <v>0.125</v>
      </c>
    </row>
    <row r="28" s="105" customFormat="1" ht="20.15" customHeight="1" spans="1:45">
      <c r="A28" s="68">
        <v>17</v>
      </c>
      <c r="B28" s="154" t="s">
        <v>35</v>
      </c>
      <c r="C28" s="150" t="s">
        <v>16</v>
      </c>
      <c r="D28" s="149" t="str">
        <f>VLOOKUP(B28,'[1]MASTER DATA 2025'!$C$3:$E$279,3,0)</f>
        <v>0Tahun3 Bulan</v>
      </c>
      <c r="E28" s="96"/>
      <c r="F28" s="96" t="s">
        <v>11</v>
      </c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259"/>
      <c r="V28" s="96"/>
      <c r="W28" s="96"/>
      <c r="X28" s="96"/>
      <c r="Y28" s="96"/>
      <c r="Z28" s="96"/>
      <c r="AA28" s="96"/>
      <c r="AB28" s="96"/>
      <c r="AC28" s="96" t="s">
        <v>11</v>
      </c>
      <c r="AD28" s="96"/>
      <c r="AE28" s="96"/>
      <c r="AF28" s="96"/>
      <c r="AG28" s="96"/>
      <c r="AH28" s="96"/>
      <c r="AI28" s="96"/>
      <c r="AK28" s="151">
        <f t="shared" si="0"/>
        <v>0</v>
      </c>
      <c r="AL28" s="35">
        <f t="shared" si="1"/>
        <v>2</v>
      </c>
      <c r="AM28" s="36">
        <f t="shared" si="2"/>
        <v>0</v>
      </c>
      <c r="AN28" s="36">
        <f t="shared" si="3"/>
        <v>0</v>
      </c>
      <c r="AO28" s="36">
        <f t="shared" si="4"/>
        <v>0</v>
      </c>
      <c r="AP28" s="37">
        <f t="shared" si="5"/>
        <v>2</v>
      </c>
      <c r="AQ28" s="37" t="s">
        <v>25</v>
      </c>
      <c r="AR28" s="38">
        <v>16</v>
      </c>
      <c r="AS28" s="39">
        <f t="shared" si="6"/>
        <v>0.125</v>
      </c>
    </row>
    <row r="29" s="105" customFormat="1" ht="20.15" customHeight="1" spans="1:45">
      <c r="A29" s="68">
        <v>18</v>
      </c>
      <c r="B29" s="149" t="s">
        <v>36</v>
      </c>
      <c r="C29" s="150" t="s">
        <v>20</v>
      </c>
      <c r="D29" s="149" t="s">
        <v>37</v>
      </c>
      <c r="E29" s="96"/>
      <c r="F29" s="96" t="s">
        <v>11</v>
      </c>
      <c r="G29" s="96"/>
      <c r="H29" s="96"/>
      <c r="I29" s="96"/>
      <c r="J29" s="96"/>
      <c r="K29" s="96"/>
      <c r="L29" s="96"/>
      <c r="M29" s="96"/>
      <c r="N29" s="96" t="s">
        <v>11</v>
      </c>
      <c r="O29" s="96"/>
      <c r="P29" s="96"/>
      <c r="Q29" s="96"/>
      <c r="R29" s="96"/>
      <c r="S29" s="96"/>
      <c r="T29" s="96"/>
      <c r="U29" s="259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 t="s">
        <v>11</v>
      </c>
      <c r="AI29" s="96"/>
      <c r="AK29" s="151">
        <f t="shared" si="0"/>
        <v>0</v>
      </c>
      <c r="AL29" s="35">
        <f t="shared" si="1"/>
        <v>3</v>
      </c>
      <c r="AM29" s="36">
        <f t="shared" si="2"/>
        <v>0</v>
      </c>
      <c r="AN29" s="36">
        <f t="shared" si="3"/>
        <v>0</v>
      </c>
      <c r="AO29" s="36">
        <f t="shared" si="4"/>
        <v>0</v>
      </c>
      <c r="AP29" s="37">
        <f t="shared" si="5"/>
        <v>3</v>
      </c>
      <c r="AQ29" s="37" t="s">
        <v>25</v>
      </c>
      <c r="AR29" s="38">
        <v>16</v>
      </c>
      <c r="AS29" s="39">
        <f t="shared" si="6"/>
        <v>0.1875</v>
      </c>
    </row>
    <row r="30" s="105" customFormat="1" ht="20.15" customHeight="1" spans="1:45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96"/>
      <c r="F30" s="96" t="s">
        <v>13</v>
      </c>
      <c r="G30" s="96" t="s">
        <v>12</v>
      </c>
      <c r="H30" s="96" t="s">
        <v>12</v>
      </c>
      <c r="I30" s="96" t="s">
        <v>13</v>
      </c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259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K30" s="151">
        <f t="shared" si="0"/>
        <v>0</v>
      </c>
      <c r="AL30" s="35">
        <f t="shared" si="1"/>
        <v>0</v>
      </c>
      <c r="AM30" s="35">
        <f t="shared" si="2"/>
        <v>2</v>
      </c>
      <c r="AN30" s="35">
        <f t="shared" si="3"/>
        <v>2</v>
      </c>
      <c r="AO30" s="36">
        <f t="shared" si="4"/>
        <v>0</v>
      </c>
      <c r="AP30" s="37">
        <f t="shared" si="5"/>
        <v>4</v>
      </c>
      <c r="AQ30" s="52" t="s">
        <v>18</v>
      </c>
      <c r="AR30" s="38">
        <v>16</v>
      </c>
      <c r="AS30" s="39">
        <f t="shared" si="6"/>
        <v>0.25</v>
      </c>
    </row>
    <row r="31" s="105" customFormat="1" ht="20.15" customHeight="1" spans="1:45">
      <c r="A31" s="68">
        <v>20</v>
      </c>
      <c r="B31" s="154" t="s">
        <v>39</v>
      </c>
      <c r="C31" s="150" t="s">
        <v>16</v>
      </c>
      <c r="D31" s="149" t="str">
        <f>VLOOKUP(B31,'[1]MASTER DATA 2025'!$C$3:$E$279,3,0)</f>
        <v>0Tahun9 Bulan</v>
      </c>
      <c r="E31" s="96"/>
      <c r="F31" s="96"/>
      <c r="G31" s="96" t="s">
        <v>11</v>
      </c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 t="s">
        <v>40</v>
      </c>
      <c r="S31" s="96"/>
      <c r="T31" s="96"/>
      <c r="U31" s="259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K31" s="151">
        <f t="shared" si="0"/>
        <v>0</v>
      </c>
      <c r="AL31" s="35">
        <f t="shared" si="1"/>
        <v>2</v>
      </c>
      <c r="AM31" s="36">
        <f t="shared" si="2"/>
        <v>0</v>
      </c>
      <c r="AN31" s="36">
        <f t="shared" si="3"/>
        <v>0</v>
      </c>
      <c r="AO31" s="36">
        <f t="shared" si="4"/>
        <v>0</v>
      </c>
      <c r="AP31" s="37">
        <f t="shared" si="5"/>
        <v>2</v>
      </c>
      <c r="AQ31" s="37" t="s">
        <v>25</v>
      </c>
      <c r="AR31" s="38">
        <v>16</v>
      </c>
      <c r="AS31" s="39">
        <f t="shared" si="6"/>
        <v>0.125</v>
      </c>
    </row>
    <row r="32" s="105" customFormat="1" ht="20.15" customHeight="1" spans="1:45">
      <c r="A32" s="68">
        <v>21</v>
      </c>
      <c r="B32" s="154" t="s">
        <v>41</v>
      </c>
      <c r="C32" s="150" t="s">
        <v>16</v>
      </c>
      <c r="D32" s="149" t="str">
        <f>VLOOKUP(B32,'[1]MASTER DATA 2025'!$C$3:$E$279,3,0)</f>
        <v>0Tahun2 Bulan</v>
      </c>
      <c r="E32" s="96"/>
      <c r="F32" s="96"/>
      <c r="G32" s="96" t="s">
        <v>12</v>
      </c>
      <c r="H32" s="96"/>
      <c r="I32" s="96"/>
      <c r="J32" s="96"/>
      <c r="K32" s="96"/>
      <c r="L32" s="96"/>
      <c r="M32" s="96"/>
      <c r="N32" s="96" t="s">
        <v>11</v>
      </c>
      <c r="O32" s="96"/>
      <c r="P32" s="96"/>
      <c r="Q32" s="96"/>
      <c r="R32" s="96"/>
      <c r="S32" s="96"/>
      <c r="T32" s="96"/>
      <c r="U32" s="259"/>
      <c r="V32" s="96"/>
      <c r="W32" s="96"/>
      <c r="X32" s="96"/>
      <c r="Y32" s="96"/>
      <c r="Z32" s="96"/>
      <c r="AA32" s="96"/>
      <c r="AB32" s="96" t="s">
        <v>11</v>
      </c>
      <c r="AC32" s="96" t="s">
        <v>11</v>
      </c>
      <c r="AD32" s="96"/>
      <c r="AE32" s="96"/>
      <c r="AF32" s="96"/>
      <c r="AG32" s="96"/>
      <c r="AH32" s="96"/>
      <c r="AI32" s="96"/>
      <c r="AK32" s="151">
        <f t="shared" si="0"/>
        <v>0</v>
      </c>
      <c r="AL32" s="35">
        <f t="shared" si="1"/>
        <v>3</v>
      </c>
      <c r="AM32" s="35">
        <f t="shared" si="2"/>
        <v>1</v>
      </c>
      <c r="AN32" s="36">
        <f t="shared" si="3"/>
        <v>0</v>
      </c>
      <c r="AO32" s="36">
        <f t="shared" si="4"/>
        <v>0</v>
      </c>
      <c r="AP32" s="37">
        <f t="shared" si="5"/>
        <v>4</v>
      </c>
      <c r="AQ32" s="37" t="s">
        <v>42</v>
      </c>
      <c r="AR32" s="38">
        <v>16</v>
      </c>
      <c r="AS32" s="39">
        <f t="shared" si="6"/>
        <v>0.25</v>
      </c>
    </row>
    <row r="33" s="105" customFormat="1" ht="20.15" customHeight="1" spans="1:45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96"/>
      <c r="F33" s="96"/>
      <c r="G33" s="96" t="s">
        <v>11</v>
      </c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259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K33" s="151">
        <f t="shared" si="0"/>
        <v>0</v>
      </c>
      <c r="AL33" s="35">
        <f t="shared" si="1"/>
        <v>1</v>
      </c>
      <c r="AM33" s="36">
        <f t="shared" si="2"/>
        <v>0</v>
      </c>
      <c r="AN33" s="36">
        <f t="shared" si="3"/>
        <v>0</v>
      </c>
      <c r="AO33" s="36">
        <f t="shared" si="4"/>
        <v>0</v>
      </c>
      <c r="AP33" s="37">
        <f t="shared" si="5"/>
        <v>1</v>
      </c>
      <c r="AQ33" s="37"/>
      <c r="AR33" s="38">
        <v>16</v>
      </c>
      <c r="AS33" s="39">
        <f t="shared" si="6"/>
        <v>0.0625</v>
      </c>
    </row>
    <row r="34" s="105" customFormat="1" ht="20.15" customHeight="1" spans="1:45">
      <c r="A34" s="68">
        <v>23</v>
      </c>
      <c r="B34" s="157" t="s">
        <v>44</v>
      </c>
      <c r="C34" s="150" t="s">
        <v>16</v>
      </c>
      <c r="D34" s="149" t="str">
        <f>VLOOKUP(B34,'[1]MASTER DATA 2025'!$C$3:$E$279,3,0)</f>
        <v>2Tahun3 Bulan</v>
      </c>
      <c r="E34" s="96"/>
      <c r="F34" s="96"/>
      <c r="G34" s="96" t="s">
        <v>11</v>
      </c>
      <c r="H34" s="96"/>
      <c r="I34" s="96" t="s">
        <v>12</v>
      </c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259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K34" s="151">
        <f t="shared" si="0"/>
        <v>0</v>
      </c>
      <c r="AL34" s="35">
        <f t="shared" si="1"/>
        <v>1</v>
      </c>
      <c r="AM34" s="35">
        <f t="shared" si="2"/>
        <v>1</v>
      </c>
      <c r="AN34" s="36">
        <f t="shared" si="3"/>
        <v>0</v>
      </c>
      <c r="AO34" s="36">
        <f t="shared" si="4"/>
        <v>0</v>
      </c>
      <c r="AP34" s="37">
        <f t="shared" si="5"/>
        <v>2</v>
      </c>
      <c r="AQ34" s="37" t="s">
        <v>25</v>
      </c>
      <c r="AR34" s="38">
        <v>16</v>
      </c>
      <c r="AS34" s="39">
        <f t="shared" si="6"/>
        <v>0.125</v>
      </c>
    </row>
    <row r="35" s="105" customFormat="1" ht="20.15" customHeight="1" spans="1:45">
      <c r="A35" s="68">
        <v>24</v>
      </c>
      <c r="B35" s="149" t="s">
        <v>45</v>
      </c>
      <c r="C35" s="150" t="s">
        <v>16</v>
      </c>
      <c r="D35" s="149" t="e">
        <f>VLOOKUP(B35,'[1]MASTER DATA 2025'!$C$3:$E$279,3,0)</f>
        <v>#N/A</v>
      </c>
      <c r="E35" s="96"/>
      <c r="F35" s="96"/>
      <c r="G35" s="96" t="s">
        <v>11</v>
      </c>
      <c r="H35" s="96"/>
      <c r="I35" s="96"/>
      <c r="J35" s="96"/>
      <c r="K35" s="96"/>
      <c r="L35" s="96" t="s">
        <v>11</v>
      </c>
      <c r="M35" s="96"/>
      <c r="N35" s="96"/>
      <c r="O35" s="96"/>
      <c r="P35" s="96"/>
      <c r="Q35" s="96"/>
      <c r="R35" s="96"/>
      <c r="S35" s="96"/>
      <c r="T35" s="96" t="s">
        <v>13</v>
      </c>
      <c r="U35" s="259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K35" s="151">
        <f t="shared" si="0"/>
        <v>0</v>
      </c>
      <c r="AL35" s="35">
        <f t="shared" si="1"/>
        <v>2</v>
      </c>
      <c r="AM35" s="36">
        <f t="shared" si="2"/>
        <v>0</v>
      </c>
      <c r="AN35" s="36">
        <f t="shared" si="3"/>
        <v>1</v>
      </c>
      <c r="AO35" s="36">
        <f t="shared" si="4"/>
        <v>0</v>
      </c>
      <c r="AP35" s="37">
        <f t="shared" si="5"/>
        <v>3</v>
      </c>
      <c r="AQ35" s="52" t="s">
        <v>18</v>
      </c>
      <c r="AR35" s="38">
        <v>16</v>
      </c>
      <c r="AS35" s="39">
        <f t="shared" si="6"/>
        <v>0.1875</v>
      </c>
    </row>
    <row r="36" s="105" customFormat="1" ht="20.15" customHeight="1" spans="1:45">
      <c r="A36" s="68">
        <v>25</v>
      </c>
      <c r="B36" s="153" t="s">
        <v>46</v>
      </c>
      <c r="C36" s="150" t="s">
        <v>16</v>
      </c>
      <c r="D36" s="149" t="str">
        <f>VLOOKUP(B36,'[1]MASTER DATA 2025'!$C$3:$E$279,3,0)</f>
        <v>0Tahun3 Bulan</v>
      </c>
      <c r="E36" s="96"/>
      <c r="F36" s="96"/>
      <c r="G36" s="96" t="s">
        <v>11</v>
      </c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259"/>
      <c r="V36" s="96"/>
      <c r="W36" s="96"/>
      <c r="X36" s="96"/>
      <c r="Y36" s="96"/>
      <c r="Z36" s="96"/>
      <c r="AA36" s="96"/>
      <c r="AB36" s="96"/>
      <c r="AC36" s="96" t="s">
        <v>11</v>
      </c>
      <c r="AD36" s="96"/>
      <c r="AE36" s="96"/>
      <c r="AF36" s="96"/>
      <c r="AG36" s="96"/>
      <c r="AH36" s="96"/>
      <c r="AI36" s="96"/>
      <c r="AK36" s="151">
        <f t="shared" si="0"/>
        <v>0</v>
      </c>
      <c r="AL36" s="35">
        <f t="shared" si="1"/>
        <v>2</v>
      </c>
      <c r="AM36" s="36">
        <f t="shared" si="2"/>
        <v>0</v>
      </c>
      <c r="AN36" s="36">
        <f t="shared" si="3"/>
        <v>0</v>
      </c>
      <c r="AO36" s="36">
        <f t="shared" si="4"/>
        <v>0</v>
      </c>
      <c r="AP36" s="37">
        <f t="shared" si="5"/>
        <v>2</v>
      </c>
      <c r="AQ36" s="130"/>
      <c r="AR36" s="38">
        <v>16</v>
      </c>
      <c r="AS36" s="39">
        <f t="shared" si="6"/>
        <v>0.125</v>
      </c>
    </row>
    <row r="37" s="105" customFormat="1" ht="20.15" customHeight="1" spans="1:45">
      <c r="A37" s="68">
        <v>26</v>
      </c>
      <c r="B37" s="149" t="s">
        <v>47</v>
      </c>
      <c r="C37" s="150" t="s">
        <v>16</v>
      </c>
      <c r="D37" s="149" t="str">
        <f>VLOOKUP(B37,'[1]MASTER DATA 2025'!$C$3:$E$279,3,0)</f>
        <v>2Tahun8 Bulan</v>
      </c>
      <c r="E37" s="96"/>
      <c r="F37" s="96"/>
      <c r="G37" s="96" t="s">
        <v>11</v>
      </c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259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K37" s="151">
        <f t="shared" si="0"/>
        <v>0</v>
      </c>
      <c r="AL37" s="35">
        <f t="shared" si="1"/>
        <v>1</v>
      </c>
      <c r="AM37" s="36">
        <f t="shared" si="2"/>
        <v>0</v>
      </c>
      <c r="AN37" s="36">
        <f t="shared" si="3"/>
        <v>0</v>
      </c>
      <c r="AO37" s="36">
        <f t="shared" si="4"/>
        <v>0</v>
      </c>
      <c r="AP37" s="37">
        <f t="shared" si="5"/>
        <v>1</v>
      </c>
      <c r="AQ37" s="37"/>
      <c r="AR37" s="38">
        <v>16</v>
      </c>
      <c r="AS37" s="39">
        <f t="shared" si="6"/>
        <v>0.0625</v>
      </c>
    </row>
    <row r="38" s="105" customFormat="1" ht="20.15" customHeight="1" spans="1:45">
      <c r="A38" s="68">
        <v>27</v>
      </c>
      <c r="B38" s="149" t="s">
        <v>48</v>
      </c>
      <c r="C38" s="150" t="s">
        <v>16</v>
      </c>
      <c r="D38" s="149" t="str">
        <f>VLOOKUP(B38,'[1]MASTER DATA 2025'!$C$3:$E$279,3,0)</f>
        <v>0Tahun9 Bulan</v>
      </c>
      <c r="E38" s="96"/>
      <c r="F38" s="96"/>
      <c r="G38" s="96"/>
      <c r="H38" s="96" t="s">
        <v>11</v>
      </c>
      <c r="I38" s="96"/>
      <c r="J38" s="96"/>
      <c r="K38" s="96"/>
      <c r="L38" s="96"/>
      <c r="M38" s="96"/>
      <c r="N38" s="96" t="s">
        <v>11</v>
      </c>
      <c r="O38" s="96"/>
      <c r="P38" s="96"/>
      <c r="Q38" s="96"/>
      <c r="R38" s="96"/>
      <c r="S38" s="96"/>
      <c r="T38" s="96"/>
      <c r="U38" s="259"/>
      <c r="V38" s="96"/>
      <c r="W38" s="96"/>
      <c r="X38" s="96"/>
      <c r="Y38" s="96"/>
      <c r="Z38" s="96"/>
      <c r="AA38" s="96"/>
      <c r="AB38" s="96"/>
      <c r="AC38" s="96" t="s">
        <v>11</v>
      </c>
      <c r="AD38" s="96"/>
      <c r="AE38" s="96"/>
      <c r="AF38" s="96"/>
      <c r="AG38" s="96"/>
      <c r="AH38" s="96"/>
      <c r="AI38" s="96"/>
      <c r="AK38" s="151">
        <f t="shared" si="0"/>
        <v>0</v>
      </c>
      <c r="AL38" s="35">
        <f t="shared" si="1"/>
        <v>3</v>
      </c>
      <c r="AM38" s="36">
        <f t="shared" si="2"/>
        <v>0</v>
      </c>
      <c r="AN38" s="36">
        <f t="shared" si="3"/>
        <v>0</v>
      </c>
      <c r="AO38" s="36">
        <f t="shared" si="4"/>
        <v>0</v>
      </c>
      <c r="AP38" s="37">
        <f t="shared" si="5"/>
        <v>3</v>
      </c>
      <c r="AQ38" s="37" t="s">
        <v>25</v>
      </c>
      <c r="AR38" s="38">
        <v>16</v>
      </c>
      <c r="AS38" s="39">
        <f t="shared" si="6"/>
        <v>0.1875</v>
      </c>
    </row>
    <row r="39" s="105" customFormat="1" ht="20.15" customHeight="1" spans="1:45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96"/>
      <c r="F39" s="96"/>
      <c r="G39" s="96"/>
      <c r="H39" s="96" t="s">
        <v>11</v>
      </c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259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 t="s">
        <v>11</v>
      </c>
      <c r="AG39" s="96" t="s">
        <v>11</v>
      </c>
      <c r="AH39" s="96" t="s">
        <v>11</v>
      </c>
      <c r="AI39" s="96"/>
      <c r="AK39" s="151">
        <f t="shared" si="0"/>
        <v>0</v>
      </c>
      <c r="AL39" s="35">
        <f t="shared" si="1"/>
        <v>4</v>
      </c>
      <c r="AM39" s="36">
        <f t="shared" si="2"/>
        <v>0</v>
      </c>
      <c r="AN39" s="36">
        <f t="shared" si="3"/>
        <v>0</v>
      </c>
      <c r="AO39" s="36">
        <f t="shared" si="4"/>
        <v>0</v>
      </c>
      <c r="AP39" s="37">
        <f t="shared" si="5"/>
        <v>4</v>
      </c>
      <c r="AQ39" s="37" t="s">
        <v>25</v>
      </c>
      <c r="AR39" s="38">
        <v>16</v>
      </c>
      <c r="AS39" s="39">
        <f t="shared" si="6"/>
        <v>0.25</v>
      </c>
    </row>
    <row r="40" s="105" customFormat="1" ht="20.15" customHeight="1" spans="1:45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96"/>
      <c r="F40" s="96"/>
      <c r="G40" s="96"/>
      <c r="H40" s="96" t="s">
        <v>11</v>
      </c>
      <c r="I40" s="96"/>
      <c r="J40" s="96"/>
      <c r="K40" s="96"/>
      <c r="L40" s="96"/>
      <c r="M40" s="96"/>
      <c r="N40" s="96"/>
      <c r="O40" s="96"/>
      <c r="P40" s="96"/>
      <c r="Q40" s="96" t="s">
        <v>11</v>
      </c>
      <c r="R40" s="96" t="s">
        <v>11</v>
      </c>
      <c r="S40" s="96"/>
      <c r="T40" s="96"/>
      <c r="U40" s="259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K40" s="151">
        <f t="shared" si="0"/>
        <v>0</v>
      </c>
      <c r="AL40" s="35">
        <f t="shared" si="1"/>
        <v>3</v>
      </c>
      <c r="AM40" s="36">
        <f t="shared" si="2"/>
        <v>0</v>
      </c>
      <c r="AN40" s="36">
        <f t="shared" si="3"/>
        <v>0</v>
      </c>
      <c r="AO40" s="36">
        <f t="shared" si="4"/>
        <v>0</v>
      </c>
      <c r="AP40" s="128">
        <f t="shared" si="5"/>
        <v>3</v>
      </c>
      <c r="AQ40" s="52" t="s">
        <v>18</v>
      </c>
      <c r="AR40" s="38">
        <v>16</v>
      </c>
      <c r="AS40" s="72">
        <f t="shared" si="6"/>
        <v>0.1875</v>
      </c>
    </row>
    <row r="41" s="105" customFormat="1" ht="20.15" customHeight="1" spans="1:45">
      <c r="A41" s="68">
        <v>30</v>
      </c>
      <c r="B41" s="154" t="s">
        <v>51</v>
      </c>
      <c r="C41" s="150" t="s">
        <v>16</v>
      </c>
      <c r="D41" s="149" t="str">
        <f>VLOOKUP(B41,'[1]MASTER DATA 2025'!$C$3:$E$279,3,0)</f>
        <v>0Tahun9 Bulan</v>
      </c>
      <c r="E41" s="96"/>
      <c r="F41" s="96"/>
      <c r="G41" s="96"/>
      <c r="H41" s="96" t="s">
        <v>11</v>
      </c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259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K41" s="151">
        <f t="shared" si="0"/>
        <v>0</v>
      </c>
      <c r="AL41" s="35">
        <f t="shared" si="1"/>
        <v>1</v>
      </c>
      <c r="AM41" s="36">
        <f t="shared" si="2"/>
        <v>0</v>
      </c>
      <c r="AN41" s="36">
        <f t="shared" si="3"/>
        <v>0</v>
      </c>
      <c r="AO41" s="36">
        <f t="shared" si="4"/>
        <v>0</v>
      </c>
      <c r="AP41" s="37">
        <f t="shared" si="5"/>
        <v>1</v>
      </c>
      <c r="AQ41" s="130"/>
      <c r="AR41" s="38">
        <v>26</v>
      </c>
      <c r="AS41" s="39">
        <f t="shared" si="6"/>
        <v>0.0384615384615385</v>
      </c>
    </row>
    <row r="42" s="105" customFormat="1" ht="20.15" customHeight="1" spans="1:45">
      <c r="A42" s="68">
        <v>31</v>
      </c>
      <c r="B42" s="154" t="s">
        <v>52</v>
      </c>
      <c r="C42" s="150" t="s">
        <v>16</v>
      </c>
      <c r="D42" s="149" t="str">
        <f>VLOOKUP(B42,'[1]MASTER DATA 2025'!$C$3:$E$279,3,0)</f>
        <v>2Tahun3 Bulan</v>
      </c>
      <c r="E42" s="96"/>
      <c r="F42" s="96"/>
      <c r="G42" s="96"/>
      <c r="H42" s="96" t="s">
        <v>11</v>
      </c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259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K42" s="151">
        <f t="shared" si="0"/>
        <v>0</v>
      </c>
      <c r="AL42" s="35">
        <f t="shared" si="1"/>
        <v>1</v>
      </c>
      <c r="AM42" s="36">
        <f t="shared" si="2"/>
        <v>0</v>
      </c>
      <c r="AN42" s="36">
        <f t="shared" si="3"/>
        <v>0</v>
      </c>
      <c r="AO42" s="36">
        <f t="shared" si="4"/>
        <v>0</v>
      </c>
      <c r="AP42" s="37">
        <f t="shared" si="5"/>
        <v>1</v>
      </c>
      <c r="AQ42" s="37"/>
      <c r="AR42" s="38">
        <v>26</v>
      </c>
      <c r="AS42" s="39">
        <f t="shared" si="6"/>
        <v>0.0384615384615385</v>
      </c>
    </row>
    <row r="43" s="105" customFormat="1" ht="20.15" customHeight="1" spans="1:45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96"/>
      <c r="F43" s="96"/>
      <c r="G43" s="96"/>
      <c r="H43" s="96" t="s">
        <v>11</v>
      </c>
      <c r="I43" s="96"/>
      <c r="J43" s="96"/>
      <c r="K43" s="96"/>
      <c r="L43" s="96" t="s">
        <v>11</v>
      </c>
      <c r="M43" s="96" t="s">
        <v>11</v>
      </c>
      <c r="N43" s="96"/>
      <c r="O43" s="96" t="s">
        <v>11</v>
      </c>
      <c r="P43" s="96"/>
      <c r="Q43" s="96"/>
      <c r="R43" s="96"/>
      <c r="S43" s="96" t="s">
        <v>11</v>
      </c>
      <c r="T43" s="96"/>
      <c r="U43" s="259" t="s">
        <v>11</v>
      </c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K43" s="151">
        <f t="shared" si="0"/>
        <v>0</v>
      </c>
      <c r="AL43" s="35">
        <f t="shared" si="1"/>
        <v>6</v>
      </c>
      <c r="AM43" s="36">
        <f t="shared" si="2"/>
        <v>0</v>
      </c>
      <c r="AN43" s="36">
        <f t="shared" si="3"/>
        <v>0</v>
      </c>
      <c r="AO43" s="36">
        <f t="shared" si="4"/>
        <v>0</v>
      </c>
      <c r="AP43" s="37">
        <f t="shared" si="5"/>
        <v>6</v>
      </c>
      <c r="AQ43" s="52" t="s">
        <v>18</v>
      </c>
      <c r="AR43" s="38">
        <v>26</v>
      </c>
      <c r="AS43" s="39">
        <f t="shared" si="6"/>
        <v>0.230769230769231</v>
      </c>
    </row>
    <row r="44" s="105" customFormat="1" ht="20.15" customHeight="1" spans="1:45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96"/>
      <c r="F44" s="96"/>
      <c r="G44" s="96"/>
      <c r="H44" s="96" t="s">
        <v>11</v>
      </c>
      <c r="I44" s="96"/>
      <c r="J44" s="96"/>
      <c r="K44" s="96"/>
      <c r="L44" s="96"/>
      <c r="M44" s="96"/>
      <c r="N44" s="96"/>
      <c r="O44" s="96"/>
      <c r="P44" s="96" t="s">
        <v>11</v>
      </c>
      <c r="Q44" s="96"/>
      <c r="R44" s="96"/>
      <c r="S44" s="96"/>
      <c r="T44" s="96"/>
      <c r="U44" s="259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K44" s="151">
        <f t="shared" si="0"/>
        <v>0</v>
      </c>
      <c r="AL44" s="35">
        <f t="shared" si="1"/>
        <v>2</v>
      </c>
      <c r="AM44" s="36">
        <f t="shared" si="2"/>
        <v>0</v>
      </c>
      <c r="AN44" s="36">
        <f t="shared" si="3"/>
        <v>0</v>
      </c>
      <c r="AO44" s="36">
        <f t="shared" si="4"/>
        <v>0</v>
      </c>
      <c r="AP44" s="37">
        <f t="shared" si="5"/>
        <v>2</v>
      </c>
      <c r="AQ44" s="37" t="s">
        <v>25</v>
      </c>
      <c r="AR44" s="38">
        <v>26</v>
      </c>
      <c r="AS44" s="39">
        <f t="shared" si="6"/>
        <v>0.0769230769230769</v>
      </c>
    </row>
    <row r="45" s="105" customFormat="1" ht="20.15" customHeight="1" spans="1:45">
      <c r="A45" s="68">
        <v>34</v>
      </c>
      <c r="B45" s="158" t="s">
        <v>55</v>
      </c>
      <c r="C45" s="150" t="s">
        <v>16</v>
      </c>
      <c r="D45" s="149" t="str">
        <f>VLOOKUP(B45,'[1]MASTER DATA 2025'!$C$3:$E$279,3,0)</f>
        <v>2Tahun1 Bulan</v>
      </c>
      <c r="E45" s="96"/>
      <c r="F45" s="96"/>
      <c r="G45" s="96"/>
      <c r="H45" s="96"/>
      <c r="I45" s="96" t="s">
        <v>11</v>
      </c>
      <c r="J45" s="96"/>
      <c r="K45" s="96"/>
      <c r="L45" s="96"/>
      <c r="M45" s="96"/>
      <c r="N45" s="96"/>
      <c r="O45" s="96"/>
      <c r="P45" s="96" t="s">
        <v>11</v>
      </c>
      <c r="Q45" s="96"/>
      <c r="R45" s="96"/>
      <c r="S45" s="96"/>
      <c r="T45" s="96"/>
      <c r="U45" s="259"/>
      <c r="V45" s="96"/>
      <c r="W45" s="96"/>
      <c r="X45" s="96"/>
      <c r="Y45" s="96"/>
      <c r="Z45" s="96"/>
      <c r="AA45" s="96" t="s">
        <v>11</v>
      </c>
      <c r="AB45" s="96"/>
      <c r="AC45" s="96"/>
      <c r="AD45" s="96"/>
      <c r="AE45" s="96"/>
      <c r="AF45" s="96"/>
      <c r="AG45" s="96"/>
      <c r="AH45" s="96"/>
      <c r="AI45" s="96"/>
      <c r="AK45" s="151">
        <f t="shared" si="0"/>
        <v>0</v>
      </c>
      <c r="AL45" s="35">
        <f t="shared" si="1"/>
        <v>3</v>
      </c>
      <c r="AM45" s="36">
        <f t="shared" si="2"/>
        <v>0</v>
      </c>
      <c r="AN45" s="36">
        <f t="shared" si="3"/>
        <v>0</v>
      </c>
      <c r="AO45" s="36">
        <f t="shared" si="4"/>
        <v>0</v>
      </c>
      <c r="AP45" s="37">
        <f t="shared" si="5"/>
        <v>3</v>
      </c>
      <c r="AQ45" s="37" t="s">
        <v>25</v>
      </c>
      <c r="AR45" s="38">
        <v>26</v>
      </c>
      <c r="AS45" s="39">
        <f t="shared" si="6"/>
        <v>0.115384615384615</v>
      </c>
    </row>
    <row r="46" s="105" customFormat="1" ht="20.15" customHeight="1" spans="1:45">
      <c r="A46" s="68">
        <v>35</v>
      </c>
      <c r="B46" s="154" t="s">
        <v>56</v>
      </c>
      <c r="C46" s="150" t="s">
        <v>16</v>
      </c>
      <c r="D46" s="149" t="str">
        <f>VLOOKUP(B46,'[1]MASTER DATA 2025'!$C$3:$E$279,3,0)</f>
        <v>0Tahun11 Bulan</v>
      </c>
      <c r="E46" s="96"/>
      <c r="F46" s="96"/>
      <c r="G46" s="96"/>
      <c r="H46" s="96"/>
      <c r="I46" s="96" t="s">
        <v>11</v>
      </c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259"/>
      <c r="V46" s="96"/>
      <c r="W46" s="96"/>
      <c r="X46" s="96"/>
      <c r="Y46" s="96" t="s">
        <v>11</v>
      </c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K46" s="151">
        <f t="shared" si="0"/>
        <v>0</v>
      </c>
      <c r="AL46" s="35">
        <f t="shared" si="1"/>
        <v>2</v>
      </c>
      <c r="AM46" s="36">
        <f t="shared" si="2"/>
        <v>0</v>
      </c>
      <c r="AN46" s="36">
        <f t="shared" si="3"/>
        <v>0</v>
      </c>
      <c r="AO46" s="36">
        <f t="shared" si="4"/>
        <v>0</v>
      </c>
      <c r="AP46" s="37">
        <f t="shared" si="5"/>
        <v>2</v>
      </c>
      <c r="AQ46" s="37" t="s">
        <v>25</v>
      </c>
      <c r="AR46" s="38">
        <v>26</v>
      </c>
      <c r="AS46" s="39">
        <f t="shared" si="6"/>
        <v>0.0769230769230769</v>
      </c>
    </row>
    <row r="47" s="105" customFormat="1" ht="20.15" customHeight="1" spans="1:45">
      <c r="A47" s="68">
        <v>36</v>
      </c>
      <c r="B47" s="159" t="s">
        <v>57</v>
      </c>
      <c r="C47" s="150" t="s">
        <v>16</v>
      </c>
      <c r="D47" s="149" t="str">
        <f>VLOOKUP(B47,'[1]MASTER DATA 2025'!$C$3:$E$279,3,0)</f>
        <v>0Tahun2 Bulan</v>
      </c>
      <c r="E47" s="96"/>
      <c r="F47" s="96"/>
      <c r="G47" s="96"/>
      <c r="H47" s="96"/>
      <c r="I47" s="96" t="s">
        <v>11</v>
      </c>
      <c r="J47" s="96"/>
      <c r="K47" s="96"/>
      <c r="L47" s="96"/>
      <c r="M47" s="96"/>
      <c r="N47" s="96"/>
      <c r="O47" s="96"/>
      <c r="P47" s="96" t="s">
        <v>11</v>
      </c>
      <c r="Q47" s="96" t="s">
        <v>11</v>
      </c>
      <c r="R47" s="96" t="s">
        <v>11</v>
      </c>
      <c r="S47" s="96"/>
      <c r="T47" s="96"/>
      <c r="U47" s="259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K47" s="151">
        <f t="shared" si="0"/>
        <v>0</v>
      </c>
      <c r="AL47" s="35">
        <f t="shared" si="1"/>
        <v>4</v>
      </c>
      <c r="AM47" s="36">
        <f t="shared" si="2"/>
        <v>0</v>
      </c>
      <c r="AN47" s="36">
        <f t="shared" si="3"/>
        <v>0</v>
      </c>
      <c r="AO47" s="36">
        <f t="shared" si="4"/>
        <v>0</v>
      </c>
      <c r="AP47" s="37">
        <f t="shared" si="5"/>
        <v>4</v>
      </c>
      <c r="AQ47" s="52" t="s">
        <v>18</v>
      </c>
      <c r="AR47" s="38">
        <v>26</v>
      </c>
      <c r="AS47" s="39">
        <f t="shared" si="6"/>
        <v>0.153846153846154</v>
      </c>
    </row>
    <row r="48" s="105" customFormat="1" ht="19.5" customHeight="1" spans="1:45">
      <c r="A48" s="68">
        <v>37</v>
      </c>
      <c r="B48" s="149" t="s">
        <v>58</v>
      </c>
      <c r="C48" s="150" t="s">
        <v>59</v>
      </c>
      <c r="D48" s="149" t="str">
        <f>VLOOKUP(B48,'[1]MASTER DATA 2025'!$C$3:$E$279,3,0)</f>
        <v>1Tahun3 Bulan</v>
      </c>
      <c r="E48" s="96"/>
      <c r="F48" s="96"/>
      <c r="G48" s="96"/>
      <c r="H48" s="96"/>
      <c r="I48" s="96" t="s">
        <v>11</v>
      </c>
      <c r="J48" s="96"/>
      <c r="K48" s="96"/>
      <c r="L48" s="96"/>
      <c r="M48" s="96"/>
      <c r="N48" s="96"/>
      <c r="O48" s="96"/>
      <c r="P48" s="96"/>
      <c r="Q48" s="96"/>
      <c r="R48" s="96" t="s">
        <v>13</v>
      </c>
      <c r="S48" s="96"/>
      <c r="T48" s="96"/>
      <c r="U48" s="259"/>
      <c r="V48" s="96"/>
      <c r="W48" s="96"/>
      <c r="X48" s="96"/>
      <c r="Y48" s="96" t="s">
        <v>13</v>
      </c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K48" s="151">
        <f t="shared" si="0"/>
        <v>0</v>
      </c>
      <c r="AL48" s="35">
        <f t="shared" si="1"/>
        <v>1</v>
      </c>
      <c r="AM48" s="36">
        <f t="shared" si="2"/>
        <v>0</v>
      </c>
      <c r="AN48" s="35">
        <f t="shared" si="3"/>
        <v>2</v>
      </c>
      <c r="AO48" s="36">
        <f t="shared" si="4"/>
        <v>0</v>
      </c>
      <c r="AP48" s="37">
        <f t="shared" si="5"/>
        <v>3</v>
      </c>
      <c r="AQ48" s="37" t="s">
        <v>25</v>
      </c>
      <c r="AR48" s="38">
        <v>26</v>
      </c>
      <c r="AS48" s="39">
        <f t="shared" si="6"/>
        <v>0.115384615384615</v>
      </c>
    </row>
    <row r="49" s="105" customFormat="1" ht="19.5" customHeight="1" spans="1:45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259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K49" s="151">
        <f t="shared" si="0"/>
        <v>0</v>
      </c>
      <c r="AL49" s="36">
        <f t="shared" si="1"/>
        <v>0</v>
      </c>
      <c r="AM49" s="36">
        <f t="shared" si="2"/>
        <v>0</v>
      </c>
      <c r="AN49" s="36">
        <f t="shared" si="3"/>
        <v>0</v>
      </c>
      <c r="AO49" s="36">
        <f t="shared" si="4"/>
        <v>0</v>
      </c>
      <c r="AP49" s="37">
        <f t="shared" si="5"/>
        <v>0</v>
      </c>
      <c r="AQ49" s="37"/>
      <c r="AR49" s="38">
        <v>26</v>
      </c>
      <c r="AS49" s="39">
        <f t="shared" si="6"/>
        <v>0</v>
      </c>
    </row>
    <row r="50" s="105" customFormat="1" ht="19.5" customHeight="1" spans="1:45">
      <c r="A50" s="68">
        <v>39</v>
      </c>
      <c r="B50" s="161" t="s">
        <v>62</v>
      </c>
      <c r="C50" s="150" t="s">
        <v>16</v>
      </c>
      <c r="D50" s="149" t="str">
        <f>VLOOKUP(B50,'[1]MASTER DATA 2025'!$C$3:$E$279,3,0)</f>
        <v>3Tahun8 Bulan</v>
      </c>
      <c r="E50" s="96"/>
      <c r="F50" s="96" t="s">
        <v>11</v>
      </c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259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K50" s="151">
        <f t="shared" si="0"/>
        <v>0</v>
      </c>
      <c r="AL50" s="35">
        <f t="shared" si="1"/>
        <v>1</v>
      </c>
      <c r="AM50" s="36">
        <f t="shared" si="2"/>
        <v>0</v>
      </c>
      <c r="AN50" s="36">
        <f t="shared" si="3"/>
        <v>0</v>
      </c>
      <c r="AO50" s="36">
        <f t="shared" si="4"/>
        <v>0</v>
      </c>
      <c r="AP50" s="37">
        <f t="shared" si="5"/>
        <v>1</v>
      </c>
      <c r="AQ50" s="37"/>
      <c r="AR50" s="38">
        <v>26</v>
      </c>
      <c r="AS50" s="39">
        <f t="shared" si="6"/>
        <v>0.0384615384615385</v>
      </c>
    </row>
    <row r="51" s="105" customFormat="1" ht="19.5" customHeight="1" spans="1:45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96" t="s">
        <v>11</v>
      </c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259"/>
      <c r="V51" s="96"/>
      <c r="W51" s="96" t="s">
        <v>12</v>
      </c>
      <c r="X51" s="96" t="s">
        <v>12</v>
      </c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K51" s="151">
        <f t="shared" si="0"/>
        <v>0</v>
      </c>
      <c r="AL51" s="35">
        <f t="shared" si="1"/>
        <v>1</v>
      </c>
      <c r="AM51" s="35">
        <f t="shared" si="2"/>
        <v>2</v>
      </c>
      <c r="AN51" s="36">
        <f t="shared" si="3"/>
        <v>0</v>
      </c>
      <c r="AO51" s="36">
        <f t="shared" si="4"/>
        <v>0</v>
      </c>
      <c r="AP51" s="37">
        <f t="shared" si="5"/>
        <v>3</v>
      </c>
      <c r="AQ51" s="37" t="s">
        <v>25</v>
      </c>
      <c r="AR51" s="38">
        <v>26</v>
      </c>
      <c r="AS51" s="39">
        <f t="shared" si="6"/>
        <v>0.115384615384615</v>
      </c>
    </row>
    <row r="52" s="105" customFormat="1" ht="19.5" customHeight="1" spans="1:45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96"/>
      <c r="F52" s="96"/>
      <c r="G52" s="96"/>
      <c r="H52" s="96"/>
      <c r="I52" s="96"/>
      <c r="J52" s="96" t="s">
        <v>11</v>
      </c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259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K52" s="151">
        <f t="shared" si="0"/>
        <v>0</v>
      </c>
      <c r="AL52" s="35">
        <f t="shared" si="1"/>
        <v>1</v>
      </c>
      <c r="AM52" s="36">
        <f t="shared" si="2"/>
        <v>0</v>
      </c>
      <c r="AN52" s="36">
        <f t="shared" si="3"/>
        <v>0</v>
      </c>
      <c r="AO52" s="36">
        <f t="shared" si="4"/>
        <v>0</v>
      </c>
      <c r="AP52" s="37">
        <f t="shared" si="5"/>
        <v>1</v>
      </c>
      <c r="AQ52" s="37"/>
      <c r="AR52" s="38">
        <v>26</v>
      </c>
      <c r="AS52" s="39">
        <f t="shared" si="6"/>
        <v>0.0384615384615385</v>
      </c>
    </row>
    <row r="53" s="105" customFormat="1" ht="19.5" customHeight="1" spans="1:45">
      <c r="A53" s="68">
        <v>42</v>
      </c>
      <c r="B53" s="219" t="s">
        <v>65</v>
      </c>
      <c r="C53" s="150" t="s">
        <v>16</v>
      </c>
      <c r="D53" s="149" t="str">
        <f>VLOOKUP(B53,'[1]MASTER DATA 2025'!$C$3:$E$279,3,0)</f>
        <v>0Tahun7 Bulan</v>
      </c>
      <c r="E53" s="96"/>
      <c r="F53" s="96"/>
      <c r="G53" s="96"/>
      <c r="H53" s="96"/>
      <c r="I53" s="96" t="s">
        <v>11</v>
      </c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259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K53" s="151">
        <f t="shared" si="0"/>
        <v>0</v>
      </c>
      <c r="AL53" s="35">
        <f t="shared" si="1"/>
        <v>1</v>
      </c>
      <c r="AM53" s="36">
        <f t="shared" si="2"/>
        <v>0</v>
      </c>
      <c r="AN53" s="36">
        <f t="shared" si="3"/>
        <v>0</v>
      </c>
      <c r="AO53" s="36">
        <f t="shared" si="4"/>
        <v>0</v>
      </c>
      <c r="AP53" s="37">
        <f t="shared" si="5"/>
        <v>1</v>
      </c>
      <c r="AQ53" s="37"/>
      <c r="AR53" s="38">
        <v>26</v>
      </c>
      <c r="AS53" s="39">
        <f t="shared" si="6"/>
        <v>0.0384615384615385</v>
      </c>
    </row>
    <row r="54" s="105" customFormat="1" ht="19.5" customHeight="1" spans="1:45">
      <c r="A54" s="68">
        <v>43</v>
      </c>
      <c r="B54" s="163" t="s">
        <v>66</v>
      </c>
      <c r="C54" s="150" t="s">
        <v>16</v>
      </c>
      <c r="D54" s="149" t="str">
        <f>VLOOKUP(B54,'[1]MASTER DATA 2025'!$C$3:$E$279,3,0)</f>
        <v>0Tahun2 Bulan</v>
      </c>
      <c r="E54" s="96"/>
      <c r="F54" s="96"/>
      <c r="G54" s="96"/>
      <c r="H54" s="96"/>
      <c r="I54" s="96" t="s">
        <v>11</v>
      </c>
      <c r="J54" s="96"/>
      <c r="K54" s="96"/>
      <c r="L54" s="96"/>
      <c r="M54" s="96"/>
      <c r="N54" s="96"/>
      <c r="O54" s="96" t="s">
        <v>11</v>
      </c>
      <c r="P54" s="96"/>
      <c r="Q54" s="96"/>
      <c r="R54" s="96"/>
      <c r="S54" s="96"/>
      <c r="T54" s="96"/>
      <c r="U54" s="259"/>
      <c r="V54" s="96"/>
      <c r="W54" s="96"/>
      <c r="X54" s="96"/>
      <c r="Y54" s="96"/>
      <c r="Z54" s="96"/>
      <c r="AA54" s="96"/>
      <c r="AB54" s="96"/>
      <c r="AC54" s="96" t="s">
        <v>11</v>
      </c>
      <c r="AD54" s="96"/>
      <c r="AE54" s="96"/>
      <c r="AF54" s="96"/>
      <c r="AG54" s="96"/>
      <c r="AH54" s="96"/>
      <c r="AI54" s="96"/>
      <c r="AK54" s="151">
        <f t="shared" si="0"/>
        <v>0</v>
      </c>
      <c r="AL54" s="35">
        <f t="shared" si="1"/>
        <v>3</v>
      </c>
      <c r="AM54" s="36">
        <f t="shared" si="2"/>
        <v>0</v>
      </c>
      <c r="AN54" s="36">
        <f t="shared" si="3"/>
        <v>0</v>
      </c>
      <c r="AO54" s="36">
        <f t="shared" si="4"/>
        <v>0</v>
      </c>
      <c r="AP54" s="37">
        <f t="shared" si="5"/>
        <v>3</v>
      </c>
      <c r="AQ54" s="37" t="s">
        <v>42</v>
      </c>
      <c r="AR54" s="38">
        <v>26</v>
      </c>
      <c r="AS54" s="39">
        <f t="shared" si="6"/>
        <v>0.115384615384615</v>
      </c>
    </row>
    <row r="55" s="105" customFormat="1" ht="19.5" customHeight="1" spans="1:45">
      <c r="A55" s="68">
        <v>44</v>
      </c>
      <c r="B55" s="219" t="s">
        <v>67</v>
      </c>
      <c r="C55" s="150" t="s">
        <v>16</v>
      </c>
      <c r="D55" s="149" t="str">
        <f>VLOOKUP(B55,'[1]MASTER DATA 2025'!$C$3:$E$279,3,0)</f>
        <v>1Tahun3 Bulan</v>
      </c>
      <c r="E55" s="96"/>
      <c r="F55" s="96"/>
      <c r="G55" s="96"/>
      <c r="H55" s="96"/>
      <c r="I55" s="96" t="s">
        <v>11</v>
      </c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259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K55" s="151">
        <f t="shared" si="0"/>
        <v>0</v>
      </c>
      <c r="AL55" s="35">
        <f t="shared" si="1"/>
        <v>1</v>
      </c>
      <c r="AM55" s="36">
        <f t="shared" si="2"/>
        <v>0</v>
      </c>
      <c r="AN55" s="36">
        <f t="shared" si="3"/>
        <v>0</v>
      </c>
      <c r="AO55" s="36">
        <f t="shared" si="4"/>
        <v>0</v>
      </c>
      <c r="AP55" s="37">
        <f t="shared" si="5"/>
        <v>1</v>
      </c>
      <c r="AQ55" s="37"/>
      <c r="AR55" s="38">
        <v>26</v>
      </c>
      <c r="AS55" s="39">
        <f t="shared" si="6"/>
        <v>0.0384615384615385</v>
      </c>
    </row>
    <row r="56" s="105" customFormat="1" ht="19.5" customHeight="1" spans="1:45">
      <c r="A56" s="68">
        <v>45</v>
      </c>
      <c r="B56" s="219" t="s">
        <v>68</v>
      </c>
      <c r="C56" s="150" t="s">
        <v>16</v>
      </c>
      <c r="D56" s="149" t="str">
        <f>VLOOKUP(B56,'[1]MASTER DATA 2025'!$C$3:$E$279,3,0)</f>
        <v>0Tahun2 Bulan</v>
      </c>
      <c r="E56" s="96"/>
      <c r="F56" s="96"/>
      <c r="G56" s="96"/>
      <c r="H56" s="96"/>
      <c r="I56" s="96" t="s">
        <v>11</v>
      </c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259" t="s">
        <v>11</v>
      </c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K56" s="151">
        <f t="shared" si="0"/>
        <v>0</v>
      </c>
      <c r="AL56" s="35">
        <f t="shared" si="1"/>
        <v>2</v>
      </c>
      <c r="AM56" s="36">
        <f t="shared" si="2"/>
        <v>0</v>
      </c>
      <c r="AN56" s="36">
        <f t="shared" si="3"/>
        <v>0</v>
      </c>
      <c r="AO56" s="36">
        <f t="shared" si="4"/>
        <v>0</v>
      </c>
      <c r="AP56" s="37">
        <f t="shared" si="5"/>
        <v>2</v>
      </c>
      <c r="AQ56" s="37" t="s">
        <v>25</v>
      </c>
      <c r="AR56" s="38">
        <v>26</v>
      </c>
      <c r="AS56" s="39">
        <f t="shared" si="6"/>
        <v>0.0769230769230769</v>
      </c>
    </row>
    <row r="57" s="105" customFormat="1" ht="19.5" customHeight="1" spans="1:45">
      <c r="A57" s="68">
        <v>46</v>
      </c>
      <c r="B57" s="219" t="s">
        <v>69</v>
      </c>
      <c r="C57" s="150" t="s">
        <v>16</v>
      </c>
      <c r="D57" s="149" t="str">
        <f>VLOOKUP(B57,'[1]MASTER DATA 2025'!$C$3:$E$279,3,0)</f>
        <v>0Tahun11 Bulan</v>
      </c>
      <c r="E57" s="96"/>
      <c r="F57" s="96"/>
      <c r="G57" s="96"/>
      <c r="H57" s="96"/>
      <c r="I57" s="96"/>
      <c r="J57" s="96" t="s">
        <v>11</v>
      </c>
      <c r="K57" s="96"/>
      <c r="L57" s="96"/>
      <c r="M57" s="96"/>
      <c r="N57" s="96"/>
      <c r="O57" s="96"/>
      <c r="P57" s="96"/>
      <c r="Q57" s="96"/>
      <c r="R57" s="96"/>
      <c r="S57" s="96" t="s">
        <v>12</v>
      </c>
      <c r="T57" s="96"/>
      <c r="U57" s="259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K57" s="151">
        <f t="shared" si="0"/>
        <v>0</v>
      </c>
      <c r="AL57" s="35">
        <f t="shared" si="1"/>
        <v>1</v>
      </c>
      <c r="AM57" s="36">
        <f t="shared" si="2"/>
        <v>1</v>
      </c>
      <c r="AN57" s="36">
        <f t="shared" si="3"/>
        <v>0</v>
      </c>
      <c r="AO57" s="36">
        <f t="shared" si="4"/>
        <v>0</v>
      </c>
      <c r="AP57" s="37">
        <f t="shared" si="5"/>
        <v>2</v>
      </c>
      <c r="AQ57" s="37" t="s">
        <v>25</v>
      </c>
      <c r="AR57" s="38">
        <v>26</v>
      </c>
      <c r="AS57" s="39">
        <f t="shared" si="6"/>
        <v>0.0769230769230769</v>
      </c>
    </row>
    <row r="58" s="105" customFormat="1" ht="19.5" customHeight="1" spans="1:45">
      <c r="A58" s="68">
        <v>47</v>
      </c>
      <c r="B58" s="219" t="s">
        <v>70</v>
      </c>
      <c r="C58" s="150" t="s">
        <v>59</v>
      </c>
      <c r="D58" s="149" t="str">
        <f>VLOOKUP(B58,'[1]MASTER DATA 2025'!$C$3:$E$279,3,0)</f>
        <v>1Tahun2 Bulan</v>
      </c>
      <c r="E58" s="96"/>
      <c r="F58" s="96"/>
      <c r="G58" s="96"/>
      <c r="H58" s="96"/>
      <c r="I58" s="96"/>
      <c r="J58" s="96" t="s">
        <v>11</v>
      </c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259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K58" s="151">
        <f t="shared" si="0"/>
        <v>0</v>
      </c>
      <c r="AL58" s="35">
        <f t="shared" si="1"/>
        <v>1</v>
      </c>
      <c r="AM58" s="36">
        <f t="shared" si="2"/>
        <v>0</v>
      </c>
      <c r="AN58" s="36">
        <f t="shared" si="3"/>
        <v>0</v>
      </c>
      <c r="AO58" s="36">
        <f t="shared" si="4"/>
        <v>0</v>
      </c>
      <c r="AP58" s="37">
        <f t="shared" si="5"/>
        <v>1</v>
      </c>
      <c r="AQ58" s="37"/>
      <c r="AR58" s="38">
        <v>26</v>
      </c>
      <c r="AS58" s="39">
        <f t="shared" si="6"/>
        <v>0.0384615384615385</v>
      </c>
    </row>
    <row r="59" s="105" customFormat="1" ht="19.5" customHeight="1" spans="1:45">
      <c r="A59" s="68">
        <v>48</v>
      </c>
      <c r="B59" s="219" t="s">
        <v>71</v>
      </c>
      <c r="C59" s="150" t="s">
        <v>59</v>
      </c>
      <c r="D59" s="149" t="str">
        <f>VLOOKUP(B59,'[1]MASTER DATA 2025'!$C$3:$E$279,3,0)</f>
        <v>0Tahun5 Bulan</v>
      </c>
      <c r="E59" s="96"/>
      <c r="F59" s="96"/>
      <c r="G59" s="96"/>
      <c r="H59" s="96"/>
      <c r="I59" s="96"/>
      <c r="J59" s="96" t="s">
        <v>11</v>
      </c>
      <c r="K59" s="96"/>
      <c r="L59" s="96"/>
      <c r="M59" s="96"/>
      <c r="N59" s="96"/>
      <c r="O59" s="96"/>
      <c r="P59" s="96" t="s">
        <v>11</v>
      </c>
      <c r="Q59" s="96"/>
      <c r="R59" s="96"/>
      <c r="S59" s="96"/>
      <c r="T59" s="96"/>
      <c r="U59" s="259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K59" s="151">
        <f t="shared" si="0"/>
        <v>0</v>
      </c>
      <c r="AL59" s="35">
        <f t="shared" si="1"/>
        <v>2</v>
      </c>
      <c r="AM59" s="36">
        <f t="shared" si="2"/>
        <v>0</v>
      </c>
      <c r="AN59" s="36">
        <f t="shared" si="3"/>
        <v>0</v>
      </c>
      <c r="AO59" s="36">
        <f t="shared" si="4"/>
        <v>0</v>
      </c>
      <c r="AP59" s="37">
        <f t="shared" si="5"/>
        <v>2</v>
      </c>
      <c r="AQ59" s="37" t="s">
        <v>25</v>
      </c>
      <c r="AR59" s="38">
        <v>26</v>
      </c>
      <c r="AS59" s="39">
        <f t="shared" si="6"/>
        <v>0.0769230769230769</v>
      </c>
    </row>
    <row r="60" s="105" customFormat="1" ht="19.5" customHeight="1" spans="1:45">
      <c r="A60" s="68">
        <v>49</v>
      </c>
      <c r="B60" s="221" t="s">
        <v>72</v>
      </c>
      <c r="C60" s="163" t="s">
        <v>16</v>
      </c>
      <c r="D60" s="149" t="str">
        <f>VLOOKUP(B60,'[1]MASTER DATA 2025'!$C$3:$E$279,3,0)</f>
        <v>0Tahun3 Bulan</v>
      </c>
      <c r="E60" s="96"/>
      <c r="F60" s="96"/>
      <c r="G60" s="96"/>
      <c r="H60" s="96"/>
      <c r="I60" s="96"/>
      <c r="J60" s="96" t="s">
        <v>11</v>
      </c>
      <c r="K60" s="96"/>
      <c r="L60" s="96" t="s">
        <v>11</v>
      </c>
      <c r="M60" s="96"/>
      <c r="N60" s="96"/>
      <c r="O60" s="96"/>
      <c r="P60" s="96"/>
      <c r="Q60" s="96"/>
      <c r="R60" s="96"/>
      <c r="S60" s="96"/>
      <c r="T60" s="96"/>
      <c r="U60" s="259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K60" s="151">
        <f t="shared" si="0"/>
        <v>0</v>
      </c>
      <c r="AL60" s="35">
        <f t="shared" si="1"/>
        <v>2</v>
      </c>
      <c r="AM60" s="36">
        <f t="shared" si="2"/>
        <v>0</v>
      </c>
      <c r="AN60" s="36">
        <f t="shared" si="3"/>
        <v>0</v>
      </c>
      <c r="AO60" s="36">
        <f t="shared" si="4"/>
        <v>0</v>
      </c>
      <c r="AP60" s="37">
        <f t="shared" si="5"/>
        <v>2</v>
      </c>
      <c r="AQ60" s="37" t="s">
        <v>25</v>
      </c>
      <c r="AR60" s="38">
        <v>26</v>
      </c>
      <c r="AS60" s="39">
        <f t="shared" si="6"/>
        <v>0.0769230769230769</v>
      </c>
    </row>
    <row r="61" s="105" customFormat="1" ht="19.5" customHeight="1" spans="1:45">
      <c r="A61" s="68">
        <v>50</v>
      </c>
      <c r="B61" s="219" t="s">
        <v>73</v>
      </c>
      <c r="C61" s="150" t="s">
        <v>16</v>
      </c>
      <c r="D61" s="149" t="str">
        <f>VLOOKUP(B61,'[1]MASTER DATA 2025'!$C$3:$E$279,3,0)</f>
        <v>2Tahun1 Bulan</v>
      </c>
      <c r="E61" s="96"/>
      <c r="F61" s="96"/>
      <c r="G61" s="96"/>
      <c r="H61" s="96"/>
      <c r="I61" s="96"/>
      <c r="J61" s="96"/>
      <c r="K61" s="96" t="s">
        <v>11</v>
      </c>
      <c r="L61" s="96"/>
      <c r="M61" s="96"/>
      <c r="N61" s="96"/>
      <c r="O61" s="96"/>
      <c r="P61" s="96"/>
      <c r="Q61" s="96"/>
      <c r="R61" s="96"/>
      <c r="S61" s="96"/>
      <c r="T61" s="96"/>
      <c r="U61" s="259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K61" s="151">
        <f t="shared" si="0"/>
        <v>0</v>
      </c>
      <c r="AL61" s="35">
        <f t="shared" si="1"/>
        <v>1</v>
      </c>
      <c r="AM61" s="36">
        <f t="shared" si="2"/>
        <v>0</v>
      </c>
      <c r="AN61" s="36">
        <f t="shared" si="3"/>
        <v>0</v>
      </c>
      <c r="AO61" s="36">
        <f t="shared" si="4"/>
        <v>0</v>
      </c>
      <c r="AP61" s="37">
        <f t="shared" si="5"/>
        <v>1</v>
      </c>
      <c r="AQ61" s="37"/>
      <c r="AR61" s="38">
        <v>26</v>
      </c>
      <c r="AS61" s="39">
        <f t="shared" si="6"/>
        <v>0.0384615384615385</v>
      </c>
    </row>
    <row r="62" s="105" customFormat="1" ht="19.5" customHeight="1" spans="1:45">
      <c r="A62" s="68">
        <v>51</v>
      </c>
      <c r="B62" s="219" t="s">
        <v>74</v>
      </c>
      <c r="C62" s="150" t="s">
        <v>16</v>
      </c>
      <c r="D62" s="149" t="str">
        <f>VLOOKUP(B62,'[1]MASTER DATA 2025'!$C$3:$E$279,3,0)</f>
        <v>0Tahun1 Bulan</v>
      </c>
      <c r="E62" s="96"/>
      <c r="F62" s="96"/>
      <c r="G62" s="96"/>
      <c r="H62" s="96"/>
      <c r="I62" s="96"/>
      <c r="J62" s="96"/>
      <c r="K62" s="96" t="s">
        <v>11</v>
      </c>
      <c r="L62" s="96"/>
      <c r="M62" s="96"/>
      <c r="N62" s="96"/>
      <c r="O62" s="96"/>
      <c r="P62" s="96"/>
      <c r="Q62" s="96"/>
      <c r="R62" s="96"/>
      <c r="S62" s="96"/>
      <c r="T62" s="96"/>
      <c r="U62" s="259"/>
      <c r="V62" s="96"/>
      <c r="W62" s="96"/>
      <c r="X62" s="96" t="s">
        <v>11</v>
      </c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K62" s="151">
        <f t="shared" si="0"/>
        <v>0</v>
      </c>
      <c r="AL62" s="35">
        <f t="shared" si="1"/>
        <v>2</v>
      </c>
      <c r="AM62" s="36">
        <f t="shared" si="2"/>
        <v>0</v>
      </c>
      <c r="AN62" s="36">
        <f t="shared" si="3"/>
        <v>0</v>
      </c>
      <c r="AO62" s="36">
        <f t="shared" si="4"/>
        <v>0</v>
      </c>
      <c r="AP62" s="37">
        <f t="shared" si="5"/>
        <v>2</v>
      </c>
      <c r="AQ62" s="37" t="s">
        <v>25</v>
      </c>
      <c r="AR62" s="38">
        <v>26</v>
      </c>
      <c r="AS62" s="39">
        <f t="shared" si="6"/>
        <v>0.0769230769230769</v>
      </c>
    </row>
    <row r="63" s="105" customFormat="1" ht="19.5" customHeight="1" spans="1:45">
      <c r="A63" s="68">
        <v>52</v>
      </c>
      <c r="B63" s="219" t="s">
        <v>75</v>
      </c>
      <c r="C63" s="150" t="s">
        <v>16</v>
      </c>
      <c r="D63" s="149" t="str">
        <f>VLOOKUP(B63,'[1]MASTER DATA 2025'!$C$3:$E$279,3,0)</f>
        <v>0Tahun1 Bulan</v>
      </c>
      <c r="E63" s="96"/>
      <c r="F63" s="96"/>
      <c r="G63" s="96"/>
      <c r="H63" s="96"/>
      <c r="I63" s="96"/>
      <c r="J63" s="96"/>
      <c r="K63" s="96" t="s">
        <v>11</v>
      </c>
      <c r="L63" s="96"/>
      <c r="M63" s="96"/>
      <c r="N63" s="96"/>
      <c r="O63" s="96"/>
      <c r="P63" s="96"/>
      <c r="Q63" s="96"/>
      <c r="R63" s="96"/>
      <c r="S63" s="96"/>
      <c r="T63" s="96"/>
      <c r="U63" s="259" t="s">
        <v>11</v>
      </c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K63" s="151">
        <f t="shared" si="0"/>
        <v>0</v>
      </c>
      <c r="AL63" s="35">
        <f t="shared" si="1"/>
        <v>2</v>
      </c>
      <c r="AM63" s="36">
        <f t="shared" si="2"/>
        <v>0</v>
      </c>
      <c r="AN63" s="36">
        <f t="shared" si="3"/>
        <v>0</v>
      </c>
      <c r="AO63" s="36">
        <f t="shared" si="4"/>
        <v>0</v>
      </c>
      <c r="AP63" s="37">
        <f t="shared" si="5"/>
        <v>2</v>
      </c>
      <c r="AQ63" s="37" t="s">
        <v>25</v>
      </c>
      <c r="AR63" s="38">
        <v>26</v>
      </c>
      <c r="AS63" s="39">
        <f t="shared" si="6"/>
        <v>0.0769230769230769</v>
      </c>
    </row>
    <row r="64" s="105" customFormat="1" ht="19.5" customHeight="1" spans="1:45">
      <c r="A64" s="68">
        <v>53</v>
      </c>
      <c r="B64" s="219" t="s">
        <v>76</v>
      </c>
      <c r="C64" s="150" t="s">
        <v>59</v>
      </c>
      <c r="D64" s="149" t="str">
        <f>VLOOKUP(B64,'[1]MASTER DATA 2025'!$C$3:$E$279,3,0)</f>
        <v>0Tahun5 Bulan</v>
      </c>
      <c r="E64" s="96"/>
      <c r="F64" s="96"/>
      <c r="G64" s="96"/>
      <c r="H64" s="96"/>
      <c r="I64" s="96"/>
      <c r="J64" s="96"/>
      <c r="K64" s="96" t="s">
        <v>11</v>
      </c>
      <c r="L64" s="96"/>
      <c r="M64" s="96"/>
      <c r="N64" s="96"/>
      <c r="O64" s="96"/>
      <c r="P64" s="96"/>
      <c r="Q64" s="96"/>
      <c r="R64" s="96"/>
      <c r="S64" s="96"/>
      <c r="T64" s="96"/>
      <c r="U64" s="259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K64" s="151">
        <f t="shared" si="0"/>
        <v>0</v>
      </c>
      <c r="AL64" s="35">
        <f t="shared" si="1"/>
        <v>1</v>
      </c>
      <c r="AM64" s="36">
        <f t="shared" si="2"/>
        <v>0</v>
      </c>
      <c r="AN64" s="36">
        <f t="shared" si="3"/>
        <v>0</v>
      </c>
      <c r="AO64" s="36">
        <f t="shared" si="4"/>
        <v>0</v>
      </c>
      <c r="AP64" s="37">
        <f t="shared" si="5"/>
        <v>1</v>
      </c>
      <c r="AQ64" s="37"/>
      <c r="AR64" s="38">
        <v>26</v>
      </c>
      <c r="AS64" s="39">
        <f t="shared" si="6"/>
        <v>0.0384615384615385</v>
      </c>
    </row>
    <row r="65" s="105" customFormat="1" ht="19.5" customHeight="1" spans="1:45">
      <c r="A65" s="68">
        <v>54</v>
      </c>
      <c r="B65" s="219" t="s">
        <v>77</v>
      </c>
      <c r="C65" s="150" t="s">
        <v>16</v>
      </c>
      <c r="D65" s="149" t="str">
        <f>VLOOKUP(B65,'[1]MASTER DATA 2025'!$C$3:$E$279,3,0)</f>
        <v>0Tahun8 Bulan</v>
      </c>
      <c r="E65" s="96"/>
      <c r="F65" s="96"/>
      <c r="G65" s="96"/>
      <c r="H65" s="96"/>
      <c r="I65" s="96"/>
      <c r="J65" s="96"/>
      <c r="K65" s="96" t="s">
        <v>11</v>
      </c>
      <c r="L65" s="96"/>
      <c r="M65" s="96"/>
      <c r="N65" s="96"/>
      <c r="O65" s="96"/>
      <c r="P65" s="96"/>
      <c r="Q65" s="96"/>
      <c r="R65" s="96"/>
      <c r="S65" s="96"/>
      <c r="T65" s="96"/>
      <c r="U65" s="259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K65" s="151">
        <f t="shared" si="0"/>
        <v>0</v>
      </c>
      <c r="AL65" s="35">
        <f t="shared" si="1"/>
        <v>1</v>
      </c>
      <c r="AM65" s="36">
        <f t="shared" si="2"/>
        <v>0</v>
      </c>
      <c r="AN65" s="36">
        <f t="shared" si="3"/>
        <v>0</v>
      </c>
      <c r="AO65" s="36">
        <f t="shared" si="4"/>
        <v>0</v>
      </c>
      <c r="AP65" s="37">
        <f t="shared" si="5"/>
        <v>1</v>
      </c>
      <c r="AQ65" s="37"/>
      <c r="AR65" s="38">
        <v>26</v>
      </c>
      <c r="AS65" s="39">
        <f t="shared" si="6"/>
        <v>0.0384615384615385</v>
      </c>
    </row>
    <row r="66" s="105" customFormat="1" ht="19.5" customHeight="1" spans="1:45">
      <c r="A66" s="68">
        <v>55</v>
      </c>
      <c r="B66" s="219" t="s">
        <v>78</v>
      </c>
      <c r="C66" s="150" t="s">
        <v>16</v>
      </c>
      <c r="D66" s="149" t="str">
        <f>VLOOKUP(B66,'[1]MASTER DATA 2025'!$C$3:$E$279,3,0)</f>
        <v>3Tahun7 Bulan</v>
      </c>
      <c r="E66" s="96"/>
      <c r="F66" s="96"/>
      <c r="G66" s="96"/>
      <c r="H66" s="96"/>
      <c r="I66" s="96"/>
      <c r="J66" s="96"/>
      <c r="K66" s="96" t="s">
        <v>13</v>
      </c>
      <c r="L66" s="96"/>
      <c r="M66" s="96"/>
      <c r="N66" s="96"/>
      <c r="O66" s="96" t="s">
        <v>11</v>
      </c>
      <c r="P66" s="96"/>
      <c r="Q66" s="96"/>
      <c r="R66" s="96"/>
      <c r="S66" s="96"/>
      <c r="T66" s="96"/>
      <c r="U66" s="259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K66" s="151">
        <f t="shared" si="0"/>
        <v>0</v>
      </c>
      <c r="AL66" s="35">
        <f t="shared" si="1"/>
        <v>1</v>
      </c>
      <c r="AM66" s="36">
        <f t="shared" si="2"/>
        <v>0</v>
      </c>
      <c r="AN66" s="36">
        <f t="shared" si="3"/>
        <v>1</v>
      </c>
      <c r="AO66" s="36">
        <f t="shared" si="4"/>
        <v>0</v>
      </c>
      <c r="AP66" s="37">
        <f t="shared" si="5"/>
        <v>2</v>
      </c>
      <c r="AQ66" s="37" t="s">
        <v>25</v>
      </c>
      <c r="AR66" s="38">
        <v>26</v>
      </c>
      <c r="AS66" s="39">
        <f t="shared" si="6"/>
        <v>0.0769230769230769</v>
      </c>
    </row>
    <row r="67" s="105" customFormat="1" ht="19.5" customHeight="1" spans="1:45">
      <c r="A67" s="68">
        <v>56</v>
      </c>
      <c r="B67" s="219" t="s">
        <v>79</v>
      </c>
      <c r="C67" s="150" t="s">
        <v>16</v>
      </c>
      <c r="D67" s="149" t="str">
        <f>VLOOKUP(B67,'[1]MASTER DATA 2025'!$C$3:$E$279,3,0)</f>
        <v>1Tahun5 Bulan</v>
      </c>
      <c r="E67" s="96"/>
      <c r="F67" s="96"/>
      <c r="G67" s="96"/>
      <c r="H67" s="96"/>
      <c r="I67" s="96"/>
      <c r="J67" s="96"/>
      <c r="K67" s="96"/>
      <c r="L67" s="96" t="s">
        <v>11</v>
      </c>
      <c r="M67" s="96"/>
      <c r="N67" s="96"/>
      <c r="O67" s="96"/>
      <c r="P67" s="96"/>
      <c r="Q67" s="96"/>
      <c r="R67" s="96"/>
      <c r="S67" s="96"/>
      <c r="T67" s="96"/>
      <c r="U67" s="259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K67" s="151">
        <f t="shared" si="0"/>
        <v>0</v>
      </c>
      <c r="AL67" s="35">
        <f t="shared" si="1"/>
        <v>1</v>
      </c>
      <c r="AM67" s="36">
        <f t="shared" si="2"/>
        <v>0</v>
      </c>
      <c r="AN67" s="36">
        <f t="shared" si="3"/>
        <v>0</v>
      </c>
      <c r="AO67" s="36">
        <f t="shared" si="4"/>
        <v>0</v>
      </c>
      <c r="AP67" s="37">
        <f t="shared" si="5"/>
        <v>1</v>
      </c>
      <c r="AQ67" s="37" t="s">
        <v>25</v>
      </c>
      <c r="AR67" s="38">
        <v>26</v>
      </c>
      <c r="AS67" s="39">
        <f t="shared" si="6"/>
        <v>0.0384615384615385</v>
      </c>
    </row>
    <row r="68" s="105" customFormat="1" ht="19.5" customHeight="1" spans="1:45">
      <c r="A68" s="68">
        <v>57</v>
      </c>
      <c r="B68" s="219" t="s">
        <v>80</v>
      </c>
      <c r="C68" s="150" t="s">
        <v>16</v>
      </c>
      <c r="D68" s="149" t="str">
        <f>VLOOKUP(B68,'[1]MASTER DATA 2025'!$C$3:$E$279,3,0)</f>
        <v>0Tahun7 Bulan</v>
      </c>
      <c r="E68" s="96"/>
      <c r="F68" s="96"/>
      <c r="G68" s="96"/>
      <c r="H68" s="96"/>
      <c r="I68" s="96"/>
      <c r="J68" s="96"/>
      <c r="K68" s="96"/>
      <c r="L68" s="96" t="s">
        <v>11</v>
      </c>
      <c r="M68" s="96"/>
      <c r="N68" s="96"/>
      <c r="O68" s="96"/>
      <c r="P68" s="96"/>
      <c r="Q68" s="96"/>
      <c r="R68" s="96"/>
      <c r="S68" s="96"/>
      <c r="T68" s="96"/>
      <c r="U68" s="259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K68" s="151">
        <f t="shared" si="0"/>
        <v>0</v>
      </c>
      <c r="AL68" s="35">
        <f t="shared" si="1"/>
        <v>1</v>
      </c>
      <c r="AM68" s="36">
        <f t="shared" si="2"/>
        <v>0</v>
      </c>
      <c r="AN68" s="36">
        <f t="shared" si="3"/>
        <v>0</v>
      </c>
      <c r="AO68" s="36">
        <f t="shared" si="4"/>
        <v>0</v>
      </c>
      <c r="AP68" s="37">
        <f t="shared" si="5"/>
        <v>1</v>
      </c>
      <c r="AQ68" s="37"/>
      <c r="AR68" s="38">
        <v>26</v>
      </c>
      <c r="AS68" s="39">
        <f t="shared" si="6"/>
        <v>0.0384615384615385</v>
      </c>
    </row>
    <row r="69" s="105" customFormat="1" ht="19.5" customHeight="1" spans="1:45">
      <c r="A69" s="68">
        <v>58</v>
      </c>
      <c r="B69" s="219" t="s">
        <v>81</v>
      </c>
      <c r="C69" s="150" t="s">
        <v>16</v>
      </c>
      <c r="D69" s="149" t="str">
        <f>VLOOKUP(B69,'[1]MASTER DATA 2025'!$C$3:$E$279,3,0)</f>
        <v>2Tahun1 Bulan</v>
      </c>
      <c r="E69" s="96"/>
      <c r="F69" s="96"/>
      <c r="G69" s="96"/>
      <c r="H69" s="96"/>
      <c r="I69" s="96"/>
      <c r="J69" s="96"/>
      <c r="K69" s="96"/>
      <c r="L69" s="96" t="s">
        <v>11</v>
      </c>
      <c r="M69" s="96"/>
      <c r="N69" s="96"/>
      <c r="O69" s="96"/>
      <c r="P69" s="96" t="s">
        <v>11</v>
      </c>
      <c r="Q69" s="96"/>
      <c r="R69" s="96"/>
      <c r="S69" s="96"/>
      <c r="T69" s="96"/>
      <c r="U69" s="259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K69" s="151">
        <f t="shared" si="0"/>
        <v>0</v>
      </c>
      <c r="AL69" s="35">
        <f t="shared" si="1"/>
        <v>2</v>
      </c>
      <c r="AM69" s="36">
        <f t="shared" si="2"/>
        <v>0</v>
      </c>
      <c r="AN69" s="36">
        <f t="shared" si="3"/>
        <v>0</v>
      </c>
      <c r="AO69" s="36">
        <f t="shared" si="4"/>
        <v>0</v>
      </c>
      <c r="AP69" s="37">
        <f t="shared" si="5"/>
        <v>2</v>
      </c>
      <c r="AQ69" s="37" t="s">
        <v>25</v>
      </c>
      <c r="AR69" s="38">
        <v>26</v>
      </c>
      <c r="AS69" s="39">
        <f t="shared" si="6"/>
        <v>0.0769230769230769</v>
      </c>
    </row>
    <row r="70" s="105" customFormat="1" ht="19.5" customHeight="1" spans="1:45">
      <c r="A70" s="68">
        <v>59</v>
      </c>
      <c r="B70" s="219" t="s">
        <v>82</v>
      </c>
      <c r="C70" s="150" t="s">
        <v>16</v>
      </c>
      <c r="D70" s="149" t="str">
        <f>VLOOKUP(B70,'[1]MASTER DATA 2025'!$C$3:$E$279,3,0)</f>
        <v>0Tahun1 Bulan</v>
      </c>
      <c r="E70" s="96"/>
      <c r="F70" s="96"/>
      <c r="G70" s="96"/>
      <c r="H70" s="96"/>
      <c r="I70" s="96"/>
      <c r="J70" s="96"/>
      <c r="K70" s="96"/>
      <c r="L70" s="96"/>
      <c r="M70" s="96" t="s">
        <v>11</v>
      </c>
      <c r="N70" s="96"/>
      <c r="O70" s="96"/>
      <c r="P70" s="96" t="s">
        <v>12</v>
      </c>
      <c r="Q70" s="96"/>
      <c r="R70" s="96"/>
      <c r="S70" s="96"/>
      <c r="T70" s="96"/>
      <c r="U70" s="259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K70" s="151">
        <f t="shared" si="0"/>
        <v>0</v>
      </c>
      <c r="AL70" s="35">
        <f t="shared" si="1"/>
        <v>1</v>
      </c>
      <c r="AM70" s="36">
        <f t="shared" si="2"/>
        <v>1</v>
      </c>
      <c r="AN70" s="36">
        <f t="shared" si="3"/>
        <v>0</v>
      </c>
      <c r="AO70" s="36">
        <f t="shared" si="4"/>
        <v>0</v>
      </c>
      <c r="AP70" s="37">
        <f t="shared" si="5"/>
        <v>2</v>
      </c>
      <c r="AQ70" s="37" t="s">
        <v>25</v>
      </c>
      <c r="AR70" s="38">
        <v>26</v>
      </c>
      <c r="AS70" s="39">
        <f t="shared" si="6"/>
        <v>0.0769230769230769</v>
      </c>
    </row>
    <row r="71" s="105" customFormat="1" ht="19.5" customHeight="1" spans="1:45">
      <c r="A71" s="68">
        <v>60</v>
      </c>
      <c r="B71" s="219" t="s">
        <v>83</v>
      </c>
      <c r="C71" s="150" t="s">
        <v>16</v>
      </c>
      <c r="D71" s="149" t="str">
        <f>VLOOKUP(B71,'[1]MASTER DATA 2025'!$C$3:$E$279,3,0)</f>
        <v>2Tahun1 Bulan</v>
      </c>
      <c r="E71" s="96"/>
      <c r="F71" s="96"/>
      <c r="G71" s="96"/>
      <c r="H71" s="96"/>
      <c r="I71" s="96"/>
      <c r="J71" s="96"/>
      <c r="K71" s="96"/>
      <c r="L71" s="96"/>
      <c r="M71" s="96" t="s">
        <v>11</v>
      </c>
      <c r="N71" s="96"/>
      <c r="O71" s="96"/>
      <c r="P71" s="96"/>
      <c r="Q71" s="96"/>
      <c r="R71" s="96"/>
      <c r="S71" s="96"/>
      <c r="T71" s="96"/>
      <c r="U71" s="259"/>
      <c r="V71" s="96"/>
      <c r="W71" s="96"/>
      <c r="X71" s="96"/>
      <c r="Y71" s="96"/>
      <c r="Z71" s="96"/>
      <c r="AA71" s="96" t="s">
        <v>11</v>
      </c>
      <c r="AB71" s="96"/>
      <c r="AC71" s="96"/>
      <c r="AD71" s="96"/>
      <c r="AE71" s="96"/>
      <c r="AF71" s="96"/>
      <c r="AG71" s="96"/>
      <c r="AH71" s="96"/>
      <c r="AI71" s="96"/>
      <c r="AK71" s="151">
        <f t="shared" si="0"/>
        <v>0</v>
      </c>
      <c r="AL71" s="35">
        <f t="shared" si="1"/>
        <v>2</v>
      </c>
      <c r="AM71" s="36">
        <f t="shared" si="2"/>
        <v>0</v>
      </c>
      <c r="AN71" s="36">
        <f t="shared" si="3"/>
        <v>0</v>
      </c>
      <c r="AO71" s="36">
        <f t="shared" si="4"/>
        <v>0</v>
      </c>
      <c r="AP71" s="37">
        <f t="shared" si="5"/>
        <v>2</v>
      </c>
      <c r="AQ71" s="37"/>
      <c r="AR71" s="38">
        <v>26</v>
      </c>
      <c r="AS71" s="39">
        <f t="shared" si="6"/>
        <v>0.0769230769230769</v>
      </c>
    </row>
    <row r="72" s="105" customFormat="1" ht="19.5" customHeight="1" spans="1:45">
      <c r="A72" s="68">
        <v>61</v>
      </c>
      <c r="B72" s="219" t="s">
        <v>84</v>
      </c>
      <c r="C72" s="150" t="s">
        <v>59</v>
      </c>
      <c r="D72" s="149" t="str">
        <f>VLOOKUP(B72,'[1]MASTER DATA 2025'!$C$3:$E$279,3,0)</f>
        <v>0Tahun7 Bulan</v>
      </c>
      <c r="E72" s="96"/>
      <c r="F72" s="96"/>
      <c r="G72" s="96"/>
      <c r="H72" s="96"/>
      <c r="I72" s="96"/>
      <c r="J72" s="96"/>
      <c r="K72" s="96" t="s">
        <v>11</v>
      </c>
      <c r="L72" s="96"/>
      <c r="M72" s="96"/>
      <c r="N72" s="96"/>
      <c r="O72" s="96"/>
      <c r="P72" s="96"/>
      <c r="Q72" s="96" t="s">
        <v>13</v>
      </c>
      <c r="R72" s="96"/>
      <c r="S72" s="96"/>
      <c r="T72" s="96"/>
      <c r="U72" s="259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K72" s="151">
        <f t="shared" si="0"/>
        <v>0</v>
      </c>
      <c r="AL72" s="35">
        <f t="shared" si="1"/>
        <v>1</v>
      </c>
      <c r="AM72" s="36">
        <f t="shared" si="2"/>
        <v>0</v>
      </c>
      <c r="AN72" s="36">
        <f t="shared" si="3"/>
        <v>1</v>
      </c>
      <c r="AO72" s="36">
        <f t="shared" si="4"/>
        <v>0</v>
      </c>
      <c r="AP72" s="37">
        <f t="shared" si="5"/>
        <v>2</v>
      </c>
      <c r="AQ72" s="37"/>
      <c r="AR72" s="38">
        <v>26</v>
      </c>
      <c r="AS72" s="39">
        <f t="shared" si="6"/>
        <v>0.0769230769230769</v>
      </c>
    </row>
    <row r="73" s="105" customFormat="1" ht="19.5" customHeight="1" spans="1:45">
      <c r="A73" s="68">
        <v>62</v>
      </c>
      <c r="B73" s="219" t="s">
        <v>85</v>
      </c>
      <c r="C73" s="150" t="s">
        <v>59</v>
      </c>
      <c r="D73" s="149" t="str">
        <f>VLOOKUP(B73,'[1]MASTER DATA 2025'!$C$3:$E$279,3,0)</f>
        <v>1Tahun3 Bulan</v>
      </c>
      <c r="E73" s="96"/>
      <c r="F73" s="96"/>
      <c r="G73" s="96"/>
      <c r="H73" s="96"/>
      <c r="I73" s="96"/>
      <c r="J73" s="96"/>
      <c r="K73" s="96"/>
      <c r="L73" s="96" t="s">
        <v>11</v>
      </c>
      <c r="M73" s="96"/>
      <c r="N73" s="96"/>
      <c r="O73" s="96"/>
      <c r="P73" s="96"/>
      <c r="Q73" s="96"/>
      <c r="R73" s="96"/>
      <c r="S73" s="96"/>
      <c r="T73" s="96"/>
      <c r="U73" s="259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K73" s="151">
        <f t="shared" si="0"/>
        <v>0</v>
      </c>
      <c r="AL73" s="35">
        <f t="shared" si="1"/>
        <v>1</v>
      </c>
      <c r="AM73" s="36">
        <f t="shared" si="2"/>
        <v>0</v>
      </c>
      <c r="AN73" s="36">
        <f t="shared" si="3"/>
        <v>0</v>
      </c>
      <c r="AO73" s="36">
        <f t="shared" si="4"/>
        <v>0</v>
      </c>
      <c r="AP73" s="37">
        <f t="shared" si="5"/>
        <v>1</v>
      </c>
      <c r="AQ73" s="37"/>
      <c r="AR73" s="38">
        <v>26</v>
      </c>
      <c r="AS73" s="39">
        <f t="shared" si="6"/>
        <v>0.0384615384615385</v>
      </c>
    </row>
    <row r="74" s="105" customFormat="1" ht="19.5" customHeight="1" spans="1:45">
      <c r="A74" s="68">
        <v>63</v>
      </c>
      <c r="B74" s="219" t="s">
        <v>86</v>
      </c>
      <c r="C74" s="150" t="s">
        <v>59</v>
      </c>
      <c r="D74" s="149" t="str">
        <f>VLOOKUP(B74,'[1]MASTER DATA 2025'!$C$3:$E$279,3,0)</f>
        <v>2Tahun7 Bulan</v>
      </c>
      <c r="E74" s="96"/>
      <c r="F74" s="96"/>
      <c r="G74" s="96"/>
      <c r="H74" s="96"/>
      <c r="I74" s="96"/>
      <c r="J74" s="96"/>
      <c r="K74" s="96"/>
      <c r="L74" s="96"/>
      <c r="M74" s="96" t="s">
        <v>12</v>
      </c>
      <c r="N74" s="96"/>
      <c r="O74" s="96"/>
      <c r="P74" s="96"/>
      <c r="Q74" s="96"/>
      <c r="R74" s="96"/>
      <c r="S74" s="96"/>
      <c r="T74" s="96"/>
      <c r="U74" s="259"/>
      <c r="V74" s="96"/>
      <c r="W74" s="96"/>
      <c r="X74" s="96"/>
      <c r="Y74" s="96"/>
      <c r="Z74" s="96" t="s">
        <v>11</v>
      </c>
      <c r="AA74" s="96"/>
      <c r="AB74" s="96"/>
      <c r="AC74" s="96"/>
      <c r="AD74" s="96"/>
      <c r="AE74" s="96"/>
      <c r="AF74" s="96"/>
      <c r="AG74" s="96"/>
      <c r="AH74" s="96"/>
      <c r="AI74" s="96"/>
      <c r="AK74" s="151">
        <f t="shared" si="0"/>
        <v>0</v>
      </c>
      <c r="AL74" s="35">
        <f t="shared" si="1"/>
        <v>1</v>
      </c>
      <c r="AM74" s="35">
        <f t="shared" si="2"/>
        <v>1</v>
      </c>
      <c r="AN74" s="36">
        <f t="shared" si="3"/>
        <v>0</v>
      </c>
      <c r="AO74" s="36">
        <f t="shared" si="4"/>
        <v>0</v>
      </c>
      <c r="AP74" s="37">
        <f t="shared" si="5"/>
        <v>2</v>
      </c>
      <c r="AQ74" s="37" t="s">
        <v>25</v>
      </c>
      <c r="AR74" s="38">
        <v>26</v>
      </c>
      <c r="AS74" s="39">
        <f t="shared" si="6"/>
        <v>0.0769230769230769</v>
      </c>
    </row>
    <row r="75" s="105" customFormat="1" ht="19.5" customHeight="1" spans="1:45">
      <c r="A75" s="68">
        <v>64</v>
      </c>
      <c r="B75" s="219" t="s">
        <v>87</v>
      </c>
      <c r="C75" s="150" t="s">
        <v>59</v>
      </c>
      <c r="D75" s="149" t="e">
        <f>VLOOKUP(B75,'[1]MASTER DATA 2025'!$C$3:$E$279,3,0)</f>
        <v>#N/A</v>
      </c>
      <c r="E75" s="96"/>
      <c r="F75" s="96"/>
      <c r="G75" s="96"/>
      <c r="H75" s="96"/>
      <c r="I75" s="96"/>
      <c r="J75" s="96"/>
      <c r="K75" s="96"/>
      <c r="L75" s="96"/>
      <c r="M75" s="96" t="s">
        <v>11</v>
      </c>
      <c r="N75" s="96"/>
      <c r="O75" s="96"/>
      <c r="P75" s="96"/>
      <c r="Q75" s="96"/>
      <c r="R75" s="96"/>
      <c r="S75" s="96"/>
      <c r="T75" s="96"/>
      <c r="U75" s="259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K75" s="151">
        <f t="shared" si="0"/>
        <v>0</v>
      </c>
      <c r="AL75" s="35">
        <f t="shared" si="1"/>
        <v>1</v>
      </c>
      <c r="AM75" s="36">
        <f t="shared" si="2"/>
        <v>0</v>
      </c>
      <c r="AN75" s="36">
        <f t="shared" si="3"/>
        <v>0</v>
      </c>
      <c r="AO75" s="36">
        <f t="shared" si="4"/>
        <v>0</v>
      </c>
      <c r="AP75" s="37">
        <f t="shared" si="5"/>
        <v>1</v>
      </c>
      <c r="AQ75" s="37"/>
      <c r="AR75" s="38">
        <v>26</v>
      </c>
      <c r="AS75" s="39">
        <f t="shared" si="6"/>
        <v>0.0384615384615385</v>
      </c>
    </row>
    <row r="76" s="105" customFormat="1" ht="19.5" customHeight="1" spans="1:45">
      <c r="A76" s="68">
        <v>65</v>
      </c>
      <c r="B76" s="219" t="s">
        <v>88</v>
      </c>
      <c r="C76" s="150" t="s">
        <v>16</v>
      </c>
      <c r="D76" s="149" t="str">
        <f>VLOOKUP(B76,'[1]MASTER DATA 2025'!$C$3:$E$279,3,0)</f>
        <v>1Tahun2 Bulan</v>
      </c>
      <c r="E76" s="96"/>
      <c r="F76" s="96"/>
      <c r="G76" s="96"/>
      <c r="H76" s="96"/>
      <c r="I76" s="96"/>
      <c r="J76" s="96"/>
      <c r="K76" s="96"/>
      <c r="L76" s="96"/>
      <c r="M76" s="96" t="s">
        <v>11</v>
      </c>
      <c r="N76" s="96"/>
      <c r="O76" s="96"/>
      <c r="P76" s="96"/>
      <c r="Q76" s="96"/>
      <c r="R76" s="96"/>
      <c r="S76" s="96"/>
      <c r="T76" s="96"/>
      <c r="U76" s="259"/>
      <c r="V76" s="96"/>
      <c r="W76" s="96"/>
      <c r="X76" s="96"/>
      <c r="Y76" s="96"/>
      <c r="Z76" s="96"/>
      <c r="AA76" s="96"/>
      <c r="AB76" s="96"/>
      <c r="AC76" s="96" t="s">
        <v>11</v>
      </c>
      <c r="AD76" s="96"/>
      <c r="AE76" s="96"/>
      <c r="AF76" s="96"/>
      <c r="AG76" s="96"/>
      <c r="AH76" s="96"/>
      <c r="AI76" s="96"/>
      <c r="AK76" s="151">
        <f t="shared" ref="AK76:AK100" si="7">COUNTIF(E76:AI76,"H")</f>
        <v>0</v>
      </c>
      <c r="AL76" s="35">
        <f t="shared" ref="AL76:AL100" si="8">COUNTIF(E76:AI76,"S")</f>
        <v>2</v>
      </c>
      <c r="AM76" s="36">
        <f t="shared" ref="AM76:AM100" si="9">COUNTIF(E76:AI76,"I")</f>
        <v>0</v>
      </c>
      <c r="AN76" s="36">
        <f t="shared" ref="AN76:AN100" si="10">COUNTIF(E76:AI76,"A")</f>
        <v>0</v>
      </c>
      <c r="AO76" s="36">
        <f t="shared" ref="AO76:AO100" si="11">COUNTIF(E76:AI76,"OFF")</f>
        <v>0</v>
      </c>
      <c r="AP76" s="37">
        <f t="shared" ref="AP76:AP100" si="12">SUM(AK76:AN76)</f>
        <v>2</v>
      </c>
      <c r="AQ76" s="37"/>
      <c r="AR76" s="38">
        <v>26</v>
      </c>
      <c r="AS76" s="39">
        <f t="shared" ref="AS76:AS92" si="13">AP76/AR76</f>
        <v>0.0769230769230769</v>
      </c>
    </row>
    <row r="77" s="105" customFormat="1" ht="19.5" customHeight="1" spans="1:45">
      <c r="A77" s="68">
        <v>66</v>
      </c>
      <c r="B77" s="219" t="s">
        <v>89</v>
      </c>
      <c r="C77" s="150" t="s">
        <v>16</v>
      </c>
      <c r="D77" s="149" t="str">
        <f>VLOOKUP(B77,'[1]MASTER DATA 2025'!$C$3:$E$279,3,0)</f>
        <v>0Tahun2 Bulan</v>
      </c>
      <c r="E77" s="96"/>
      <c r="F77" s="96"/>
      <c r="G77" s="96"/>
      <c r="H77" s="96"/>
      <c r="I77" s="96"/>
      <c r="J77" s="96"/>
      <c r="K77" s="96"/>
      <c r="L77" s="96"/>
      <c r="M77" s="96" t="s">
        <v>11</v>
      </c>
      <c r="N77" s="96"/>
      <c r="O77" s="96"/>
      <c r="P77" s="96"/>
      <c r="Q77" s="96"/>
      <c r="R77" s="96"/>
      <c r="S77" s="96"/>
      <c r="T77" s="96"/>
      <c r="U77" s="259"/>
      <c r="V77" s="96"/>
      <c r="W77" s="96"/>
      <c r="X77" s="96" t="s">
        <v>11</v>
      </c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K77" s="151">
        <f t="shared" si="7"/>
        <v>0</v>
      </c>
      <c r="AL77" s="35">
        <f t="shared" si="8"/>
        <v>2</v>
      </c>
      <c r="AM77" s="36">
        <f t="shared" si="9"/>
        <v>0</v>
      </c>
      <c r="AN77" s="36">
        <f t="shared" si="10"/>
        <v>0</v>
      </c>
      <c r="AO77" s="36">
        <f t="shared" si="11"/>
        <v>0</v>
      </c>
      <c r="AP77" s="37">
        <f t="shared" si="12"/>
        <v>2</v>
      </c>
      <c r="AQ77" s="37" t="s">
        <v>25</v>
      </c>
      <c r="AR77" s="38">
        <v>26</v>
      </c>
      <c r="AS77" s="39">
        <f t="shared" si="13"/>
        <v>0.0769230769230769</v>
      </c>
    </row>
    <row r="78" s="105" customFormat="1" ht="19.5" customHeight="1" spans="1:45">
      <c r="A78" s="68">
        <v>67</v>
      </c>
      <c r="B78" s="219" t="s">
        <v>90</v>
      </c>
      <c r="C78" s="150" t="s">
        <v>16</v>
      </c>
      <c r="D78" s="149" t="str">
        <f>VLOOKUP(B78,'[1]MASTER DATA 2025'!$C$3:$E$279,3,0)</f>
        <v>0Tahun7 Bulan</v>
      </c>
      <c r="E78" s="96"/>
      <c r="F78" s="96"/>
      <c r="G78" s="96"/>
      <c r="H78" s="96"/>
      <c r="I78" s="96"/>
      <c r="J78" s="96"/>
      <c r="K78" s="96"/>
      <c r="L78" s="96"/>
      <c r="M78" s="96"/>
      <c r="N78" s="96" t="s">
        <v>11</v>
      </c>
      <c r="O78" s="96"/>
      <c r="P78" s="96"/>
      <c r="Q78" s="96"/>
      <c r="R78" s="96"/>
      <c r="S78" s="96"/>
      <c r="T78" s="96"/>
      <c r="U78" s="259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K78" s="151">
        <f t="shared" si="7"/>
        <v>0</v>
      </c>
      <c r="AL78" s="35">
        <f t="shared" si="8"/>
        <v>1</v>
      </c>
      <c r="AM78" s="36">
        <f t="shared" si="9"/>
        <v>0</v>
      </c>
      <c r="AN78" s="36">
        <f t="shared" si="10"/>
        <v>0</v>
      </c>
      <c r="AO78" s="36">
        <f t="shared" si="11"/>
        <v>0</v>
      </c>
      <c r="AP78" s="37">
        <f t="shared" si="12"/>
        <v>1</v>
      </c>
      <c r="AQ78" s="37"/>
      <c r="AR78" s="38">
        <v>26</v>
      </c>
      <c r="AS78" s="39">
        <f t="shared" si="13"/>
        <v>0.0384615384615385</v>
      </c>
    </row>
    <row r="79" s="105" customFormat="1" ht="19.5" customHeight="1" spans="1:45">
      <c r="A79" s="68">
        <v>68</v>
      </c>
      <c r="B79" s="264" t="s">
        <v>91</v>
      </c>
      <c r="C79" s="150" t="s">
        <v>16</v>
      </c>
      <c r="D79" s="149" t="str">
        <f>VLOOKUP(B79,'[1]MASTER DATA 2025'!$C$3:$E$279,3,0)</f>
        <v>0Tahun7Bulan</v>
      </c>
      <c r="E79" s="96"/>
      <c r="F79" s="96"/>
      <c r="G79" s="96"/>
      <c r="H79" s="96"/>
      <c r="I79" s="96"/>
      <c r="J79" s="96"/>
      <c r="K79" s="96"/>
      <c r="L79" s="96"/>
      <c r="M79" s="96"/>
      <c r="N79" s="96" t="s">
        <v>11</v>
      </c>
      <c r="O79" s="96"/>
      <c r="P79" s="96"/>
      <c r="Q79" s="96"/>
      <c r="R79" s="96"/>
      <c r="S79" s="96"/>
      <c r="T79" s="96"/>
      <c r="U79" s="259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K79" s="151">
        <f t="shared" si="7"/>
        <v>0</v>
      </c>
      <c r="AL79" s="35">
        <f t="shared" si="8"/>
        <v>1</v>
      </c>
      <c r="AM79" s="36">
        <f t="shared" si="9"/>
        <v>0</v>
      </c>
      <c r="AN79" s="36">
        <f t="shared" si="10"/>
        <v>0</v>
      </c>
      <c r="AO79" s="36">
        <f t="shared" si="11"/>
        <v>0</v>
      </c>
      <c r="AP79" s="37">
        <f t="shared" si="12"/>
        <v>1</v>
      </c>
      <c r="AQ79" s="37"/>
      <c r="AR79" s="38">
        <v>26</v>
      </c>
      <c r="AS79" s="39">
        <f t="shared" si="13"/>
        <v>0.0384615384615385</v>
      </c>
    </row>
    <row r="80" s="105" customFormat="1" ht="19.5" customHeight="1" spans="1:45">
      <c r="A80" s="68">
        <v>69</v>
      </c>
      <c r="B80" s="219" t="s">
        <v>92</v>
      </c>
      <c r="C80" s="150" t="s">
        <v>16</v>
      </c>
      <c r="D80" s="149" t="str">
        <f>VLOOKUP(B80,'[1]MASTER DATA 2025'!$C$3:$E$279,3,0)</f>
        <v>0Tahun2 Bulan</v>
      </c>
      <c r="E80" s="96"/>
      <c r="F80" s="96"/>
      <c r="G80" s="96"/>
      <c r="H80" s="96"/>
      <c r="I80" s="96"/>
      <c r="J80" s="96"/>
      <c r="K80" s="96"/>
      <c r="L80" s="96"/>
      <c r="M80" s="96"/>
      <c r="N80" s="96" t="s">
        <v>11</v>
      </c>
      <c r="O80" s="96"/>
      <c r="P80" s="96"/>
      <c r="Q80" s="96"/>
      <c r="R80" s="96"/>
      <c r="S80" s="96"/>
      <c r="T80" s="96"/>
      <c r="U80" s="259"/>
      <c r="V80" s="96"/>
      <c r="W80" s="96"/>
      <c r="X80" s="96"/>
      <c r="Y80" s="96"/>
      <c r="Z80" s="96"/>
      <c r="AA80" s="96"/>
      <c r="AB80" s="96"/>
      <c r="AC80" s="96" t="s">
        <v>11</v>
      </c>
      <c r="AD80" s="96"/>
      <c r="AE80" s="96"/>
      <c r="AF80" s="96"/>
      <c r="AG80" s="96"/>
      <c r="AH80" s="96"/>
      <c r="AI80" s="96"/>
      <c r="AK80" s="151">
        <f t="shared" si="7"/>
        <v>0</v>
      </c>
      <c r="AL80" s="35">
        <f t="shared" si="8"/>
        <v>2</v>
      </c>
      <c r="AM80" s="36">
        <f t="shared" si="9"/>
        <v>0</v>
      </c>
      <c r="AN80" s="36">
        <f t="shared" si="10"/>
        <v>0</v>
      </c>
      <c r="AO80" s="36">
        <f t="shared" si="11"/>
        <v>0</v>
      </c>
      <c r="AP80" s="37">
        <f t="shared" si="12"/>
        <v>2</v>
      </c>
      <c r="AQ80" s="37"/>
      <c r="AR80" s="38">
        <v>26</v>
      </c>
      <c r="AS80" s="39">
        <f t="shared" si="13"/>
        <v>0.0769230769230769</v>
      </c>
    </row>
    <row r="81" s="105" customFormat="1" ht="19.5" customHeight="1" spans="1:45">
      <c r="A81" s="68">
        <v>70</v>
      </c>
      <c r="B81" s="219" t="s">
        <v>93</v>
      </c>
      <c r="C81" s="150" t="s">
        <v>16</v>
      </c>
      <c r="D81" s="149" t="str">
        <f>VLOOKUP(B81,'[1]MASTER DATA 2025'!$C$3:$E$279,3,0)</f>
        <v>0Tahun2 Bulan</v>
      </c>
      <c r="E81" s="96"/>
      <c r="F81" s="96"/>
      <c r="G81" s="96"/>
      <c r="H81" s="96"/>
      <c r="I81" s="96"/>
      <c r="J81" s="96"/>
      <c r="K81" s="96"/>
      <c r="L81" s="96"/>
      <c r="M81" s="96"/>
      <c r="N81" s="96" t="s">
        <v>13</v>
      </c>
      <c r="O81" s="96"/>
      <c r="P81" s="96"/>
      <c r="Q81" s="96"/>
      <c r="R81" s="96"/>
      <c r="S81" s="96"/>
      <c r="T81" s="96"/>
      <c r="U81" s="259" t="s">
        <v>13</v>
      </c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 t="s">
        <v>11</v>
      </c>
      <c r="AG81" s="96"/>
      <c r="AH81" s="96"/>
      <c r="AI81" s="96"/>
      <c r="AK81" s="151">
        <f t="shared" si="7"/>
        <v>0</v>
      </c>
      <c r="AL81" s="35">
        <f t="shared" si="8"/>
        <v>1</v>
      </c>
      <c r="AM81" s="36">
        <f t="shared" si="9"/>
        <v>0</v>
      </c>
      <c r="AN81" s="35">
        <f t="shared" si="10"/>
        <v>2</v>
      </c>
      <c r="AO81" s="36">
        <f t="shared" si="11"/>
        <v>0</v>
      </c>
      <c r="AP81" s="37">
        <f t="shared" si="12"/>
        <v>3</v>
      </c>
      <c r="AQ81" s="37" t="s">
        <v>25</v>
      </c>
      <c r="AR81" s="38">
        <v>26</v>
      </c>
      <c r="AS81" s="39">
        <f t="shared" si="13"/>
        <v>0.115384615384615</v>
      </c>
    </row>
    <row r="82" s="105" customFormat="1" ht="19.5" customHeight="1" spans="1:45">
      <c r="A82" s="68">
        <v>71</v>
      </c>
      <c r="B82" s="219" t="s">
        <v>94</v>
      </c>
      <c r="C82" s="150" t="s">
        <v>16</v>
      </c>
      <c r="D82" s="149" t="str">
        <f>VLOOKUP(B82,'[1]MASTER DATA 2025'!$C$3:$E$279,3,0)</f>
        <v>0Tahun2 Bulan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 t="s">
        <v>11</v>
      </c>
      <c r="P82" s="96"/>
      <c r="Q82" s="96"/>
      <c r="R82" s="96"/>
      <c r="S82" s="96"/>
      <c r="T82" s="96"/>
      <c r="U82" s="259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 t="s">
        <v>11</v>
      </c>
      <c r="AG82" s="96"/>
      <c r="AH82" s="96"/>
      <c r="AI82" s="96"/>
      <c r="AK82" s="151">
        <f t="shared" si="7"/>
        <v>0</v>
      </c>
      <c r="AL82" s="35">
        <f t="shared" si="8"/>
        <v>2</v>
      </c>
      <c r="AM82" s="36">
        <f t="shared" si="9"/>
        <v>0</v>
      </c>
      <c r="AN82" s="36">
        <f t="shared" si="10"/>
        <v>0</v>
      </c>
      <c r="AO82" s="36">
        <f t="shared" si="11"/>
        <v>0</v>
      </c>
      <c r="AP82" s="37">
        <f t="shared" si="12"/>
        <v>2</v>
      </c>
      <c r="AQ82" s="37" t="s">
        <v>25</v>
      </c>
      <c r="AR82" s="38">
        <v>26</v>
      </c>
      <c r="AS82" s="39">
        <f t="shared" si="13"/>
        <v>0.0769230769230769</v>
      </c>
    </row>
    <row r="83" s="105" customFormat="1" ht="19.5" customHeight="1" spans="1:45">
      <c r="A83" s="68">
        <v>72</v>
      </c>
      <c r="B83" s="219" t="s">
        <v>95</v>
      </c>
      <c r="C83" s="150" t="s">
        <v>59</v>
      </c>
      <c r="D83" s="149" t="str">
        <f>VLOOKUP(B83,'[1]MASTER DATA 2025'!$C$3:$E$279,3,0)</f>
        <v>1Tahun4 Bulan</v>
      </c>
      <c r="E83" s="96"/>
      <c r="F83" s="96"/>
      <c r="G83" s="96"/>
      <c r="H83" s="96"/>
      <c r="I83" s="96"/>
      <c r="J83" s="96"/>
      <c r="K83" s="96"/>
      <c r="L83" s="96"/>
      <c r="M83" s="96"/>
      <c r="N83" s="96" t="s">
        <v>11</v>
      </c>
      <c r="O83" s="96"/>
      <c r="P83" s="96"/>
      <c r="Q83" s="96"/>
      <c r="R83" s="96"/>
      <c r="S83" s="96"/>
      <c r="T83" s="96"/>
      <c r="U83" s="259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K83" s="151">
        <f t="shared" si="7"/>
        <v>0</v>
      </c>
      <c r="AL83" s="35">
        <f t="shared" si="8"/>
        <v>1</v>
      </c>
      <c r="AM83" s="36">
        <f t="shared" si="9"/>
        <v>0</v>
      </c>
      <c r="AN83" s="36">
        <f t="shared" si="10"/>
        <v>0</v>
      </c>
      <c r="AO83" s="36">
        <f t="shared" si="11"/>
        <v>0</v>
      </c>
      <c r="AP83" s="37">
        <f t="shared" si="12"/>
        <v>1</v>
      </c>
      <c r="AQ83" s="37"/>
      <c r="AR83" s="38">
        <v>26</v>
      </c>
      <c r="AS83" s="39">
        <f t="shared" si="13"/>
        <v>0.0384615384615385</v>
      </c>
    </row>
    <row r="84" s="105" customFormat="1" ht="19.5" customHeight="1" spans="1:45">
      <c r="A84" s="68">
        <v>73</v>
      </c>
      <c r="B84" s="219" t="s">
        <v>96</v>
      </c>
      <c r="C84" s="150" t="s">
        <v>59</v>
      </c>
      <c r="D84" s="149" t="str">
        <f>VLOOKUP(B84,'[1]MASTER DATA 2025'!$C$3:$E$279,3,0)</f>
        <v>2Tahun10 Bulan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 t="s">
        <v>11</v>
      </c>
      <c r="P84" s="96"/>
      <c r="Q84" s="96"/>
      <c r="R84" s="96"/>
      <c r="S84" s="96"/>
      <c r="T84" s="96"/>
      <c r="U84" s="259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K84" s="151">
        <f t="shared" si="7"/>
        <v>0</v>
      </c>
      <c r="AL84" s="35">
        <f t="shared" si="8"/>
        <v>1</v>
      </c>
      <c r="AM84" s="36">
        <f t="shared" si="9"/>
        <v>0</v>
      </c>
      <c r="AN84" s="36">
        <f t="shared" si="10"/>
        <v>0</v>
      </c>
      <c r="AO84" s="36">
        <f t="shared" si="11"/>
        <v>0</v>
      </c>
      <c r="AP84" s="37">
        <f t="shared" si="12"/>
        <v>1</v>
      </c>
      <c r="AQ84" s="37"/>
      <c r="AR84" s="38">
        <v>26</v>
      </c>
      <c r="AS84" s="39">
        <f t="shared" si="13"/>
        <v>0.0384615384615385</v>
      </c>
    </row>
    <row r="85" s="105" customFormat="1" ht="19.5" customHeight="1" spans="1:45">
      <c r="A85" s="68">
        <v>74</v>
      </c>
      <c r="B85" s="219" t="s">
        <v>97</v>
      </c>
      <c r="C85" s="150" t="s">
        <v>59</v>
      </c>
      <c r="D85" s="149" t="str">
        <f>VLOOKUP(B85,'[1]MASTER DATA 2025'!$C$3:$E$279,3,0)</f>
        <v>1Tahun7 Bulan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 t="s">
        <v>11</v>
      </c>
      <c r="Q85" s="96"/>
      <c r="R85" s="96" t="s">
        <v>13</v>
      </c>
      <c r="S85" s="96"/>
      <c r="T85" s="96"/>
      <c r="U85" s="259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K85" s="151">
        <f t="shared" si="7"/>
        <v>0</v>
      </c>
      <c r="AL85" s="35">
        <f t="shared" si="8"/>
        <v>1</v>
      </c>
      <c r="AM85" s="36">
        <f t="shared" si="9"/>
        <v>0</v>
      </c>
      <c r="AN85" s="36">
        <f t="shared" si="10"/>
        <v>1</v>
      </c>
      <c r="AO85" s="36">
        <f t="shared" si="11"/>
        <v>0</v>
      </c>
      <c r="AP85" s="37">
        <f t="shared" si="12"/>
        <v>2</v>
      </c>
      <c r="AQ85" s="37" t="s">
        <v>25</v>
      </c>
      <c r="AR85" s="38">
        <v>26</v>
      </c>
      <c r="AS85" s="39">
        <f t="shared" si="13"/>
        <v>0.0769230769230769</v>
      </c>
    </row>
    <row r="86" s="105" customFormat="1" ht="19.5" customHeight="1" spans="1:45">
      <c r="A86" s="68">
        <v>75</v>
      </c>
      <c r="B86" s="219" t="s">
        <v>98</v>
      </c>
      <c r="C86" s="150" t="s">
        <v>59</v>
      </c>
      <c r="D86" s="149" t="str">
        <f>VLOOKUP(B86,'[1]MASTER DATA 2025'!$C$3:$E$279,3,0)</f>
        <v>1Tahun3 Bulan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 t="s">
        <v>11</v>
      </c>
      <c r="Q86" s="96"/>
      <c r="R86" s="96"/>
      <c r="S86" s="96"/>
      <c r="T86" s="96"/>
      <c r="U86" s="259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K86" s="151">
        <f t="shared" si="7"/>
        <v>0</v>
      </c>
      <c r="AL86" s="35">
        <f t="shared" si="8"/>
        <v>1</v>
      </c>
      <c r="AM86" s="36">
        <f t="shared" si="9"/>
        <v>0</v>
      </c>
      <c r="AN86" s="36">
        <f t="shared" si="10"/>
        <v>0</v>
      </c>
      <c r="AO86" s="36">
        <f t="shared" si="11"/>
        <v>0</v>
      </c>
      <c r="AP86" s="37">
        <f t="shared" si="12"/>
        <v>1</v>
      </c>
      <c r="AQ86" s="37"/>
      <c r="AR86" s="38">
        <v>26</v>
      </c>
      <c r="AS86" s="39">
        <f t="shared" si="13"/>
        <v>0.0384615384615385</v>
      </c>
    </row>
    <row r="87" s="105" customFormat="1" ht="19.5" customHeight="1" spans="1:45">
      <c r="A87" s="68">
        <v>76</v>
      </c>
      <c r="B87" s="219" t="s">
        <v>99</v>
      </c>
      <c r="C87" s="150" t="s">
        <v>16</v>
      </c>
      <c r="D87" s="149" t="str">
        <f>VLOOKUP(B87,'[1]MASTER DATA 2025'!$C$3:$E$279,3,0)</f>
        <v>1Tahun4 Bulan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 t="s">
        <v>11</v>
      </c>
      <c r="S87" s="96"/>
      <c r="T87" s="96"/>
      <c r="U87" s="259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K87" s="151">
        <f t="shared" si="7"/>
        <v>0</v>
      </c>
      <c r="AL87" s="35">
        <f t="shared" si="8"/>
        <v>1</v>
      </c>
      <c r="AM87" s="36">
        <f t="shared" si="9"/>
        <v>0</v>
      </c>
      <c r="AN87" s="36">
        <f t="shared" si="10"/>
        <v>0</v>
      </c>
      <c r="AO87" s="36">
        <f t="shared" si="11"/>
        <v>0</v>
      </c>
      <c r="AP87" s="37">
        <f t="shared" si="12"/>
        <v>1</v>
      </c>
      <c r="AQ87" s="37" t="s">
        <v>25</v>
      </c>
      <c r="AR87" s="38">
        <v>26</v>
      </c>
      <c r="AS87" s="39">
        <f t="shared" si="13"/>
        <v>0.0384615384615385</v>
      </c>
    </row>
    <row r="88" s="105" customFormat="1" ht="19.5" customHeight="1" spans="1:45">
      <c r="A88" s="68">
        <v>77</v>
      </c>
      <c r="B88" s="219" t="s">
        <v>100</v>
      </c>
      <c r="C88" s="150" t="s">
        <v>101</v>
      </c>
      <c r="D88" s="149" t="str">
        <f>VLOOKUP(B88,'[1]MASTER DATA 2025'!$C$3:$E$279,3,0)</f>
        <v>1Tahun1 Bulan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 t="s">
        <v>11</v>
      </c>
      <c r="S88" s="96"/>
      <c r="T88" s="96"/>
      <c r="U88" s="259"/>
      <c r="V88" s="96"/>
      <c r="W88" s="96"/>
      <c r="X88" s="96" t="s">
        <v>11</v>
      </c>
      <c r="Y88" s="96"/>
      <c r="Z88" s="96"/>
      <c r="AA88" s="96"/>
      <c r="AB88" s="96"/>
      <c r="AC88" s="96"/>
      <c r="AD88" s="96"/>
      <c r="AE88" s="96"/>
      <c r="AF88" s="96"/>
      <c r="AG88" s="96"/>
      <c r="AH88" s="96" t="s">
        <v>11</v>
      </c>
      <c r="AI88" s="96"/>
      <c r="AK88" s="151">
        <f t="shared" si="7"/>
        <v>0</v>
      </c>
      <c r="AL88" s="35">
        <f t="shared" si="8"/>
        <v>3</v>
      </c>
      <c r="AM88" s="36">
        <f t="shared" si="9"/>
        <v>0</v>
      </c>
      <c r="AN88" s="36">
        <f t="shared" si="10"/>
        <v>0</v>
      </c>
      <c r="AO88" s="36">
        <f t="shared" si="11"/>
        <v>0</v>
      </c>
      <c r="AP88" s="37">
        <f t="shared" si="12"/>
        <v>3</v>
      </c>
      <c r="AQ88" s="37" t="s">
        <v>25</v>
      </c>
      <c r="AR88" s="38">
        <v>26</v>
      </c>
      <c r="AS88" s="39">
        <f t="shared" si="13"/>
        <v>0.115384615384615</v>
      </c>
    </row>
    <row r="89" s="105" customFormat="1" ht="19.5" customHeight="1" spans="1:45">
      <c r="A89" s="68">
        <v>78</v>
      </c>
      <c r="B89" s="219" t="s">
        <v>102</v>
      </c>
      <c r="C89" s="150" t="s">
        <v>16</v>
      </c>
      <c r="D89" s="149" t="str">
        <f>VLOOKUP(B89,'[1]MASTER DATA 2025'!$C$3:$E$279,3,0)</f>
        <v>3Tahun9 Bulan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 t="s">
        <v>103</v>
      </c>
      <c r="R89" s="96"/>
      <c r="S89" s="96"/>
      <c r="T89" s="96"/>
      <c r="U89" s="259"/>
      <c r="V89" s="96"/>
      <c r="W89" s="96"/>
      <c r="X89" s="96"/>
      <c r="Y89" s="96"/>
      <c r="Z89" s="96"/>
      <c r="AA89" s="96"/>
      <c r="AB89" s="96"/>
      <c r="AC89" s="96" t="s">
        <v>11</v>
      </c>
      <c r="AD89" s="96"/>
      <c r="AE89" s="96"/>
      <c r="AF89" s="96"/>
      <c r="AG89" s="96"/>
      <c r="AH89" s="96"/>
      <c r="AI89" s="96" t="s">
        <v>11</v>
      </c>
      <c r="AK89" s="151">
        <f t="shared" si="7"/>
        <v>0</v>
      </c>
      <c r="AL89" s="35">
        <f t="shared" si="8"/>
        <v>2</v>
      </c>
      <c r="AM89" s="36">
        <f t="shared" si="9"/>
        <v>1</v>
      </c>
      <c r="AN89" s="36">
        <f t="shared" si="10"/>
        <v>0</v>
      </c>
      <c r="AO89" s="36">
        <f t="shared" si="11"/>
        <v>0</v>
      </c>
      <c r="AP89" s="37">
        <f t="shared" si="12"/>
        <v>3</v>
      </c>
      <c r="AQ89" s="37" t="s">
        <v>25</v>
      </c>
      <c r="AR89" s="38">
        <v>26</v>
      </c>
      <c r="AS89" s="39">
        <f t="shared" si="13"/>
        <v>0.115384615384615</v>
      </c>
    </row>
    <row r="90" s="105" customFormat="1" ht="19.5" customHeight="1" spans="1:45">
      <c r="A90" s="68">
        <v>79</v>
      </c>
      <c r="B90" s="219" t="s">
        <v>104</v>
      </c>
      <c r="C90" s="150" t="s">
        <v>16</v>
      </c>
      <c r="D90" s="149" t="str">
        <f>VLOOKUP(B90,'[1]MASTER DATA 2025'!$C$3:$E$279,3,0)</f>
        <v>2Tahun10 Bulan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 t="s">
        <v>11</v>
      </c>
      <c r="R90" s="96" t="s">
        <v>11</v>
      </c>
      <c r="S90" s="96"/>
      <c r="T90" s="96"/>
      <c r="U90" s="259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K90" s="151">
        <f t="shared" si="7"/>
        <v>0</v>
      </c>
      <c r="AL90" s="35">
        <f t="shared" si="8"/>
        <v>2</v>
      </c>
      <c r="AM90" s="36">
        <f t="shared" si="9"/>
        <v>0</v>
      </c>
      <c r="AN90" s="36">
        <f t="shared" si="10"/>
        <v>0</v>
      </c>
      <c r="AO90" s="36">
        <f t="shared" si="11"/>
        <v>0</v>
      </c>
      <c r="AP90" s="37">
        <f t="shared" si="12"/>
        <v>2</v>
      </c>
      <c r="AQ90" s="37" t="s">
        <v>25</v>
      </c>
      <c r="AR90" s="38">
        <v>26</v>
      </c>
      <c r="AS90" s="39">
        <f t="shared" si="13"/>
        <v>0.0769230769230769</v>
      </c>
    </row>
    <row r="91" s="105" customFormat="1" ht="19.5" customHeight="1" spans="1:45">
      <c r="A91" s="68">
        <v>80</v>
      </c>
      <c r="B91" s="219" t="s">
        <v>105</v>
      </c>
      <c r="C91" s="150" t="s">
        <v>16</v>
      </c>
      <c r="D91" s="149" t="e">
        <f>VLOOKUP(B91,'[1]MASTER DATA 2025'!$C$3:$E$279,3,0)</f>
        <v>#N/A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 t="s">
        <v>13</v>
      </c>
      <c r="R91" s="96"/>
      <c r="S91" s="96"/>
      <c r="T91" s="96"/>
      <c r="U91" s="259"/>
      <c r="V91" s="96"/>
      <c r="W91" s="96"/>
      <c r="X91" s="96"/>
      <c r="Y91" s="96"/>
      <c r="Z91" s="96"/>
      <c r="AA91" s="96"/>
      <c r="AB91" s="96"/>
      <c r="AC91" s="96"/>
      <c r="AD91" s="96"/>
      <c r="AE91" s="96" t="s">
        <v>11</v>
      </c>
      <c r="AF91" s="96"/>
      <c r="AG91" s="96"/>
      <c r="AH91" s="96"/>
      <c r="AI91" s="96"/>
      <c r="AK91" s="151">
        <f t="shared" si="7"/>
        <v>0</v>
      </c>
      <c r="AL91" s="35">
        <f t="shared" si="8"/>
        <v>1</v>
      </c>
      <c r="AM91" s="36">
        <f t="shared" si="9"/>
        <v>0</v>
      </c>
      <c r="AN91" s="35">
        <f t="shared" si="10"/>
        <v>1</v>
      </c>
      <c r="AO91" s="36">
        <f t="shared" si="11"/>
        <v>0</v>
      </c>
      <c r="AP91" s="37">
        <f t="shared" si="12"/>
        <v>2</v>
      </c>
      <c r="AQ91" s="37" t="s">
        <v>25</v>
      </c>
      <c r="AR91" s="38">
        <v>26</v>
      </c>
      <c r="AS91" s="39">
        <f t="shared" si="13"/>
        <v>0.0769230769230769</v>
      </c>
    </row>
    <row r="92" s="105" customFormat="1" ht="19.5" customHeight="1" spans="1:45">
      <c r="A92" s="68">
        <v>81</v>
      </c>
      <c r="B92" s="219" t="s">
        <v>106</v>
      </c>
      <c r="C92" s="150" t="s">
        <v>59</v>
      </c>
      <c r="D92" s="149" t="str">
        <f>VLOOKUP(B92,'[1]MASTER DATA 2025'!$C$3:$E$279,3,0)</f>
        <v>0Tahun8 Bulan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 t="s">
        <v>11</v>
      </c>
      <c r="R92" s="96"/>
      <c r="S92" s="96"/>
      <c r="T92" s="96"/>
      <c r="U92" s="259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K92" s="151">
        <f t="shared" si="7"/>
        <v>0</v>
      </c>
      <c r="AL92" s="35">
        <f t="shared" si="8"/>
        <v>1</v>
      </c>
      <c r="AM92" s="36">
        <f t="shared" si="9"/>
        <v>0</v>
      </c>
      <c r="AN92" s="35">
        <f t="shared" si="10"/>
        <v>0</v>
      </c>
      <c r="AO92" s="36">
        <f t="shared" si="11"/>
        <v>0</v>
      </c>
      <c r="AP92" s="37">
        <f t="shared" si="12"/>
        <v>1</v>
      </c>
      <c r="AQ92" s="37"/>
      <c r="AR92" s="38">
        <v>26</v>
      </c>
      <c r="AS92" s="39">
        <f t="shared" si="13"/>
        <v>0.0384615384615385</v>
      </c>
    </row>
    <row r="93" s="105" customFormat="1" ht="19.5" customHeight="1" spans="1:45">
      <c r="A93" s="68">
        <v>82</v>
      </c>
      <c r="B93" s="219" t="s">
        <v>107</v>
      </c>
      <c r="C93" s="150" t="s">
        <v>108</v>
      </c>
      <c r="D93" s="149" t="str">
        <f>VLOOKUP(B93,'[1]MASTER DATA 2025'!$C$3:$E$279,3,0)</f>
        <v>1Tahun3 Bulan</v>
      </c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259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 t="s">
        <v>12</v>
      </c>
      <c r="AH93" s="96"/>
      <c r="AI93" s="96"/>
      <c r="AK93" s="151">
        <f t="shared" si="7"/>
        <v>0</v>
      </c>
      <c r="AL93" s="35">
        <f t="shared" si="8"/>
        <v>0</v>
      </c>
      <c r="AM93" s="36">
        <f t="shared" si="9"/>
        <v>1</v>
      </c>
      <c r="AN93" s="35">
        <f t="shared" si="10"/>
        <v>0</v>
      </c>
      <c r="AO93" s="36">
        <f t="shared" si="11"/>
        <v>0</v>
      </c>
      <c r="AP93" s="37">
        <f t="shared" si="12"/>
        <v>1</v>
      </c>
      <c r="AQ93" s="37"/>
      <c r="AR93" s="38"/>
      <c r="AS93" s="39"/>
    </row>
    <row r="94" s="105" customFormat="1" ht="19.5" customHeight="1" spans="1:45">
      <c r="A94" s="68">
        <v>83</v>
      </c>
      <c r="B94" s="276" t="s">
        <v>109</v>
      </c>
      <c r="C94" s="150" t="s">
        <v>16</v>
      </c>
      <c r="D94" s="149" t="str">
        <f>VLOOKUP(B94,'[1]MASTER DATA 2025'!$C$3:$E$279,3,0)</f>
        <v>0Tahun1 Bulan</v>
      </c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 t="s">
        <v>13</v>
      </c>
      <c r="T94" s="96" t="s">
        <v>13</v>
      </c>
      <c r="U94" s="259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K94" s="151">
        <f t="shared" si="7"/>
        <v>0</v>
      </c>
      <c r="AL94" s="35">
        <f t="shared" si="8"/>
        <v>0</v>
      </c>
      <c r="AM94" s="36">
        <f t="shared" si="9"/>
        <v>0</v>
      </c>
      <c r="AN94" s="35">
        <f t="shared" si="10"/>
        <v>2</v>
      </c>
      <c r="AO94" s="36">
        <f t="shared" si="11"/>
        <v>0</v>
      </c>
      <c r="AP94" s="37">
        <f t="shared" si="12"/>
        <v>2</v>
      </c>
      <c r="AQ94" s="37"/>
      <c r="AR94" s="38"/>
      <c r="AS94" s="39"/>
    </row>
    <row r="95" s="105" customFormat="1" ht="19.5" customHeight="1" spans="1:45">
      <c r="A95" s="68">
        <v>84</v>
      </c>
      <c r="B95" s="249" t="s">
        <v>66</v>
      </c>
      <c r="C95" s="164" t="s">
        <v>16</v>
      </c>
      <c r="D95" s="149" t="str">
        <f>VLOOKUP(B95,'[1]MASTER DATA 2025'!$C$3:$E$279,3,0)</f>
        <v>0Tahun2 Bulan</v>
      </c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 t="s">
        <v>13</v>
      </c>
      <c r="T95" s="96"/>
      <c r="U95" s="259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K95" s="151">
        <f t="shared" si="7"/>
        <v>0</v>
      </c>
      <c r="AL95" s="35">
        <f t="shared" si="8"/>
        <v>0</v>
      </c>
      <c r="AM95" s="36">
        <f t="shared" si="9"/>
        <v>0</v>
      </c>
      <c r="AN95" s="35">
        <f t="shared" si="10"/>
        <v>1</v>
      </c>
      <c r="AO95" s="36">
        <f t="shared" si="11"/>
        <v>0</v>
      </c>
      <c r="AP95" s="37">
        <f t="shared" si="12"/>
        <v>1</v>
      </c>
      <c r="AQ95" s="37"/>
      <c r="AR95" s="38"/>
      <c r="AS95" s="39"/>
    </row>
    <row r="96" s="105" customFormat="1" ht="19.5" customHeight="1" spans="1:45">
      <c r="A96" s="68">
        <v>85</v>
      </c>
      <c r="B96" s="249" t="s">
        <v>110</v>
      </c>
      <c r="C96" s="164" t="s">
        <v>111</v>
      </c>
      <c r="D96" s="149" t="s">
        <v>112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 t="s">
        <v>13</v>
      </c>
      <c r="U96" s="259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K96" s="151">
        <f t="shared" si="7"/>
        <v>0</v>
      </c>
      <c r="AL96" s="35">
        <f t="shared" si="8"/>
        <v>0</v>
      </c>
      <c r="AM96" s="36">
        <f t="shared" si="9"/>
        <v>0</v>
      </c>
      <c r="AN96" s="35">
        <f t="shared" si="10"/>
        <v>1</v>
      </c>
      <c r="AO96" s="36">
        <f t="shared" si="11"/>
        <v>0</v>
      </c>
      <c r="AP96" s="37">
        <f t="shared" si="12"/>
        <v>1</v>
      </c>
      <c r="AQ96" s="37"/>
      <c r="AR96" s="38"/>
      <c r="AS96" s="39"/>
    </row>
    <row r="97" s="105" customFormat="1" ht="19.5" customHeight="1" spans="1:45">
      <c r="A97" s="68">
        <v>86</v>
      </c>
      <c r="B97" s="249" t="s">
        <v>113</v>
      </c>
      <c r="C97" s="164" t="s">
        <v>16</v>
      </c>
      <c r="D97" s="149" t="str">
        <f>VLOOKUP(B97,'[1]MASTER DATA 2025'!$C$3:$E$279,3,0)</f>
        <v>0Tahun1 Bulan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259" t="s">
        <v>11</v>
      </c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K97" s="151">
        <f t="shared" si="7"/>
        <v>0</v>
      </c>
      <c r="AL97" s="35">
        <f t="shared" si="8"/>
        <v>1</v>
      </c>
      <c r="AM97" s="36">
        <f t="shared" si="9"/>
        <v>0</v>
      </c>
      <c r="AN97" s="35">
        <f t="shared" si="10"/>
        <v>0</v>
      </c>
      <c r="AO97" s="36">
        <f t="shared" si="11"/>
        <v>0</v>
      </c>
      <c r="AP97" s="37">
        <f t="shared" si="12"/>
        <v>1</v>
      </c>
      <c r="AQ97" s="37"/>
      <c r="AR97" s="38"/>
      <c r="AS97" s="39"/>
    </row>
    <row r="98" s="105" customFormat="1" ht="19.5" customHeight="1" spans="1:45">
      <c r="A98" s="68">
        <v>87</v>
      </c>
      <c r="B98" s="249" t="s">
        <v>114</v>
      </c>
      <c r="C98" s="164" t="s">
        <v>16</v>
      </c>
      <c r="D98" s="149" t="str">
        <f>VLOOKUP(B98,'[1]MASTER DATA 2025'!$C$3:$E$279,3,0)</f>
        <v>0Tahun1 Bulan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259"/>
      <c r="V98" s="96"/>
      <c r="W98" s="96"/>
      <c r="X98" s="96"/>
      <c r="Y98" s="96"/>
      <c r="Z98" s="96"/>
      <c r="AA98" s="96" t="s">
        <v>11</v>
      </c>
      <c r="AB98" s="96"/>
      <c r="AC98" s="96"/>
      <c r="AD98" s="96"/>
      <c r="AE98" s="96"/>
      <c r="AF98" s="96"/>
      <c r="AG98" s="96"/>
      <c r="AH98" s="96"/>
      <c r="AI98" s="96"/>
      <c r="AK98" s="151">
        <f t="shared" si="7"/>
        <v>0</v>
      </c>
      <c r="AL98" s="35">
        <f t="shared" si="8"/>
        <v>1</v>
      </c>
      <c r="AM98" s="36">
        <f t="shared" si="9"/>
        <v>0</v>
      </c>
      <c r="AN98" s="35">
        <f t="shared" si="10"/>
        <v>0</v>
      </c>
      <c r="AO98" s="36">
        <f t="shared" si="11"/>
        <v>0</v>
      </c>
      <c r="AP98" s="37">
        <f t="shared" si="12"/>
        <v>1</v>
      </c>
      <c r="AQ98" s="37"/>
      <c r="AR98" s="38"/>
      <c r="AS98" s="39"/>
    </row>
    <row r="99" s="105" customFormat="1" ht="19.5" customHeight="1" spans="1:45">
      <c r="A99" s="68">
        <v>88</v>
      </c>
      <c r="B99" s="249" t="s">
        <v>115</v>
      </c>
      <c r="C99" s="164" t="s">
        <v>16</v>
      </c>
      <c r="D99" s="149" t="str">
        <f>VLOOKUP(B99,'[1]MASTER DATA 2025'!$C$3:$E$279,3,0)</f>
        <v>0Tahun1 Bulan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259"/>
      <c r="V99" s="96"/>
      <c r="W99" s="96"/>
      <c r="X99" s="96"/>
      <c r="Y99" s="96"/>
      <c r="Z99" s="96"/>
      <c r="AA99" s="96"/>
      <c r="AB99" s="96"/>
      <c r="AC99" s="96"/>
      <c r="AD99" s="96" t="s">
        <v>11</v>
      </c>
      <c r="AE99" s="96"/>
      <c r="AF99" s="96"/>
      <c r="AG99" s="96"/>
      <c r="AH99" s="96"/>
      <c r="AI99" s="96"/>
      <c r="AK99" s="151">
        <f t="shared" si="7"/>
        <v>0</v>
      </c>
      <c r="AL99" s="35">
        <f t="shared" si="8"/>
        <v>1</v>
      </c>
      <c r="AM99" s="36">
        <f t="shared" si="9"/>
        <v>0</v>
      </c>
      <c r="AN99" s="35">
        <f t="shared" si="10"/>
        <v>0</v>
      </c>
      <c r="AO99" s="36">
        <f t="shared" si="11"/>
        <v>0</v>
      </c>
      <c r="AP99" s="37">
        <f t="shared" si="12"/>
        <v>1</v>
      </c>
      <c r="AQ99" s="37"/>
      <c r="AR99" s="38"/>
      <c r="AS99" s="39"/>
    </row>
    <row r="100" s="105" customFormat="1" ht="19.5" customHeight="1" spans="1:45">
      <c r="A100" s="68">
        <v>89</v>
      </c>
      <c r="B100"/>
      <c r="C100" s="164" t="s">
        <v>16</v>
      </c>
      <c r="D100" s="149" t="str">
        <f>VLOOKUP(oct!B120,'[1]MASTER DATA 2025'!$C$3:$E$279,3,0)</f>
        <v>0Tahun1 Bulan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259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K100" s="151">
        <f t="shared" si="7"/>
        <v>0</v>
      </c>
      <c r="AL100" s="35">
        <f t="shared" si="8"/>
        <v>0</v>
      </c>
      <c r="AM100" s="36">
        <f t="shared" si="9"/>
        <v>0</v>
      </c>
      <c r="AN100" s="35">
        <f t="shared" si="10"/>
        <v>0</v>
      </c>
      <c r="AO100" s="36">
        <f t="shared" si="11"/>
        <v>0</v>
      </c>
      <c r="AP100" s="37">
        <f t="shared" si="12"/>
        <v>0</v>
      </c>
      <c r="AQ100" s="37"/>
      <c r="AR100" s="38"/>
      <c r="AS100" s="39"/>
    </row>
    <row r="101" s="20" customFormat="1" ht="19.5" customHeight="1" spans="1:45">
      <c r="A101" s="290" t="s">
        <v>6</v>
      </c>
      <c r="B101" s="291"/>
      <c r="C101" s="291"/>
      <c r="D101" s="291"/>
      <c r="E101" s="292">
        <f t="shared" ref="E101:AI101" si="14">COUNTIF(E14:E86,"H")</f>
        <v>0</v>
      </c>
      <c r="F101" s="292">
        <f t="shared" si="14"/>
        <v>0</v>
      </c>
      <c r="G101" s="292">
        <f t="shared" si="14"/>
        <v>0</v>
      </c>
      <c r="H101" s="292">
        <f t="shared" si="14"/>
        <v>0</v>
      </c>
      <c r="I101" s="292">
        <f t="shared" si="14"/>
        <v>0</v>
      </c>
      <c r="J101" s="292">
        <f t="shared" si="14"/>
        <v>0</v>
      </c>
      <c r="K101" s="292">
        <f t="shared" si="14"/>
        <v>0</v>
      </c>
      <c r="L101" s="292">
        <f t="shared" si="14"/>
        <v>0</v>
      </c>
      <c r="M101" s="292">
        <f t="shared" si="14"/>
        <v>0</v>
      </c>
      <c r="N101" s="292">
        <f t="shared" si="14"/>
        <v>0</v>
      </c>
      <c r="O101" s="292">
        <f t="shared" si="14"/>
        <v>0</v>
      </c>
      <c r="P101" s="292">
        <f t="shared" si="14"/>
        <v>0</v>
      </c>
      <c r="Q101" s="292">
        <f t="shared" si="14"/>
        <v>0</v>
      </c>
      <c r="R101" s="292">
        <f t="shared" si="14"/>
        <v>0</v>
      </c>
      <c r="S101" s="292">
        <f t="shared" si="14"/>
        <v>0</v>
      </c>
      <c r="T101" s="292">
        <f t="shared" si="14"/>
        <v>0</v>
      </c>
      <c r="U101" s="292">
        <f t="shared" si="14"/>
        <v>0</v>
      </c>
      <c r="V101" s="292">
        <f t="shared" si="14"/>
        <v>0</v>
      </c>
      <c r="W101" s="292">
        <f t="shared" si="14"/>
        <v>0</v>
      </c>
      <c r="X101" s="292">
        <f t="shared" si="14"/>
        <v>0</v>
      </c>
      <c r="Y101" s="292">
        <f t="shared" si="14"/>
        <v>0</v>
      </c>
      <c r="Z101" s="292">
        <f t="shared" si="14"/>
        <v>0</v>
      </c>
      <c r="AA101" s="292">
        <f t="shared" si="14"/>
        <v>0</v>
      </c>
      <c r="AB101" s="292">
        <f t="shared" si="14"/>
        <v>0</v>
      </c>
      <c r="AC101" s="292">
        <f t="shared" si="14"/>
        <v>0</v>
      </c>
      <c r="AD101" s="292">
        <f t="shared" si="14"/>
        <v>0</v>
      </c>
      <c r="AE101" s="292">
        <f t="shared" si="14"/>
        <v>0</v>
      </c>
      <c r="AF101" s="292">
        <f t="shared" si="14"/>
        <v>0</v>
      </c>
      <c r="AG101" s="292">
        <f t="shared" si="14"/>
        <v>0</v>
      </c>
      <c r="AH101" s="292">
        <f t="shared" si="14"/>
        <v>0</v>
      </c>
      <c r="AI101" s="292">
        <f t="shared" si="14"/>
        <v>0</v>
      </c>
      <c r="AJ101" s="293">
        <f>SUM(E101:AI101)</f>
        <v>0</v>
      </c>
    </row>
    <row r="102" ht="20.15" customHeight="1" spans="1:45">
      <c r="A102" s="305"/>
      <c r="B102" s="306"/>
      <c r="C102" s="307"/>
      <c r="D102" s="307"/>
      <c r="E102" s="294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6"/>
    </row>
    <row r="103" ht="20.15" customHeight="1" spans="1:45">
      <c r="A103" s="308"/>
      <c r="B103" s="309"/>
      <c r="C103" s="307"/>
      <c r="D103" s="307"/>
      <c r="E103" s="297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  <c r="AA103" s="298"/>
      <c r="AB103" s="298"/>
      <c r="AC103" s="298"/>
      <c r="AD103" s="298"/>
      <c r="AE103" s="298"/>
      <c r="AF103" s="298"/>
      <c r="AG103" s="298"/>
      <c r="AH103" s="295"/>
      <c r="AI103" s="295"/>
    </row>
    <row r="104" ht="20.15" customHeight="1" spans="1:45">
      <c r="B104" s="310"/>
      <c r="C104" s="311"/>
      <c r="D104" s="311"/>
      <c r="E104" s="297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Y104" s="298"/>
      <c r="Z104" s="298"/>
      <c r="AA104" s="298"/>
      <c r="AB104" s="298"/>
      <c r="AC104" s="298"/>
      <c r="AD104" s="298"/>
      <c r="AE104" s="298"/>
      <c r="AF104" s="298"/>
      <c r="AG104" s="298"/>
    </row>
  </sheetData>
  <autoFilter xmlns:etc="http://www.wps.cn/officeDocument/2017/etCustomData" ref="A11:AS101" etc:filterBottomFollowUsedRange="0">
    <extLst/>
  </autoFilter>
  <mergeCells count="15">
    <mergeCell ref="E10:AI10"/>
    <mergeCell ref="AL10:AO10"/>
    <mergeCell ref="A101:B101"/>
    <mergeCell ref="A10:A11"/>
    <mergeCell ref="B10:B11"/>
    <mergeCell ref="C10:C11"/>
    <mergeCell ref="D10:D11"/>
    <mergeCell ref="AK10:AK11"/>
    <mergeCell ref="AP10:AP11"/>
    <mergeCell ref="AQ10:AQ11"/>
    <mergeCell ref="AR10:AR11"/>
    <mergeCell ref="AS10:AS11"/>
    <mergeCell ref="E4:AI6"/>
    <mergeCell ref="E7:AI8"/>
    <mergeCell ref="E103:AG104"/>
  </mergeCells>
  <conditionalFormatting sqref="B54">
    <cfRule type="cellIs" dxfId="0" priority="1" operator="equal">
      <formula>"ALPA"</formula>
    </cfRule>
    <cfRule type="cellIs" dxfId="1" priority="2" operator="equal">
      <formula>"IZIN"</formula>
    </cfRule>
    <cfRule type="cellIs" dxfId="2" priority="3" operator="equal">
      <formula>"SAKIT"</formula>
    </cfRule>
  </conditionalFormatting>
  <conditionalFormatting sqref="E12:AI100">
    <cfRule type="containsText" dxfId="3" priority="4" operator="between" text="OFF">
      <formula>NOT(ISERROR(SEARCH("OFF",E12)))</formula>
    </cfRule>
    <cfRule type="containsText" dxfId="4" priority="5" operator="between" text="OFF">
      <formula>NOT(ISERROR(SEARCH("OFF",E12)))</formula>
    </cfRule>
    <cfRule type="containsText" dxfId="5" priority="6" operator="between" text="S">
      <formula>NOT(ISERROR(SEARCH("S",E12)))</formula>
    </cfRule>
    <cfRule type="containsText" dxfId="6" priority="7" operator="between" text="I">
      <formula>NOT(ISERROR(SEARCH("I",E12)))</formula>
    </cfRule>
    <cfRule type="containsText" dxfId="7" priority="8" operator="between" text="A">
      <formula>NOT(ISERROR(SEARCH("A",E12)))</formula>
    </cfRule>
    <cfRule type="containsText" dxfId="8" priority="9" operator="between" text="L">
      <formula>NOT(ISERROR(SEARCH("L",E12)))</formula>
    </cfRule>
    <cfRule type="containsText" dxfId="6" priority="10" operator="between" text="A">
      <formula>NOT(ISERROR(SEARCH("A",E12)))</formula>
    </cfRule>
    <cfRule type="containsText" dxfId="7" priority="11" operator="between" text="S">
      <formula>NOT(ISERROR(SEARCH("S",E12)))</formula>
    </cfRule>
    <cfRule type="containsText" dxfId="5" priority="12" operator="between" text="OFF">
      <formula>NOT(ISERROR(SEARCH("OFF",E12)))</formula>
    </cfRule>
    <cfRule type="containsText" dxfId="7" priority="13" operator="between" text="OFF">
      <formula>NOT(ISERROR(SEARCH("OFF",E12)))</formula>
    </cfRule>
  </conditionalFormatting>
  <printOptions horizontalCentered="1"/>
  <pageMargins left="0" right="0" top="0" bottom="0" header="0" footer="0"/>
  <pageSetup paperSize="9" scale="47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S141"/>
  <sheetViews>
    <sheetView zoomScale="130" zoomScaleNormal="130" topLeftCell="A10" workbookViewId="0">
      <pane xSplit="2" ySplit="2" topLeftCell="Z123" activePane="bottomRight" state="frozen"/>
      <selection/>
      <selection pane="topRight"/>
      <selection pane="bottomLeft"/>
      <selection pane="bottomRight" activeCell="AQ93" sqref="AQ93"/>
    </sheetView>
  </sheetViews>
  <sheetFormatPr defaultColWidth="9" defaultRowHeight="14.5"/>
  <cols>
    <col min="1" max="1" width="10.3636363636364" customWidth="1"/>
    <col min="2" max="2" width="27.9090909090909" customWidth="1"/>
    <col min="3" max="3" width="16.6363636363636" customWidth="1"/>
    <col min="4" max="4" width="20.0909090909091" customWidth="1"/>
    <col min="5" max="35" width="7.63636363636364" customWidth="1"/>
    <col min="36" max="36" width="10.3636363636364" customWidth="1"/>
    <col min="37" max="41" width="9" customWidth="1"/>
    <col min="42" max="42" width="15.6363636363636" customWidth="1"/>
    <col min="43" max="43" width="38.5454545454545" customWidth="1"/>
    <col min="44" max="45" width="15.6363636363636" customWidth="1"/>
  </cols>
  <sheetData>
    <row r="2" ht="20.15" customHeight="1" spans="1:4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ht="20.15" customHeight="1" spans="1:4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20.15" customHeight="1" spans="1:45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299"/>
    </row>
    <row r="5" ht="20.15" customHeight="1" spans="1:45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300"/>
    </row>
    <row r="6" ht="20.15" customHeight="1" spans="1:45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301"/>
    </row>
    <row r="7" ht="20.15" customHeight="1" spans="1:45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302"/>
    </row>
    <row r="8" ht="20.15" customHeight="1" spans="1:45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303"/>
    </row>
    <row r="9" ht="20.15" customHeight="1" spans="1:4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289"/>
      <c r="AG9" s="289"/>
      <c r="AH9" s="289"/>
    </row>
    <row r="10" s="20" customFormat="1" ht="16.5" spans="1:45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K10" s="56"/>
      <c r="AL10" s="23" t="s">
        <v>5</v>
      </c>
      <c r="AM10" s="24"/>
      <c r="AN10" s="24"/>
      <c r="AO10" s="25"/>
      <c r="AP10" s="2" t="s">
        <v>6</v>
      </c>
      <c r="AQ10" s="2" t="s">
        <v>7</v>
      </c>
      <c r="AR10" s="26" t="s">
        <v>8</v>
      </c>
      <c r="AS10" s="27" t="s">
        <v>9</v>
      </c>
    </row>
    <row r="11" s="21" customFormat="1" ht="23.15" customHeight="1" spans="1:45">
      <c r="A11" s="1"/>
      <c r="B11" s="1"/>
      <c r="C11" s="32"/>
      <c r="D11" s="32"/>
      <c r="E11" s="258">
        <v>21</v>
      </c>
      <c r="F11" s="58">
        <v>22</v>
      </c>
      <c r="G11" s="58">
        <v>23</v>
      </c>
      <c r="H11" s="58">
        <v>24</v>
      </c>
      <c r="I11" s="58">
        <v>25</v>
      </c>
      <c r="J11" s="58">
        <v>26</v>
      </c>
      <c r="K11" s="58">
        <v>27</v>
      </c>
      <c r="L11" s="258">
        <v>28</v>
      </c>
      <c r="M11" s="58">
        <v>29</v>
      </c>
      <c r="N11" s="58">
        <v>30</v>
      </c>
      <c r="O11" s="58">
        <v>31</v>
      </c>
      <c r="P11" s="58">
        <v>1</v>
      </c>
      <c r="Q11" s="58">
        <v>2</v>
      </c>
      <c r="R11" s="58">
        <v>3</v>
      </c>
      <c r="S11" s="58">
        <v>4</v>
      </c>
      <c r="T11" s="258">
        <v>5</v>
      </c>
      <c r="U11" s="58">
        <v>6</v>
      </c>
      <c r="V11" s="58">
        <v>7</v>
      </c>
      <c r="W11" s="58">
        <v>8</v>
      </c>
      <c r="X11" s="58">
        <v>9</v>
      </c>
      <c r="Y11" s="58">
        <v>10</v>
      </c>
      <c r="Z11" s="58">
        <v>11</v>
      </c>
      <c r="AA11" s="258">
        <v>12</v>
      </c>
      <c r="AB11" s="58">
        <v>13</v>
      </c>
      <c r="AC11" s="58">
        <v>14</v>
      </c>
      <c r="AD11" s="58">
        <v>15</v>
      </c>
      <c r="AE11" s="58">
        <v>16</v>
      </c>
      <c r="AF11" s="58">
        <v>17</v>
      </c>
      <c r="AG11" s="58">
        <v>18</v>
      </c>
      <c r="AH11" s="258">
        <v>19</v>
      </c>
      <c r="AI11" s="58">
        <v>20</v>
      </c>
      <c r="AK11" s="148" t="s">
        <v>10</v>
      </c>
      <c r="AL11" s="11" t="s">
        <v>11</v>
      </c>
      <c r="AM11" s="11" t="s">
        <v>12</v>
      </c>
      <c r="AN11" s="11" t="s">
        <v>13</v>
      </c>
      <c r="AO11" s="11" t="s">
        <v>14</v>
      </c>
      <c r="AP11" s="32"/>
      <c r="AQ11" s="32"/>
      <c r="AR11" s="33"/>
      <c r="AS11" s="34"/>
    </row>
    <row r="12" s="105" customFormat="1" ht="20.15" customHeight="1" spans="1:45">
      <c r="A12" s="68">
        <v>1</v>
      </c>
      <c r="B12" s="149" t="s">
        <v>15</v>
      </c>
      <c r="C12" s="149" t="s">
        <v>16</v>
      </c>
      <c r="D12" s="149" t="str">
        <f>VLOOKUP(B12,'[1]MASTER DATA 2025'!$C$3:$E$279,3,0)</f>
        <v>0Tahun11 Bulan</v>
      </c>
      <c r="E12" s="96"/>
      <c r="F12" s="96"/>
      <c r="G12" s="96"/>
      <c r="H12" s="96"/>
      <c r="I12" s="96" t="s">
        <v>11</v>
      </c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259" t="s">
        <v>13</v>
      </c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K12" s="151">
        <f t="shared" ref="AK12:AK75" si="0">COUNTIF(E12:AI12,"H")</f>
        <v>0</v>
      </c>
      <c r="AL12" s="47">
        <f t="shared" ref="AL12:AL75" si="1">COUNTIF(E12:AI12,"S")</f>
        <v>1</v>
      </c>
      <c r="AM12" s="36">
        <f t="shared" ref="AM12:AM75" si="2">COUNTIF(E12:AI12,"I")</f>
        <v>0</v>
      </c>
      <c r="AN12" s="36">
        <f t="shared" ref="AN12:AN75" si="3">COUNTIF(E12:AI12,"A")</f>
        <v>1</v>
      </c>
      <c r="AO12" s="36">
        <f t="shared" ref="AO12:AO75" si="4">COUNTIF(E12:AI12,"OFF")</f>
        <v>0</v>
      </c>
      <c r="AP12" s="48">
        <f t="shared" ref="AP12:AP75" si="5">SUM(AK12:AN12)</f>
        <v>2</v>
      </c>
      <c r="AQ12" s="37" t="s">
        <v>25</v>
      </c>
      <c r="AR12" s="38">
        <v>16</v>
      </c>
      <c r="AS12" s="39">
        <f t="shared" ref="AS12:AS75" si="6">AP12/AR12</f>
        <v>0.125</v>
      </c>
    </row>
    <row r="13" s="105" customFormat="1" ht="20.15" customHeight="1" spans="1:45">
      <c r="A13" s="68">
        <v>2</v>
      </c>
      <c r="B13" s="149" t="s">
        <v>17</v>
      </c>
      <c r="C13" s="149" t="s">
        <v>16</v>
      </c>
      <c r="D13" s="149" t="str">
        <f>VLOOKUP(B13,'[1]MASTER DATA 2025'!$C$3:$E$279,3,0)</f>
        <v>0Tahun9 Bulan</v>
      </c>
      <c r="E13" s="96"/>
      <c r="F13" s="96"/>
      <c r="G13" s="96"/>
      <c r="H13" s="96"/>
      <c r="I13" s="96"/>
      <c r="J13" s="96" t="s">
        <v>11</v>
      </c>
      <c r="K13" s="96"/>
      <c r="L13" s="96" t="s">
        <v>13</v>
      </c>
      <c r="M13" s="96"/>
      <c r="N13" s="96"/>
      <c r="O13" s="96"/>
      <c r="P13" s="96"/>
      <c r="Q13" s="96"/>
      <c r="R13" s="96"/>
      <c r="S13" s="96"/>
      <c r="T13" s="96"/>
      <c r="U13" s="259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K13" s="151">
        <f t="shared" si="0"/>
        <v>0</v>
      </c>
      <c r="AL13" s="35">
        <f t="shared" si="1"/>
        <v>1</v>
      </c>
      <c r="AM13" s="36">
        <f t="shared" si="2"/>
        <v>0</v>
      </c>
      <c r="AN13" s="35">
        <f t="shared" si="3"/>
        <v>1</v>
      </c>
      <c r="AO13" s="36">
        <f t="shared" si="4"/>
        <v>0</v>
      </c>
      <c r="AP13" s="37">
        <f t="shared" si="5"/>
        <v>2</v>
      </c>
      <c r="AQ13" s="52" t="s">
        <v>18</v>
      </c>
      <c r="AR13" s="38">
        <v>16</v>
      </c>
      <c r="AS13" s="39">
        <f t="shared" si="6"/>
        <v>0.125</v>
      </c>
    </row>
    <row r="14" s="105" customFormat="1" ht="20.15" customHeight="1" spans="1:45">
      <c r="A14" s="68">
        <v>3</v>
      </c>
      <c r="B14" s="149" t="s">
        <v>116</v>
      </c>
      <c r="C14" s="149" t="s">
        <v>20</v>
      </c>
      <c r="D14" s="149" t="str">
        <f>VLOOKUP(B14,'[1]MASTER DATA 2025'!$C$3:$E$279,3,0)</f>
        <v>0Tahun9 Bulan</v>
      </c>
      <c r="E14" s="96"/>
      <c r="F14" s="96"/>
      <c r="G14" s="96"/>
      <c r="H14" s="96"/>
      <c r="I14" s="96"/>
      <c r="J14" s="96"/>
      <c r="K14" s="96"/>
      <c r="L14" s="96"/>
      <c r="M14" s="96"/>
      <c r="N14" s="96" t="s">
        <v>12</v>
      </c>
      <c r="O14" s="96"/>
      <c r="P14" s="96"/>
      <c r="Q14" s="96"/>
      <c r="R14" s="96"/>
      <c r="S14" s="96"/>
      <c r="T14" s="96"/>
      <c r="U14" s="259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K14" s="151">
        <f t="shared" si="0"/>
        <v>0</v>
      </c>
      <c r="AL14" s="35">
        <f t="shared" si="1"/>
        <v>0</v>
      </c>
      <c r="AM14" s="35">
        <f t="shared" si="2"/>
        <v>1</v>
      </c>
      <c r="AN14" s="47">
        <f t="shared" si="3"/>
        <v>0</v>
      </c>
      <c r="AO14" s="36">
        <f t="shared" si="4"/>
        <v>0</v>
      </c>
      <c r="AP14" s="48">
        <f t="shared" si="5"/>
        <v>1</v>
      </c>
      <c r="AQ14" s="52" t="s">
        <v>18</v>
      </c>
      <c r="AR14" s="38">
        <v>16</v>
      </c>
      <c r="AS14" s="39">
        <f t="shared" si="6"/>
        <v>0.0625</v>
      </c>
    </row>
    <row r="15" s="105" customFormat="1" ht="20.15" customHeight="1" spans="1:45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259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K15" s="151">
        <f t="shared" si="0"/>
        <v>0</v>
      </c>
      <c r="AL15" s="35">
        <f t="shared" si="1"/>
        <v>0</v>
      </c>
      <c r="AM15" s="36">
        <f t="shared" si="2"/>
        <v>0</v>
      </c>
      <c r="AN15" s="36">
        <f t="shared" si="3"/>
        <v>0</v>
      </c>
      <c r="AO15" s="36">
        <f t="shared" si="4"/>
        <v>0</v>
      </c>
      <c r="AP15" s="37">
        <f t="shared" si="5"/>
        <v>0</v>
      </c>
      <c r="AQ15" s="37"/>
      <c r="AR15" s="38">
        <v>16</v>
      </c>
      <c r="AS15" s="39">
        <f t="shared" si="6"/>
        <v>0</v>
      </c>
    </row>
    <row r="16" s="105" customFormat="1" ht="20.15" customHeight="1" spans="1:45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96"/>
      <c r="F16" s="96"/>
      <c r="G16" s="96"/>
      <c r="H16" s="96" t="s">
        <v>11</v>
      </c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259"/>
      <c r="V16" s="96"/>
      <c r="W16" s="96"/>
      <c r="X16" s="96"/>
      <c r="Y16" s="96"/>
      <c r="Z16" s="96"/>
      <c r="AA16" s="96"/>
      <c r="AB16" s="96" t="s">
        <v>13</v>
      </c>
      <c r="AC16" s="96"/>
      <c r="AD16" s="96"/>
      <c r="AE16" s="96"/>
      <c r="AF16" s="96"/>
      <c r="AG16" s="96"/>
      <c r="AH16" s="96"/>
      <c r="AI16" s="96"/>
      <c r="AK16" s="151">
        <f t="shared" si="0"/>
        <v>0</v>
      </c>
      <c r="AL16" s="35">
        <f t="shared" si="1"/>
        <v>1</v>
      </c>
      <c r="AM16" s="36">
        <f t="shared" si="2"/>
        <v>0</v>
      </c>
      <c r="AN16" s="36">
        <f t="shared" si="3"/>
        <v>1</v>
      </c>
      <c r="AO16" s="36">
        <f t="shared" si="4"/>
        <v>0</v>
      </c>
      <c r="AP16" s="37">
        <f t="shared" si="5"/>
        <v>2</v>
      </c>
      <c r="AQ16" s="52" t="s">
        <v>18</v>
      </c>
      <c r="AR16" s="38">
        <v>16</v>
      </c>
      <c r="AS16" s="39">
        <f t="shared" si="6"/>
        <v>0.125</v>
      </c>
    </row>
    <row r="17" s="105" customFormat="1" ht="20.15" customHeight="1" spans="1:45">
      <c r="A17" s="68">
        <v>6</v>
      </c>
      <c r="B17" s="154" t="s">
        <v>23</v>
      </c>
      <c r="C17" s="154" t="s">
        <v>16</v>
      </c>
      <c r="D17" s="149" t="str">
        <f>VLOOKUP(B17,'[1]MASTER DATA 2025'!$C$3:$E$279,3,0)</f>
        <v>1Tahun4 Bulan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259"/>
      <c r="V17" s="96" t="s">
        <v>11</v>
      </c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K17" s="151">
        <f t="shared" si="0"/>
        <v>0</v>
      </c>
      <c r="AL17" s="35">
        <f t="shared" si="1"/>
        <v>1</v>
      </c>
      <c r="AM17" s="36">
        <f t="shared" si="2"/>
        <v>0</v>
      </c>
      <c r="AN17" s="36">
        <f t="shared" si="3"/>
        <v>0</v>
      </c>
      <c r="AO17" s="36">
        <f t="shared" si="4"/>
        <v>0</v>
      </c>
      <c r="AP17" s="37">
        <f t="shared" si="5"/>
        <v>1</v>
      </c>
      <c r="AQ17" s="37" t="s">
        <v>25</v>
      </c>
      <c r="AR17" s="38">
        <v>16</v>
      </c>
      <c r="AS17" s="39">
        <f t="shared" si="6"/>
        <v>0.0625</v>
      </c>
    </row>
    <row r="18" s="105" customFormat="1" ht="20.15" customHeight="1" spans="1:45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259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K18" s="151">
        <f t="shared" si="0"/>
        <v>0</v>
      </c>
      <c r="AL18" s="36">
        <f t="shared" si="1"/>
        <v>0</v>
      </c>
      <c r="AM18" s="35">
        <f t="shared" si="2"/>
        <v>0</v>
      </c>
      <c r="AN18" s="36">
        <f t="shared" si="3"/>
        <v>0</v>
      </c>
      <c r="AO18" s="36">
        <f t="shared" si="4"/>
        <v>0</v>
      </c>
      <c r="AP18" s="37">
        <f t="shared" si="5"/>
        <v>0</v>
      </c>
      <c r="AQ18" s="37"/>
      <c r="AR18" s="38">
        <v>16</v>
      </c>
      <c r="AS18" s="39">
        <f t="shared" si="6"/>
        <v>0</v>
      </c>
    </row>
    <row r="19" s="105" customFormat="1" ht="20.15" customHeight="1" spans="1:45">
      <c r="A19" s="68">
        <v>8</v>
      </c>
      <c r="B19" s="154" t="s">
        <v>26</v>
      </c>
      <c r="C19" s="150" t="s">
        <v>16</v>
      </c>
      <c r="D19" s="149" t="str">
        <f>VLOOKUP(B19,'[1]MASTER DATA 2025'!$C$3:$E$279,3,0)</f>
        <v>0Tahun3 Bulan</v>
      </c>
      <c r="E19" s="260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259"/>
      <c r="V19" s="96"/>
      <c r="W19" s="96" t="s">
        <v>11</v>
      </c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K19" s="151">
        <f t="shared" si="0"/>
        <v>0</v>
      </c>
      <c r="AL19" s="35">
        <f t="shared" si="1"/>
        <v>1</v>
      </c>
      <c r="AM19" s="36">
        <f t="shared" si="2"/>
        <v>0</v>
      </c>
      <c r="AN19" s="36">
        <f t="shared" si="3"/>
        <v>0</v>
      </c>
      <c r="AO19" s="36">
        <f t="shared" si="4"/>
        <v>0</v>
      </c>
      <c r="AP19" s="37">
        <f t="shared" si="5"/>
        <v>1</v>
      </c>
      <c r="AQ19" s="37" t="s">
        <v>25</v>
      </c>
      <c r="AR19" s="38">
        <v>16</v>
      </c>
      <c r="AS19" s="39">
        <f t="shared" si="6"/>
        <v>0.0625</v>
      </c>
    </row>
    <row r="20" s="105" customFormat="1" ht="20.25" customHeight="1" spans="1:45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260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259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K20" s="151">
        <f t="shared" si="0"/>
        <v>0</v>
      </c>
      <c r="AL20" s="35">
        <f t="shared" si="1"/>
        <v>0</v>
      </c>
      <c r="AM20" s="36">
        <f t="shared" si="2"/>
        <v>0</v>
      </c>
      <c r="AN20" s="36">
        <f t="shared" si="3"/>
        <v>0</v>
      </c>
      <c r="AO20" s="36">
        <f t="shared" si="4"/>
        <v>0</v>
      </c>
      <c r="AP20" s="37">
        <f t="shared" si="5"/>
        <v>0</v>
      </c>
      <c r="AQ20" s="37"/>
      <c r="AR20" s="38">
        <v>16</v>
      </c>
      <c r="AS20" s="39">
        <f t="shared" si="6"/>
        <v>0</v>
      </c>
    </row>
    <row r="21" s="105" customFormat="1" ht="20.15" customHeight="1" spans="1:45">
      <c r="A21" s="68">
        <v>10</v>
      </c>
      <c r="B21" s="154" t="s">
        <v>28</v>
      </c>
      <c r="C21" s="150" t="s">
        <v>16</v>
      </c>
      <c r="D21" s="149" t="str">
        <f>VLOOKUP(B21,'[1]MASTER DATA 2025'!$C$3:$E$279,3,0)</f>
        <v>0Tahun7 Bulan</v>
      </c>
      <c r="E21" s="260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259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 t="s">
        <v>11</v>
      </c>
      <c r="AI21" s="96" t="s">
        <v>11</v>
      </c>
      <c r="AK21" s="151">
        <f t="shared" si="0"/>
        <v>0</v>
      </c>
      <c r="AL21" s="35">
        <f t="shared" si="1"/>
        <v>2</v>
      </c>
      <c r="AM21" s="36">
        <f t="shared" si="2"/>
        <v>0</v>
      </c>
      <c r="AN21" s="36">
        <f t="shared" si="3"/>
        <v>0</v>
      </c>
      <c r="AO21" s="36">
        <f t="shared" si="4"/>
        <v>0</v>
      </c>
      <c r="AP21" s="37">
        <f t="shared" si="5"/>
        <v>2</v>
      </c>
      <c r="AQ21" s="37" t="s">
        <v>25</v>
      </c>
      <c r="AR21" s="38">
        <v>16</v>
      </c>
      <c r="AS21" s="39">
        <f t="shared" si="6"/>
        <v>0.125</v>
      </c>
    </row>
    <row r="22" s="105" customFormat="1" ht="20.15" customHeight="1" spans="1:45">
      <c r="A22" s="68">
        <v>11</v>
      </c>
      <c r="B22" s="155" t="s">
        <v>29</v>
      </c>
      <c r="C22" s="150" t="s">
        <v>16</v>
      </c>
      <c r="D22" s="149" t="str">
        <f>VLOOKUP(B22,'[1]MASTER DATA 2025'!$C$3:$E$279,3,0)</f>
        <v>0Tahun5 Bulan</v>
      </c>
      <c r="E22" s="260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259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K22" s="151">
        <f t="shared" si="0"/>
        <v>0</v>
      </c>
      <c r="AL22" s="35">
        <f t="shared" si="1"/>
        <v>0</v>
      </c>
      <c r="AM22" s="36">
        <f t="shared" si="2"/>
        <v>0</v>
      </c>
      <c r="AN22" s="36">
        <f t="shared" si="3"/>
        <v>0</v>
      </c>
      <c r="AO22" s="36">
        <f t="shared" si="4"/>
        <v>0</v>
      </c>
      <c r="AP22" s="37">
        <f t="shared" si="5"/>
        <v>0</v>
      </c>
      <c r="AQ22" s="52"/>
      <c r="AR22" s="38">
        <v>16</v>
      </c>
      <c r="AS22" s="39">
        <f t="shared" si="6"/>
        <v>0</v>
      </c>
    </row>
    <row r="23" s="105" customFormat="1" ht="20.15" customHeight="1" spans="1:45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260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 t="s">
        <v>13</v>
      </c>
      <c r="R23" s="96"/>
      <c r="S23" s="96"/>
      <c r="T23" s="96"/>
      <c r="U23" s="259"/>
      <c r="V23" s="96"/>
      <c r="W23" s="96"/>
      <c r="X23" s="96"/>
      <c r="Y23" s="96"/>
      <c r="Z23" s="96" t="s">
        <v>13</v>
      </c>
      <c r="AA23" s="96"/>
      <c r="AB23" s="96"/>
      <c r="AC23" s="96"/>
      <c r="AD23" s="96"/>
      <c r="AE23" s="96"/>
      <c r="AF23" s="96"/>
      <c r="AG23" s="96"/>
      <c r="AH23" s="96"/>
      <c r="AI23" s="96"/>
      <c r="AK23" s="151">
        <f t="shared" si="0"/>
        <v>0</v>
      </c>
      <c r="AL23" s="35">
        <f t="shared" si="1"/>
        <v>0</v>
      </c>
      <c r="AM23" s="35">
        <f t="shared" si="2"/>
        <v>0</v>
      </c>
      <c r="AN23" s="35">
        <f t="shared" si="3"/>
        <v>2</v>
      </c>
      <c r="AO23" s="36">
        <f t="shared" si="4"/>
        <v>0</v>
      </c>
      <c r="AP23" s="37">
        <f t="shared" si="5"/>
        <v>2</v>
      </c>
      <c r="AQ23" s="37" t="s">
        <v>25</v>
      </c>
      <c r="AR23" s="38">
        <v>16</v>
      </c>
      <c r="AS23" s="39">
        <f t="shared" si="6"/>
        <v>0.125</v>
      </c>
    </row>
    <row r="24" s="105" customFormat="1" ht="20.15" customHeight="1" spans="1:45">
      <c r="A24" s="68">
        <v>13</v>
      </c>
      <c r="B24" s="155" t="s">
        <v>31</v>
      </c>
      <c r="C24" s="150" t="s">
        <v>16</v>
      </c>
      <c r="D24" s="149" t="str">
        <f>VLOOKUP(B24,'[1]MASTER DATA 2025'!$C$3:$E$279,3,0)</f>
        <v>1Tahun2 Bulan</v>
      </c>
      <c r="E24" s="96"/>
      <c r="F24" s="96"/>
      <c r="G24" s="96"/>
      <c r="H24" s="96"/>
      <c r="I24" s="96"/>
      <c r="J24" s="96"/>
      <c r="K24" s="96" t="s">
        <v>11</v>
      </c>
      <c r="L24" s="96"/>
      <c r="M24" s="96"/>
      <c r="N24" s="96"/>
      <c r="O24" s="96"/>
      <c r="P24" s="96"/>
      <c r="Q24" s="96"/>
      <c r="R24" s="96"/>
      <c r="S24" s="96"/>
      <c r="T24" s="96"/>
      <c r="U24" s="259"/>
      <c r="V24" s="96"/>
      <c r="W24" s="96"/>
      <c r="X24" s="96"/>
      <c r="Y24" s="96"/>
      <c r="Z24" s="96"/>
      <c r="AA24" s="96"/>
      <c r="AB24" s="96" t="s">
        <v>12</v>
      </c>
      <c r="AC24" s="96"/>
      <c r="AD24" s="96"/>
      <c r="AE24" s="96"/>
      <c r="AF24" s="96"/>
      <c r="AG24" s="96"/>
      <c r="AH24" s="96"/>
      <c r="AI24" s="96"/>
      <c r="AK24" s="151">
        <f t="shared" si="0"/>
        <v>0</v>
      </c>
      <c r="AL24" s="35">
        <f t="shared" si="1"/>
        <v>1</v>
      </c>
      <c r="AM24" s="35">
        <f t="shared" si="2"/>
        <v>1</v>
      </c>
      <c r="AN24" s="36">
        <f t="shared" si="3"/>
        <v>0</v>
      </c>
      <c r="AO24" s="36">
        <f t="shared" si="4"/>
        <v>0</v>
      </c>
      <c r="AP24" s="37">
        <f t="shared" si="5"/>
        <v>2</v>
      </c>
      <c r="AQ24" s="52" t="s">
        <v>18</v>
      </c>
      <c r="AR24" s="38">
        <v>16</v>
      </c>
      <c r="AS24" s="39">
        <f t="shared" si="6"/>
        <v>0.125</v>
      </c>
    </row>
    <row r="25" s="105" customFormat="1" ht="20.15" customHeight="1" spans="1:45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96"/>
      <c r="F25" s="96"/>
      <c r="G25" s="96"/>
      <c r="H25" s="96"/>
      <c r="I25" s="96"/>
      <c r="J25" s="96"/>
      <c r="K25" s="96"/>
      <c r="L25" s="96"/>
      <c r="M25" s="96" t="s">
        <v>11</v>
      </c>
      <c r="N25" s="96" t="s">
        <v>11</v>
      </c>
      <c r="O25" s="96"/>
      <c r="P25" s="96" t="s">
        <v>11</v>
      </c>
      <c r="Q25" s="96" t="s">
        <v>11</v>
      </c>
      <c r="R25" s="96"/>
      <c r="S25" s="96"/>
      <c r="T25" s="96"/>
      <c r="U25" s="259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K25" s="151">
        <f t="shared" si="0"/>
        <v>0</v>
      </c>
      <c r="AL25" s="35">
        <f t="shared" si="1"/>
        <v>4</v>
      </c>
      <c r="AM25" s="35">
        <f t="shared" si="2"/>
        <v>0</v>
      </c>
      <c r="AN25" s="47">
        <f t="shared" si="3"/>
        <v>0</v>
      </c>
      <c r="AO25" s="36">
        <f t="shared" si="4"/>
        <v>0</v>
      </c>
      <c r="AP25" s="37">
        <f t="shared" si="5"/>
        <v>4</v>
      </c>
      <c r="AQ25" s="37" t="s">
        <v>42</v>
      </c>
      <c r="AR25" s="38">
        <v>16</v>
      </c>
      <c r="AS25" s="39">
        <f t="shared" si="6"/>
        <v>0.25</v>
      </c>
    </row>
    <row r="26" s="105" customFormat="1" ht="20.15" customHeight="1" spans="1:45">
      <c r="A26" s="68">
        <v>15</v>
      </c>
      <c r="B26" s="154" t="s">
        <v>33</v>
      </c>
      <c r="C26" s="150" t="s">
        <v>16</v>
      </c>
      <c r="D26" s="149" t="str">
        <f>VLOOKUP(B26,'[1]MASTER DATA 2025'!$C$3:$E$279,3,0)</f>
        <v>0Tahun3 Bulan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259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K26" s="151">
        <f t="shared" si="0"/>
        <v>0</v>
      </c>
      <c r="AL26" s="35">
        <f t="shared" si="1"/>
        <v>0</v>
      </c>
      <c r="AM26" s="36">
        <f t="shared" si="2"/>
        <v>0</v>
      </c>
      <c r="AN26" s="36">
        <f t="shared" si="3"/>
        <v>0</v>
      </c>
      <c r="AO26" s="36">
        <f t="shared" si="4"/>
        <v>0</v>
      </c>
      <c r="AP26" s="37">
        <f t="shared" si="5"/>
        <v>0</v>
      </c>
      <c r="AQ26" s="37"/>
      <c r="AR26" s="38">
        <v>16</v>
      </c>
      <c r="AS26" s="39">
        <f t="shared" si="6"/>
        <v>0</v>
      </c>
    </row>
    <row r="27" s="105" customFormat="1" ht="20.15" customHeight="1" spans="1:45">
      <c r="A27" s="68">
        <v>16</v>
      </c>
      <c r="B27" s="154" t="s">
        <v>34</v>
      </c>
      <c r="C27" s="150" t="s">
        <v>16</v>
      </c>
      <c r="D27" s="149" t="str">
        <f>VLOOKUP(B27,'[1]MASTER DATA 2025'!$C$3:$E$279,3,0)</f>
        <v>0Tahun8 Bulan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259"/>
      <c r="V27" s="96"/>
      <c r="W27" s="96"/>
      <c r="X27" s="96"/>
      <c r="Y27" s="96" t="s">
        <v>11</v>
      </c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K27" s="151">
        <f t="shared" si="0"/>
        <v>0</v>
      </c>
      <c r="AL27" s="35">
        <f t="shared" si="1"/>
        <v>1</v>
      </c>
      <c r="AM27" s="36">
        <f t="shared" si="2"/>
        <v>0</v>
      </c>
      <c r="AN27" s="36">
        <f t="shared" si="3"/>
        <v>0</v>
      </c>
      <c r="AO27" s="36">
        <f t="shared" si="4"/>
        <v>0</v>
      </c>
      <c r="AP27" s="37">
        <f t="shared" si="5"/>
        <v>1</v>
      </c>
      <c r="AQ27" s="37" t="s">
        <v>25</v>
      </c>
      <c r="AR27" s="38">
        <v>16</v>
      </c>
      <c r="AS27" s="39">
        <f t="shared" si="6"/>
        <v>0.0625</v>
      </c>
    </row>
    <row r="28" s="105" customFormat="1" ht="20.15" customHeight="1" spans="1:45">
      <c r="A28" s="68">
        <v>17</v>
      </c>
      <c r="B28" s="154" t="s">
        <v>35</v>
      </c>
      <c r="C28" s="150" t="s">
        <v>16</v>
      </c>
      <c r="D28" s="149" t="str">
        <f>VLOOKUP(B28,'[1]MASTER DATA 2025'!$C$3:$E$279,3,0)</f>
        <v>0Tahun3 Bulan</v>
      </c>
      <c r="E28" s="96"/>
      <c r="F28" s="96"/>
      <c r="G28" s="96"/>
      <c r="H28" s="96"/>
      <c r="I28" s="96"/>
      <c r="J28" s="96"/>
      <c r="K28" s="96" t="s">
        <v>11</v>
      </c>
      <c r="L28" s="96"/>
      <c r="M28" s="96"/>
      <c r="N28" s="96"/>
      <c r="O28" s="96"/>
      <c r="P28" s="96"/>
      <c r="Q28" s="96"/>
      <c r="R28" s="96"/>
      <c r="S28" s="96"/>
      <c r="T28" s="96"/>
      <c r="U28" s="259"/>
      <c r="V28" s="96" t="s">
        <v>11</v>
      </c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K28" s="151">
        <f t="shared" si="0"/>
        <v>0</v>
      </c>
      <c r="AL28" s="35">
        <f t="shared" si="1"/>
        <v>2</v>
      </c>
      <c r="AM28" s="36">
        <f t="shared" si="2"/>
        <v>0</v>
      </c>
      <c r="AN28" s="36">
        <f t="shared" si="3"/>
        <v>0</v>
      </c>
      <c r="AO28" s="36">
        <f t="shared" si="4"/>
        <v>0</v>
      </c>
      <c r="AP28" s="37">
        <f t="shared" si="5"/>
        <v>2</v>
      </c>
      <c r="AQ28" s="37" t="s">
        <v>25</v>
      </c>
      <c r="AR28" s="38">
        <v>16</v>
      </c>
      <c r="AS28" s="39">
        <f t="shared" si="6"/>
        <v>0.125</v>
      </c>
    </row>
    <row r="29" s="105" customFormat="1" ht="20.15" customHeight="1" spans="1:45">
      <c r="A29" s="68">
        <v>18</v>
      </c>
      <c r="B29" s="149" t="s">
        <v>36</v>
      </c>
      <c r="C29" s="150" t="s">
        <v>20</v>
      </c>
      <c r="D29" s="149" t="str">
        <f>VLOOKUP(B29,'[1]MASTER DATA 2025'!$C$3:$E$279,3,0)</f>
        <v>0Tahun7 Bulan</v>
      </c>
      <c r="E29" s="96"/>
      <c r="F29" s="96"/>
      <c r="G29" s="96"/>
      <c r="H29" s="96"/>
      <c r="I29" s="96"/>
      <c r="J29" s="96"/>
      <c r="K29" s="96"/>
      <c r="L29" s="96"/>
      <c r="M29" s="96" t="s">
        <v>11</v>
      </c>
      <c r="N29" s="96"/>
      <c r="O29" s="96"/>
      <c r="P29" s="96"/>
      <c r="Q29" s="96"/>
      <c r="R29" s="96"/>
      <c r="S29" s="96"/>
      <c r="T29" s="96" t="s">
        <v>13</v>
      </c>
      <c r="U29" s="259"/>
      <c r="V29" s="96"/>
      <c r="W29" s="96"/>
      <c r="X29" s="96"/>
      <c r="Y29" s="96"/>
      <c r="Z29" s="96"/>
      <c r="AA29" s="96" t="s">
        <v>11</v>
      </c>
      <c r="AB29" s="96"/>
      <c r="AC29" s="96"/>
      <c r="AD29" s="96"/>
      <c r="AE29" s="96"/>
      <c r="AF29" s="96"/>
      <c r="AG29" s="96"/>
      <c r="AH29" s="96"/>
      <c r="AI29" s="96"/>
      <c r="AK29" s="151">
        <f t="shared" si="0"/>
        <v>0</v>
      </c>
      <c r="AL29" s="35">
        <f t="shared" si="1"/>
        <v>2</v>
      </c>
      <c r="AM29" s="35">
        <f t="shared" si="2"/>
        <v>0</v>
      </c>
      <c r="AN29" s="47">
        <f t="shared" si="3"/>
        <v>1</v>
      </c>
      <c r="AO29" s="36">
        <f t="shared" si="4"/>
        <v>0</v>
      </c>
      <c r="AP29" s="37">
        <f t="shared" si="5"/>
        <v>3</v>
      </c>
      <c r="AQ29" s="37" t="s">
        <v>25</v>
      </c>
      <c r="AR29" s="38">
        <v>16</v>
      </c>
      <c r="AS29" s="39">
        <f t="shared" si="6"/>
        <v>0.1875</v>
      </c>
    </row>
    <row r="30" s="105" customFormat="1" ht="20.15" customHeight="1" spans="1:45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96"/>
      <c r="F30" s="96"/>
      <c r="G30" s="96"/>
      <c r="H30" s="96"/>
      <c r="I30" s="96" t="s">
        <v>13</v>
      </c>
      <c r="J30" s="96"/>
      <c r="K30" s="96"/>
      <c r="L30" s="96"/>
      <c r="M30" s="96"/>
      <c r="N30" s="96"/>
      <c r="O30" s="96"/>
      <c r="P30" s="96" t="s">
        <v>12</v>
      </c>
      <c r="Q30" s="96"/>
      <c r="R30" s="96"/>
      <c r="S30" s="96"/>
      <c r="T30" s="96"/>
      <c r="U30" s="259"/>
      <c r="V30" s="96"/>
      <c r="W30" s="96"/>
      <c r="X30" s="96"/>
      <c r="Y30" s="96"/>
      <c r="Z30" s="96" t="s">
        <v>11</v>
      </c>
      <c r="AA30" s="96" t="s">
        <v>11</v>
      </c>
      <c r="AB30" s="96"/>
      <c r="AC30" s="96"/>
      <c r="AD30" s="96"/>
      <c r="AE30" s="96"/>
      <c r="AF30" s="96"/>
      <c r="AG30" s="96"/>
      <c r="AH30" s="96"/>
      <c r="AI30" s="96"/>
      <c r="AK30" s="151">
        <f t="shared" si="0"/>
        <v>0</v>
      </c>
      <c r="AL30" s="35">
        <f t="shared" si="1"/>
        <v>2</v>
      </c>
      <c r="AM30" s="35">
        <f t="shared" si="2"/>
        <v>1</v>
      </c>
      <c r="AN30" s="35">
        <f t="shared" si="3"/>
        <v>1</v>
      </c>
      <c r="AO30" s="36">
        <f t="shared" si="4"/>
        <v>0</v>
      </c>
      <c r="AP30" s="37">
        <f t="shared" si="5"/>
        <v>4</v>
      </c>
      <c r="AQ30" s="52" t="s">
        <v>18</v>
      </c>
      <c r="AR30" s="38">
        <v>16</v>
      </c>
      <c r="AS30" s="39">
        <f t="shared" si="6"/>
        <v>0.25</v>
      </c>
    </row>
    <row r="31" s="105" customFormat="1" ht="20.15" customHeight="1" spans="1:45">
      <c r="A31" s="68">
        <v>20</v>
      </c>
      <c r="B31" s="154" t="s">
        <v>39</v>
      </c>
      <c r="C31" s="150" t="s">
        <v>16</v>
      </c>
      <c r="D31" s="149" t="str">
        <f>VLOOKUP(B31,'[1]MASTER DATA 2025'!$C$3:$E$279,3,0)</f>
        <v>0Tahun9 Bulan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259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K31" s="151">
        <f t="shared" si="0"/>
        <v>0</v>
      </c>
      <c r="AL31" s="35">
        <f t="shared" si="1"/>
        <v>0</v>
      </c>
      <c r="AM31" s="36">
        <f t="shared" si="2"/>
        <v>0</v>
      </c>
      <c r="AN31" s="36">
        <f t="shared" si="3"/>
        <v>0</v>
      </c>
      <c r="AO31" s="36">
        <f t="shared" si="4"/>
        <v>0</v>
      </c>
      <c r="AP31" s="37">
        <f t="shared" si="5"/>
        <v>0</v>
      </c>
      <c r="AQ31" s="37"/>
      <c r="AR31" s="38">
        <v>16</v>
      </c>
      <c r="AS31" s="39">
        <f t="shared" si="6"/>
        <v>0</v>
      </c>
    </row>
    <row r="32" s="105" customFormat="1" ht="20.15" customHeight="1" spans="1:45">
      <c r="A32" s="68">
        <v>21</v>
      </c>
      <c r="B32" s="154" t="s">
        <v>41</v>
      </c>
      <c r="C32" s="150" t="s">
        <v>16</v>
      </c>
      <c r="D32" s="149" t="str">
        <f>VLOOKUP(B32,'[1]MASTER DATA 2025'!$C$3:$E$279,3,0)</f>
        <v>0Tahun2 Bulan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259"/>
      <c r="V32" s="96"/>
      <c r="W32" s="96"/>
      <c r="X32" s="96"/>
      <c r="Y32" s="96"/>
      <c r="Z32" s="96"/>
      <c r="AA32" s="96"/>
      <c r="AB32" s="96"/>
      <c r="AC32" s="96"/>
      <c r="AD32" s="96"/>
      <c r="AE32" s="96" t="s">
        <v>13</v>
      </c>
      <c r="AF32" s="96"/>
      <c r="AG32" s="96"/>
      <c r="AH32" s="96"/>
      <c r="AI32" s="96"/>
      <c r="AK32" s="151">
        <f t="shared" si="0"/>
        <v>0</v>
      </c>
      <c r="AL32" s="35">
        <f t="shared" si="1"/>
        <v>0</v>
      </c>
      <c r="AM32" s="35">
        <f t="shared" si="2"/>
        <v>0</v>
      </c>
      <c r="AN32" s="36">
        <f t="shared" si="3"/>
        <v>1</v>
      </c>
      <c r="AO32" s="36">
        <f t="shared" si="4"/>
        <v>0</v>
      </c>
      <c r="AP32" s="37">
        <f t="shared" si="5"/>
        <v>1</v>
      </c>
      <c r="AQ32" s="37" t="s">
        <v>18</v>
      </c>
      <c r="AR32" s="38">
        <v>16</v>
      </c>
      <c r="AS32" s="39">
        <f t="shared" si="6"/>
        <v>0.0625</v>
      </c>
    </row>
    <row r="33" s="105" customFormat="1" ht="20.15" customHeight="1" spans="1:45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259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K33" s="151">
        <f t="shared" si="0"/>
        <v>0</v>
      </c>
      <c r="AL33" s="35">
        <f t="shared" si="1"/>
        <v>0</v>
      </c>
      <c r="AM33" s="36">
        <f t="shared" si="2"/>
        <v>0</v>
      </c>
      <c r="AN33" s="36">
        <f t="shared" si="3"/>
        <v>0</v>
      </c>
      <c r="AO33" s="36">
        <f t="shared" si="4"/>
        <v>0</v>
      </c>
      <c r="AP33" s="37">
        <f t="shared" si="5"/>
        <v>0</v>
      </c>
      <c r="AQ33" s="37"/>
      <c r="AR33" s="38">
        <v>16</v>
      </c>
      <c r="AS33" s="39">
        <f t="shared" si="6"/>
        <v>0</v>
      </c>
    </row>
    <row r="34" s="105" customFormat="1" ht="20.15" customHeight="1" spans="1:45">
      <c r="A34" s="68">
        <v>23</v>
      </c>
      <c r="B34" s="157" t="s">
        <v>44</v>
      </c>
      <c r="C34" s="150" t="s">
        <v>16</v>
      </c>
      <c r="D34" s="149" t="str">
        <f>VLOOKUP(B34,'[1]MASTER DATA 2025'!$C$3:$E$279,3,0)</f>
        <v>2Tahun3 Bulan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259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K34" s="151">
        <f t="shared" si="0"/>
        <v>0</v>
      </c>
      <c r="AL34" s="35">
        <f t="shared" si="1"/>
        <v>0</v>
      </c>
      <c r="AM34" s="35">
        <f t="shared" si="2"/>
        <v>0</v>
      </c>
      <c r="AN34" s="36">
        <f t="shared" si="3"/>
        <v>0</v>
      </c>
      <c r="AO34" s="36">
        <f t="shared" si="4"/>
        <v>0</v>
      </c>
      <c r="AP34" s="37">
        <f t="shared" si="5"/>
        <v>0</v>
      </c>
      <c r="AQ34" s="37"/>
      <c r="AR34" s="38">
        <v>16</v>
      </c>
      <c r="AS34" s="39">
        <f t="shared" si="6"/>
        <v>0</v>
      </c>
    </row>
    <row r="35" s="105" customFormat="1" ht="20.15" customHeight="1" spans="1:45">
      <c r="A35" s="68">
        <v>24</v>
      </c>
      <c r="B35" s="149" t="s">
        <v>117</v>
      </c>
      <c r="C35" s="150" t="s">
        <v>16</v>
      </c>
      <c r="D35" s="149" t="str">
        <f>VLOOKUP(B35,'[1]MASTER DATA 2025'!$C$3:$E$279,3,0)</f>
        <v>2Tahun8 Bulan</v>
      </c>
      <c r="E35" s="96"/>
      <c r="F35" s="96" t="s">
        <v>11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259"/>
      <c r="V35" s="96"/>
      <c r="W35" s="96"/>
      <c r="X35" s="96"/>
      <c r="Y35" s="96" t="s">
        <v>13</v>
      </c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K35" s="151">
        <f t="shared" si="0"/>
        <v>0</v>
      </c>
      <c r="AL35" s="35">
        <f t="shared" si="1"/>
        <v>1</v>
      </c>
      <c r="AM35" s="36">
        <f t="shared" si="2"/>
        <v>0</v>
      </c>
      <c r="AN35" s="36">
        <f t="shared" si="3"/>
        <v>1</v>
      </c>
      <c r="AO35" s="36">
        <f t="shared" si="4"/>
        <v>0</v>
      </c>
      <c r="AP35" s="37">
        <f t="shared" si="5"/>
        <v>2</v>
      </c>
      <c r="AQ35" s="52" t="s">
        <v>18</v>
      </c>
      <c r="AR35" s="38">
        <v>16</v>
      </c>
      <c r="AS35" s="39">
        <f t="shared" si="6"/>
        <v>0.125</v>
      </c>
    </row>
    <row r="36" s="105" customFormat="1" ht="20.15" customHeight="1" spans="1:45">
      <c r="A36" s="68">
        <v>25</v>
      </c>
      <c r="B36" s="153" t="s">
        <v>46</v>
      </c>
      <c r="C36" s="150" t="s">
        <v>16</v>
      </c>
      <c r="D36" s="149" t="str">
        <f>VLOOKUP(B36,'[1]MASTER DATA 2025'!$C$3:$E$279,3,0)</f>
        <v>0Tahun3 Bulan</v>
      </c>
      <c r="E36" s="96"/>
      <c r="F36" s="96"/>
      <c r="G36" s="96" t="s">
        <v>13</v>
      </c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259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K36" s="151">
        <f t="shared" si="0"/>
        <v>0</v>
      </c>
      <c r="AL36" s="35">
        <f t="shared" si="1"/>
        <v>0</v>
      </c>
      <c r="AM36" s="35">
        <f t="shared" si="2"/>
        <v>0</v>
      </c>
      <c r="AN36" s="35">
        <f t="shared" si="3"/>
        <v>1</v>
      </c>
      <c r="AO36" s="36">
        <f t="shared" si="4"/>
        <v>0</v>
      </c>
      <c r="AP36" s="37">
        <f t="shared" si="5"/>
        <v>1</v>
      </c>
      <c r="AQ36" s="37" t="s">
        <v>25</v>
      </c>
      <c r="AR36" s="38">
        <v>16</v>
      </c>
      <c r="AS36" s="39">
        <f t="shared" si="6"/>
        <v>0.0625</v>
      </c>
    </row>
    <row r="37" s="105" customFormat="1" ht="20.15" customHeight="1" spans="1:45">
      <c r="A37" s="68">
        <v>26</v>
      </c>
      <c r="B37" s="149" t="s">
        <v>47</v>
      </c>
      <c r="C37" s="150" t="s">
        <v>16</v>
      </c>
      <c r="D37" s="149" t="str">
        <f>VLOOKUP(B37,'[1]MASTER DATA 2025'!$C$3:$E$279,3,0)</f>
        <v>2Tahun8 Bulan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259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K37" s="151">
        <f t="shared" si="0"/>
        <v>0</v>
      </c>
      <c r="AL37" s="35">
        <f t="shared" si="1"/>
        <v>0</v>
      </c>
      <c r="AM37" s="36">
        <f t="shared" si="2"/>
        <v>0</v>
      </c>
      <c r="AN37" s="36">
        <f t="shared" si="3"/>
        <v>0</v>
      </c>
      <c r="AO37" s="36">
        <f t="shared" si="4"/>
        <v>0</v>
      </c>
      <c r="AP37" s="37">
        <f t="shared" si="5"/>
        <v>0</v>
      </c>
      <c r="AQ37" s="37"/>
      <c r="AR37" s="38">
        <v>16</v>
      </c>
      <c r="AS37" s="39">
        <f t="shared" si="6"/>
        <v>0</v>
      </c>
    </row>
    <row r="38" s="105" customFormat="1" ht="20.15" customHeight="1" spans="1:45">
      <c r="A38" s="68">
        <v>27</v>
      </c>
      <c r="B38" s="149" t="s">
        <v>48</v>
      </c>
      <c r="C38" s="150" t="s">
        <v>16</v>
      </c>
      <c r="D38" s="149" t="str">
        <f>VLOOKUP(B38,'[1]MASTER DATA 2025'!$C$3:$E$279,3,0)</f>
        <v>0Tahun9 Bulan</v>
      </c>
      <c r="E38" s="96"/>
      <c r="F38" s="96"/>
      <c r="G38" s="96"/>
      <c r="H38" s="96"/>
      <c r="I38" s="96"/>
      <c r="J38" s="96"/>
      <c r="K38" s="96"/>
      <c r="L38" s="96"/>
      <c r="M38" s="96" t="s">
        <v>13</v>
      </c>
      <c r="N38" s="96"/>
      <c r="O38" s="96"/>
      <c r="P38" s="96"/>
      <c r="Q38" s="96"/>
      <c r="R38" s="96"/>
      <c r="S38" s="96"/>
      <c r="T38" s="96"/>
      <c r="U38" s="259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 t="s">
        <v>13</v>
      </c>
      <c r="AH38" s="96"/>
      <c r="AI38" s="96"/>
      <c r="AK38" s="151">
        <f t="shared" si="0"/>
        <v>0</v>
      </c>
      <c r="AL38" s="35">
        <f t="shared" si="1"/>
        <v>0</v>
      </c>
      <c r="AM38" s="35">
        <f t="shared" si="2"/>
        <v>0</v>
      </c>
      <c r="AN38" s="47">
        <f t="shared" si="3"/>
        <v>2</v>
      </c>
      <c r="AO38" s="36">
        <f t="shared" si="4"/>
        <v>0</v>
      </c>
      <c r="AP38" s="37">
        <f t="shared" si="5"/>
        <v>2</v>
      </c>
      <c r="AQ38" s="37" t="s">
        <v>25</v>
      </c>
      <c r="AR38" s="38">
        <v>16</v>
      </c>
      <c r="AS38" s="39">
        <f t="shared" si="6"/>
        <v>0.125</v>
      </c>
    </row>
    <row r="39" s="105" customFormat="1" ht="20.15" customHeight="1" spans="1:45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96" t="s">
        <v>13</v>
      </c>
      <c r="F39" s="96"/>
      <c r="G39" s="96"/>
      <c r="H39" s="96"/>
      <c r="I39" s="96"/>
      <c r="J39" s="96"/>
      <c r="K39" s="96" t="s">
        <v>11</v>
      </c>
      <c r="L39" s="96"/>
      <c r="M39" s="96"/>
      <c r="N39" s="96"/>
      <c r="O39" s="96"/>
      <c r="P39" s="96"/>
      <c r="Q39" s="96"/>
      <c r="R39" s="96"/>
      <c r="S39" s="96"/>
      <c r="T39" s="96" t="s">
        <v>13</v>
      </c>
      <c r="U39" s="259"/>
      <c r="V39" s="96"/>
      <c r="W39" s="96"/>
      <c r="X39" s="96"/>
      <c r="Y39" s="96"/>
      <c r="Z39" s="96"/>
      <c r="AA39" s="96"/>
      <c r="AB39" s="96"/>
      <c r="AC39" s="96"/>
      <c r="AD39" s="96" t="s">
        <v>13</v>
      </c>
      <c r="AE39" s="96"/>
      <c r="AF39" s="96"/>
      <c r="AG39" s="96" t="s">
        <v>13</v>
      </c>
      <c r="AH39" s="96" t="s">
        <v>13</v>
      </c>
      <c r="AI39" s="96"/>
      <c r="AK39" s="151">
        <f t="shared" si="0"/>
        <v>0</v>
      </c>
      <c r="AL39" s="35">
        <f t="shared" si="1"/>
        <v>1</v>
      </c>
      <c r="AM39" s="36">
        <f t="shared" si="2"/>
        <v>0</v>
      </c>
      <c r="AN39" s="35">
        <f t="shared" si="3"/>
        <v>5</v>
      </c>
      <c r="AO39" s="36">
        <f t="shared" si="4"/>
        <v>0</v>
      </c>
      <c r="AP39" s="37">
        <f t="shared" si="5"/>
        <v>6</v>
      </c>
      <c r="AQ39" s="49" t="s">
        <v>118</v>
      </c>
      <c r="AR39" s="38">
        <v>16</v>
      </c>
      <c r="AS39" s="39">
        <f t="shared" si="6"/>
        <v>0.375</v>
      </c>
    </row>
    <row r="40" s="105" customFormat="1" ht="20.15" customHeight="1" spans="1:45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259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K40" s="151">
        <f t="shared" si="0"/>
        <v>0</v>
      </c>
      <c r="AL40" s="35">
        <f t="shared" si="1"/>
        <v>0</v>
      </c>
      <c r="AM40" s="36">
        <f t="shared" si="2"/>
        <v>0</v>
      </c>
      <c r="AN40" s="36">
        <f t="shared" si="3"/>
        <v>0</v>
      </c>
      <c r="AO40" s="36">
        <f t="shared" si="4"/>
        <v>0</v>
      </c>
      <c r="AP40" s="128">
        <f t="shared" si="5"/>
        <v>0</v>
      </c>
      <c r="AQ40" s="52"/>
      <c r="AR40" s="38">
        <v>16</v>
      </c>
      <c r="AS40" s="72">
        <f t="shared" si="6"/>
        <v>0</v>
      </c>
    </row>
    <row r="41" s="105" customFormat="1" ht="20.15" customHeight="1" spans="1:45">
      <c r="A41" s="68">
        <v>30</v>
      </c>
      <c r="B41" s="154" t="s">
        <v>51</v>
      </c>
      <c r="C41" s="150" t="s">
        <v>16</v>
      </c>
      <c r="D41" s="149" t="str">
        <f>VLOOKUP(B41,'[1]MASTER DATA 2025'!$C$3:$E$279,3,0)</f>
        <v>0Tahun9 Bulan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 t="s">
        <v>11</v>
      </c>
      <c r="R41" s="96"/>
      <c r="S41" s="96"/>
      <c r="T41" s="96"/>
      <c r="U41" s="259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K41" s="151">
        <f t="shared" si="0"/>
        <v>0</v>
      </c>
      <c r="AL41" s="35">
        <f t="shared" si="1"/>
        <v>1</v>
      </c>
      <c r="AM41" s="36">
        <f t="shared" si="2"/>
        <v>0</v>
      </c>
      <c r="AN41" s="36">
        <f t="shared" si="3"/>
        <v>0</v>
      </c>
      <c r="AO41" s="36">
        <f t="shared" si="4"/>
        <v>0</v>
      </c>
      <c r="AP41" s="37">
        <f t="shared" si="5"/>
        <v>1</v>
      </c>
      <c r="AQ41" s="37" t="s">
        <v>25</v>
      </c>
      <c r="AR41" s="38">
        <v>26</v>
      </c>
      <c r="AS41" s="39">
        <f t="shared" si="6"/>
        <v>0.0384615384615385</v>
      </c>
    </row>
    <row r="42" s="105" customFormat="1" ht="20.15" customHeight="1" spans="1:45">
      <c r="A42" s="68">
        <v>31</v>
      </c>
      <c r="B42" s="154" t="s">
        <v>52</v>
      </c>
      <c r="C42" s="150" t="s">
        <v>16</v>
      </c>
      <c r="D42" s="149" t="str">
        <f>VLOOKUP(B42,'[1]MASTER DATA 2025'!$C$3:$E$279,3,0)</f>
        <v>2Tahun3 Bulan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259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K42" s="151">
        <f t="shared" si="0"/>
        <v>0</v>
      </c>
      <c r="AL42" s="35">
        <f t="shared" si="1"/>
        <v>0</v>
      </c>
      <c r="AM42" s="36">
        <f t="shared" si="2"/>
        <v>0</v>
      </c>
      <c r="AN42" s="36">
        <f t="shared" si="3"/>
        <v>0</v>
      </c>
      <c r="AO42" s="36">
        <f t="shared" si="4"/>
        <v>0</v>
      </c>
      <c r="AP42" s="37">
        <f t="shared" si="5"/>
        <v>0</v>
      </c>
      <c r="AQ42" s="37"/>
      <c r="AR42" s="38">
        <v>26</v>
      </c>
      <c r="AS42" s="39">
        <f t="shared" si="6"/>
        <v>0</v>
      </c>
    </row>
    <row r="43" s="105" customFormat="1" ht="20.15" customHeight="1" spans="1:45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 t="s">
        <v>11</v>
      </c>
      <c r="Q43" s="96"/>
      <c r="R43" s="96" t="s">
        <v>13</v>
      </c>
      <c r="S43" s="96" t="s">
        <v>11</v>
      </c>
      <c r="T43" s="96" t="s">
        <v>11</v>
      </c>
      <c r="U43" s="259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K43" s="151">
        <f t="shared" si="0"/>
        <v>0</v>
      </c>
      <c r="AL43" s="35">
        <f t="shared" si="1"/>
        <v>3</v>
      </c>
      <c r="AM43" s="36">
        <f t="shared" si="2"/>
        <v>0</v>
      </c>
      <c r="AN43" s="36">
        <f t="shared" si="3"/>
        <v>1</v>
      </c>
      <c r="AO43" s="36">
        <f t="shared" si="4"/>
        <v>0</v>
      </c>
      <c r="AP43" s="37">
        <f t="shared" si="5"/>
        <v>4</v>
      </c>
      <c r="AQ43" s="37" t="s">
        <v>25</v>
      </c>
      <c r="AR43" s="38">
        <v>26</v>
      </c>
      <c r="AS43" s="39">
        <f t="shared" si="6"/>
        <v>0.153846153846154</v>
      </c>
    </row>
    <row r="44" s="105" customFormat="1" ht="20.15" customHeight="1" spans="1:45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259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K44" s="151">
        <f t="shared" si="0"/>
        <v>0</v>
      </c>
      <c r="AL44" s="35">
        <f t="shared" si="1"/>
        <v>0</v>
      </c>
      <c r="AM44" s="36">
        <f t="shared" si="2"/>
        <v>0</v>
      </c>
      <c r="AN44" s="36">
        <f t="shared" si="3"/>
        <v>0</v>
      </c>
      <c r="AO44" s="36">
        <f t="shared" si="4"/>
        <v>0</v>
      </c>
      <c r="AP44" s="37">
        <f t="shared" si="5"/>
        <v>0</v>
      </c>
      <c r="AQ44" s="37"/>
      <c r="AR44" s="38">
        <v>26</v>
      </c>
      <c r="AS44" s="39">
        <f t="shared" si="6"/>
        <v>0</v>
      </c>
    </row>
    <row r="45" s="105" customFormat="1" ht="20.15" customHeight="1" spans="1:45">
      <c r="A45" s="68">
        <v>34</v>
      </c>
      <c r="B45" s="158" t="s">
        <v>55</v>
      </c>
      <c r="C45" s="150" t="s">
        <v>16</v>
      </c>
      <c r="D45" s="149" t="str">
        <f>VLOOKUP(B45,'[1]MASTER DATA 2025'!$C$3:$E$279,3,0)</f>
        <v>2Tahun1 Bulan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259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K45" s="151">
        <f t="shared" si="0"/>
        <v>0</v>
      </c>
      <c r="AL45" s="35">
        <f t="shared" si="1"/>
        <v>0</v>
      </c>
      <c r="AM45" s="36">
        <f t="shared" si="2"/>
        <v>0</v>
      </c>
      <c r="AN45" s="36">
        <f t="shared" si="3"/>
        <v>0</v>
      </c>
      <c r="AO45" s="36">
        <f t="shared" si="4"/>
        <v>0</v>
      </c>
      <c r="AP45" s="37">
        <f t="shared" si="5"/>
        <v>0</v>
      </c>
      <c r="AQ45" s="37"/>
      <c r="AR45" s="38">
        <v>26</v>
      </c>
      <c r="AS45" s="39">
        <f t="shared" si="6"/>
        <v>0</v>
      </c>
    </row>
    <row r="46" s="105" customFormat="1" ht="20.15" customHeight="1" spans="1:45">
      <c r="A46" s="68">
        <v>35</v>
      </c>
      <c r="B46" s="154" t="s">
        <v>56</v>
      </c>
      <c r="C46" s="150" t="s">
        <v>16</v>
      </c>
      <c r="D46" s="149" t="str">
        <f>VLOOKUP(B46,'[1]MASTER DATA 2025'!$C$3:$E$279,3,0)</f>
        <v>0Tahun11 Bulan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259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K46" s="151">
        <f t="shared" si="0"/>
        <v>0</v>
      </c>
      <c r="AL46" s="35">
        <f t="shared" si="1"/>
        <v>0</v>
      </c>
      <c r="AM46" s="36">
        <f t="shared" si="2"/>
        <v>0</v>
      </c>
      <c r="AN46" s="36">
        <f t="shared" si="3"/>
        <v>0</v>
      </c>
      <c r="AO46" s="36">
        <f t="shared" si="4"/>
        <v>0</v>
      </c>
      <c r="AP46" s="37">
        <f t="shared" si="5"/>
        <v>0</v>
      </c>
      <c r="AQ46" s="37"/>
      <c r="AR46" s="38">
        <v>26</v>
      </c>
      <c r="AS46" s="39">
        <f t="shared" si="6"/>
        <v>0</v>
      </c>
    </row>
    <row r="47" s="105" customFormat="1" ht="20.15" customHeight="1" spans="1:45">
      <c r="A47" s="68">
        <v>36</v>
      </c>
      <c r="B47" s="159" t="s">
        <v>57</v>
      </c>
      <c r="C47" s="150" t="s">
        <v>16</v>
      </c>
      <c r="D47" s="149" t="str">
        <f>VLOOKUP(B47,'[1]MASTER DATA 2025'!$C$3:$E$279,3,0)</f>
        <v>0Tahun2 Bulan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259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K47" s="151">
        <f t="shared" si="0"/>
        <v>0</v>
      </c>
      <c r="AL47" s="35">
        <f t="shared" si="1"/>
        <v>0</v>
      </c>
      <c r="AM47" s="36">
        <f t="shared" si="2"/>
        <v>0</v>
      </c>
      <c r="AN47" s="36">
        <f t="shared" si="3"/>
        <v>0</v>
      </c>
      <c r="AO47" s="36">
        <f t="shared" si="4"/>
        <v>0</v>
      </c>
      <c r="AP47" s="37">
        <f t="shared" si="5"/>
        <v>0</v>
      </c>
      <c r="AQ47" s="52"/>
      <c r="AR47" s="38">
        <v>26</v>
      </c>
      <c r="AS47" s="39">
        <f t="shared" si="6"/>
        <v>0</v>
      </c>
    </row>
    <row r="48" s="105" customFormat="1" ht="19.5" customHeight="1" spans="1:45">
      <c r="A48" s="68">
        <v>37</v>
      </c>
      <c r="B48" s="149" t="s">
        <v>58</v>
      </c>
      <c r="C48" s="150" t="s">
        <v>59</v>
      </c>
      <c r="D48" s="149" t="str">
        <f>VLOOKUP(B48,'[1]MASTER DATA 2025'!$C$3:$E$279,3,0)</f>
        <v>1Tahun3 Bulan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 t="s">
        <v>13</v>
      </c>
      <c r="R48" s="96"/>
      <c r="S48" s="96"/>
      <c r="T48" s="96"/>
      <c r="U48" s="259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 t="s">
        <v>13</v>
      </c>
      <c r="AK48" s="151">
        <f t="shared" si="0"/>
        <v>0</v>
      </c>
      <c r="AL48" s="35">
        <f t="shared" si="1"/>
        <v>0</v>
      </c>
      <c r="AM48" s="36">
        <f t="shared" si="2"/>
        <v>0</v>
      </c>
      <c r="AN48" s="35">
        <f t="shared" si="3"/>
        <v>2</v>
      </c>
      <c r="AO48" s="36">
        <f t="shared" si="4"/>
        <v>0</v>
      </c>
      <c r="AP48" s="37">
        <f t="shared" si="5"/>
        <v>2</v>
      </c>
      <c r="AQ48" s="37" t="s">
        <v>25</v>
      </c>
      <c r="AR48" s="38">
        <v>26</v>
      </c>
      <c r="AS48" s="39">
        <f t="shared" si="6"/>
        <v>0.0769230769230769</v>
      </c>
    </row>
    <row r="49" s="105" customFormat="1" ht="19.5" customHeight="1" spans="1:45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259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K49" s="151">
        <f t="shared" si="0"/>
        <v>0</v>
      </c>
      <c r="AL49" s="36">
        <f t="shared" si="1"/>
        <v>0</v>
      </c>
      <c r="AM49" s="36">
        <f t="shared" si="2"/>
        <v>0</v>
      </c>
      <c r="AN49" s="36">
        <f t="shared" si="3"/>
        <v>0</v>
      </c>
      <c r="AO49" s="36">
        <f t="shared" si="4"/>
        <v>0</v>
      </c>
      <c r="AP49" s="37">
        <f t="shared" si="5"/>
        <v>0</v>
      </c>
      <c r="AQ49" s="37"/>
      <c r="AR49" s="38">
        <v>26</v>
      </c>
      <c r="AS49" s="39">
        <f t="shared" si="6"/>
        <v>0</v>
      </c>
    </row>
    <row r="50" s="105" customFormat="1" ht="19.5" customHeight="1" spans="1:45">
      <c r="A50" s="68">
        <v>39</v>
      </c>
      <c r="B50" s="161" t="s">
        <v>62</v>
      </c>
      <c r="C50" s="150" t="s">
        <v>16</v>
      </c>
      <c r="D50" s="149" t="str">
        <f>VLOOKUP(B50,'[1]MASTER DATA 2025'!$C$3:$E$279,3,0)</f>
        <v>3Tahun8 Bulan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259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 t="s">
        <v>13</v>
      </c>
      <c r="AH50" s="96"/>
      <c r="AI50" s="96"/>
      <c r="AK50" s="151">
        <f t="shared" si="0"/>
        <v>0</v>
      </c>
      <c r="AL50" s="35">
        <f t="shared" si="1"/>
        <v>0</v>
      </c>
      <c r="AM50" s="36">
        <f t="shared" si="2"/>
        <v>0</v>
      </c>
      <c r="AN50" s="36">
        <f t="shared" si="3"/>
        <v>1</v>
      </c>
      <c r="AO50" s="36">
        <f t="shared" si="4"/>
        <v>0</v>
      </c>
      <c r="AP50" s="37">
        <f t="shared" si="5"/>
        <v>1</v>
      </c>
      <c r="AQ50" s="37" t="s">
        <v>25</v>
      </c>
      <c r="AR50" s="38">
        <v>26</v>
      </c>
      <c r="AS50" s="39">
        <f t="shared" si="6"/>
        <v>0.0384615384615385</v>
      </c>
    </row>
    <row r="51" s="105" customFormat="1" ht="19.5" customHeight="1" spans="1:45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259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K51" s="151">
        <f t="shared" si="0"/>
        <v>0</v>
      </c>
      <c r="AL51" s="35">
        <f t="shared" si="1"/>
        <v>0</v>
      </c>
      <c r="AM51" s="35">
        <f t="shared" si="2"/>
        <v>0</v>
      </c>
      <c r="AN51" s="36">
        <f t="shared" si="3"/>
        <v>0</v>
      </c>
      <c r="AO51" s="36">
        <f t="shared" si="4"/>
        <v>0</v>
      </c>
      <c r="AP51" s="37">
        <f t="shared" si="5"/>
        <v>0</v>
      </c>
      <c r="AQ51" s="37"/>
      <c r="AR51" s="38">
        <v>26</v>
      </c>
      <c r="AS51" s="39">
        <f t="shared" si="6"/>
        <v>0</v>
      </c>
    </row>
    <row r="52" s="105" customFormat="1" ht="19.5" customHeight="1" spans="1:45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96"/>
      <c r="F52" s="96"/>
      <c r="G52" s="96"/>
      <c r="H52" s="96"/>
      <c r="I52" s="96" t="s">
        <v>12</v>
      </c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259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K52" s="151">
        <f t="shared" si="0"/>
        <v>0</v>
      </c>
      <c r="AL52" s="35">
        <f t="shared" si="1"/>
        <v>0</v>
      </c>
      <c r="AM52" s="36">
        <f t="shared" si="2"/>
        <v>1</v>
      </c>
      <c r="AN52" s="36">
        <f t="shared" si="3"/>
        <v>0</v>
      </c>
      <c r="AO52" s="36">
        <f t="shared" si="4"/>
        <v>0</v>
      </c>
      <c r="AP52" s="37">
        <f t="shared" si="5"/>
        <v>1</v>
      </c>
      <c r="AQ52" s="37"/>
      <c r="AR52" s="38">
        <v>26</v>
      </c>
      <c r="AS52" s="39">
        <f t="shared" si="6"/>
        <v>0.0384615384615385</v>
      </c>
    </row>
    <row r="53" s="105" customFormat="1" ht="19.5" customHeight="1" spans="1:45">
      <c r="A53" s="68">
        <v>42</v>
      </c>
      <c r="B53" s="219" t="s">
        <v>65</v>
      </c>
      <c r="C53" s="150" t="s">
        <v>16</v>
      </c>
      <c r="D53" s="149" t="str">
        <f>VLOOKUP(B53,'[1]MASTER DATA 2025'!$C$3:$E$279,3,0)</f>
        <v>0Tahun7 Bulan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259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K53" s="151">
        <f t="shared" si="0"/>
        <v>0</v>
      </c>
      <c r="AL53" s="35">
        <f t="shared" si="1"/>
        <v>0</v>
      </c>
      <c r="AM53" s="36">
        <f t="shared" si="2"/>
        <v>0</v>
      </c>
      <c r="AN53" s="36">
        <f t="shared" si="3"/>
        <v>0</v>
      </c>
      <c r="AO53" s="36">
        <f t="shared" si="4"/>
        <v>0</v>
      </c>
      <c r="AP53" s="37">
        <f t="shared" si="5"/>
        <v>0</v>
      </c>
      <c r="AQ53" s="37"/>
      <c r="AR53" s="38">
        <v>26</v>
      </c>
      <c r="AS53" s="39">
        <f t="shared" si="6"/>
        <v>0</v>
      </c>
    </row>
    <row r="54" s="105" customFormat="1" ht="19.5" customHeight="1" spans="1:45">
      <c r="A54" s="68">
        <v>43</v>
      </c>
      <c r="B54" s="163" t="s">
        <v>66</v>
      </c>
      <c r="C54" s="150" t="s">
        <v>16</v>
      </c>
      <c r="D54" s="149" t="str">
        <f>VLOOKUP(B54,'[1]MASTER DATA 2025'!$C$3:$E$279,3,0)</f>
        <v>0Tahun2 Bulan</v>
      </c>
      <c r="E54" s="96"/>
      <c r="F54" s="96"/>
      <c r="G54" s="96"/>
      <c r="H54" s="96"/>
      <c r="I54" s="96"/>
      <c r="J54" s="96"/>
      <c r="K54" s="96"/>
      <c r="L54" s="96"/>
      <c r="M54" s="96" t="s">
        <v>13</v>
      </c>
      <c r="N54" s="96"/>
      <c r="O54" s="96"/>
      <c r="P54" s="96"/>
      <c r="Q54" s="96"/>
      <c r="R54" s="96"/>
      <c r="S54" s="96"/>
      <c r="T54" s="96" t="s">
        <v>11</v>
      </c>
      <c r="U54" s="259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K54" s="151">
        <f t="shared" si="0"/>
        <v>0</v>
      </c>
      <c r="AL54" s="35">
        <f t="shared" si="1"/>
        <v>1</v>
      </c>
      <c r="AM54" s="35">
        <f t="shared" si="2"/>
        <v>0</v>
      </c>
      <c r="AN54" s="47">
        <f t="shared" si="3"/>
        <v>1</v>
      </c>
      <c r="AO54" s="36">
        <f t="shared" si="4"/>
        <v>0</v>
      </c>
      <c r="AP54" s="37">
        <f t="shared" si="5"/>
        <v>2</v>
      </c>
      <c r="AQ54" s="52" t="s">
        <v>18</v>
      </c>
      <c r="AR54" s="38">
        <v>26</v>
      </c>
      <c r="AS54" s="39">
        <f t="shared" si="6"/>
        <v>0.0769230769230769</v>
      </c>
    </row>
    <row r="55" s="105" customFormat="1" ht="19.5" customHeight="1" spans="1:45">
      <c r="A55" s="68">
        <v>44</v>
      </c>
      <c r="B55" s="219" t="s">
        <v>67</v>
      </c>
      <c r="C55" s="150" t="s">
        <v>16</v>
      </c>
      <c r="D55" s="149" t="str">
        <f>VLOOKUP(B55,'[1]MASTER DATA 2025'!$C$3:$E$279,3,0)</f>
        <v>1Tahun3 Bulan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259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K55" s="151">
        <f t="shared" si="0"/>
        <v>0</v>
      </c>
      <c r="AL55" s="35">
        <f t="shared" si="1"/>
        <v>0</v>
      </c>
      <c r="AM55" s="36">
        <f t="shared" si="2"/>
        <v>0</v>
      </c>
      <c r="AN55" s="36">
        <f t="shared" si="3"/>
        <v>0</v>
      </c>
      <c r="AO55" s="36">
        <f t="shared" si="4"/>
        <v>0</v>
      </c>
      <c r="AP55" s="37">
        <f t="shared" si="5"/>
        <v>0</v>
      </c>
      <c r="AQ55" s="37"/>
      <c r="AR55" s="38">
        <v>26</v>
      </c>
      <c r="AS55" s="39">
        <f t="shared" si="6"/>
        <v>0</v>
      </c>
    </row>
    <row r="56" s="105" customFormat="1" ht="19.5" customHeight="1" spans="1:45">
      <c r="A56" s="68">
        <v>45</v>
      </c>
      <c r="B56" s="219" t="s">
        <v>68</v>
      </c>
      <c r="C56" s="150" t="s">
        <v>16</v>
      </c>
      <c r="D56" s="149" t="str">
        <f>VLOOKUP(B56,'[1]MASTER DATA 2025'!$C$3:$E$279,3,0)</f>
        <v>0Tahun2 Bulan</v>
      </c>
      <c r="E56" s="96"/>
      <c r="F56" s="96"/>
      <c r="G56" s="96"/>
      <c r="H56" s="96"/>
      <c r="I56" s="96"/>
      <c r="J56" s="96" t="s">
        <v>13</v>
      </c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259"/>
      <c r="V56" s="96"/>
      <c r="W56" s="96" t="s">
        <v>11</v>
      </c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K56" s="151">
        <f t="shared" si="0"/>
        <v>0</v>
      </c>
      <c r="AL56" s="35">
        <f t="shared" si="1"/>
        <v>1</v>
      </c>
      <c r="AM56" s="36">
        <f t="shared" si="2"/>
        <v>0</v>
      </c>
      <c r="AN56" s="35">
        <f t="shared" si="3"/>
        <v>1</v>
      </c>
      <c r="AO56" s="36">
        <f t="shared" si="4"/>
        <v>0</v>
      </c>
      <c r="AP56" s="37">
        <f t="shared" si="5"/>
        <v>2</v>
      </c>
      <c r="AQ56" s="37" t="s">
        <v>25</v>
      </c>
      <c r="AR56" s="38">
        <v>26</v>
      </c>
      <c r="AS56" s="39">
        <f t="shared" si="6"/>
        <v>0.0769230769230769</v>
      </c>
    </row>
    <row r="57" s="105" customFormat="1" ht="19.5" customHeight="1" spans="1:45">
      <c r="A57" s="68">
        <v>46</v>
      </c>
      <c r="B57" s="219" t="s">
        <v>69</v>
      </c>
      <c r="C57" s="150" t="s">
        <v>16</v>
      </c>
      <c r="D57" s="149" t="str">
        <f>VLOOKUP(B57,'[1]MASTER DATA 2025'!$C$3:$E$279,3,0)</f>
        <v>0Tahun11 Bulan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259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K57" s="151">
        <f t="shared" si="0"/>
        <v>0</v>
      </c>
      <c r="AL57" s="35">
        <f t="shared" si="1"/>
        <v>0</v>
      </c>
      <c r="AM57" s="36">
        <f t="shared" si="2"/>
        <v>0</v>
      </c>
      <c r="AN57" s="36">
        <f t="shared" si="3"/>
        <v>0</v>
      </c>
      <c r="AO57" s="36">
        <f t="shared" si="4"/>
        <v>0</v>
      </c>
      <c r="AP57" s="37">
        <f t="shared" si="5"/>
        <v>0</v>
      </c>
      <c r="AQ57" s="37"/>
      <c r="AR57" s="38">
        <v>26</v>
      </c>
      <c r="AS57" s="39">
        <f t="shared" si="6"/>
        <v>0</v>
      </c>
    </row>
    <row r="58" s="105" customFormat="1" ht="19.5" customHeight="1" spans="1:45">
      <c r="A58" s="68">
        <v>47</v>
      </c>
      <c r="B58" s="219" t="s">
        <v>70</v>
      </c>
      <c r="C58" s="150" t="s">
        <v>59</v>
      </c>
      <c r="D58" s="149" t="str">
        <f>VLOOKUP(B58,'[1]MASTER DATA 2025'!$C$3:$E$279,3,0)</f>
        <v>1Tahun2 Bulan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 t="s">
        <v>13</v>
      </c>
      <c r="U58" s="259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K58" s="151">
        <f t="shared" si="0"/>
        <v>0</v>
      </c>
      <c r="AL58" s="35">
        <f t="shared" si="1"/>
        <v>0</v>
      </c>
      <c r="AM58" s="36">
        <f t="shared" si="2"/>
        <v>0</v>
      </c>
      <c r="AN58" s="36">
        <f t="shared" si="3"/>
        <v>1</v>
      </c>
      <c r="AO58" s="36">
        <f t="shared" si="4"/>
        <v>0</v>
      </c>
      <c r="AP58" s="37">
        <f t="shared" si="5"/>
        <v>1</v>
      </c>
      <c r="AQ58" s="37" t="s">
        <v>25</v>
      </c>
      <c r="AR58" s="38">
        <v>26</v>
      </c>
      <c r="AS58" s="39">
        <f t="shared" si="6"/>
        <v>0.0384615384615385</v>
      </c>
    </row>
    <row r="59" s="105" customFormat="1" ht="19.5" customHeight="1" spans="1:45">
      <c r="A59" s="68">
        <v>48</v>
      </c>
      <c r="B59" s="219" t="s">
        <v>71</v>
      </c>
      <c r="C59" s="150" t="s">
        <v>59</v>
      </c>
      <c r="D59" s="149" t="str">
        <f>VLOOKUP(B59,'[1]MASTER DATA 2025'!$C$3:$E$279,3,0)</f>
        <v>0Tahun5 Bulan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259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 t="s">
        <v>12</v>
      </c>
      <c r="AH59" s="96"/>
      <c r="AI59" s="96"/>
      <c r="AK59" s="151">
        <f t="shared" si="0"/>
        <v>0</v>
      </c>
      <c r="AL59" s="35">
        <f t="shared" si="1"/>
        <v>0</v>
      </c>
      <c r="AM59" s="36">
        <f t="shared" si="2"/>
        <v>1</v>
      </c>
      <c r="AN59" s="36">
        <f t="shared" si="3"/>
        <v>0</v>
      </c>
      <c r="AO59" s="36">
        <f t="shared" si="4"/>
        <v>0</v>
      </c>
      <c r="AP59" s="37">
        <f t="shared" si="5"/>
        <v>1</v>
      </c>
      <c r="AQ59" s="37" t="s">
        <v>25</v>
      </c>
      <c r="AR59" s="38">
        <v>26</v>
      </c>
      <c r="AS59" s="39">
        <f t="shared" si="6"/>
        <v>0.0384615384615385</v>
      </c>
    </row>
    <row r="60" s="105" customFormat="1" ht="19.5" customHeight="1" spans="1:45">
      <c r="A60" s="68">
        <v>49</v>
      </c>
      <c r="B60" s="221" t="s">
        <v>72</v>
      </c>
      <c r="C60" s="163" t="s">
        <v>16</v>
      </c>
      <c r="D60" s="149" t="str">
        <f>VLOOKUP(B60,'[1]MASTER DATA 2025'!$C$3:$E$279,3,0)</f>
        <v>0Tahun3 Bulan</v>
      </c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259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K60" s="151">
        <f t="shared" si="0"/>
        <v>0</v>
      </c>
      <c r="AL60" s="35">
        <f t="shared" si="1"/>
        <v>0</v>
      </c>
      <c r="AM60" s="36">
        <f t="shared" si="2"/>
        <v>0</v>
      </c>
      <c r="AN60" s="36">
        <f t="shared" si="3"/>
        <v>0</v>
      </c>
      <c r="AO60" s="36">
        <f t="shared" si="4"/>
        <v>0</v>
      </c>
      <c r="AP60" s="37">
        <f t="shared" si="5"/>
        <v>0</v>
      </c>
      <c r="AQ60" s="37"/>
      <c r="AR60" s="38">
        <v>26</v>
      </c>
      <c r="AS60" s="39">
        <f t="shared" si="6"/>
        <v>0</v>
      </c>
    </row>
    <row r="61" s="105" customFormat="1" ht="19.5" customHeight="1" spans="1:45">
      <c r="A61" s="68">
        <v>50</v>
      </c>
      <c r="B61" s="219" t="s">
        <v>73</v>
      </c>
      <c r="C61" s="150" t="s">
        <v>16</v>
      </c>
      <c r="D61" s="149" t="str">
        <f>VLOOKUP(B61,'[1]MASTER DATA 2025'!$C$3:$E$279,3,0)</f>
        <v>2Tahun1 Bulan</v>
      </c>
      <c r="E61" s="96"/>
      <c r="F61" s="96"/>
      <c r="G61" s="96"/>
      <c r="H61" s="96"/>
      <c r="I61" s="96"/>
      <c r="J61" s="96"/>
      <c r="K61" s="96"/>
      <c r="L61" s="96" t="s">
        <v>13</v>
      </c>
      <c r="M61" s="96"/>
      <c r="N61" s="96"/>
      <c r="O61" s="96"/>
      <c r="P61" s="96"/>
      <c r="Q61" s="96"/>
      <c r="R61" s="96"/>
      <c r="S61" s="96"/>
      <c r="T61" s="96"/>
      <c r="U61" s="259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K61" s="151">
        <f t="shared" si="0"/>
        <v>0</v>
      </c>
      <c r="AL61" s="35">
        <f t="shared" si="1"/>
        <v>0</v>
      </c>
      <c r="AM61" s="36">
        <f t="shared" si="2"/>
        <v>0</v>
      </c>
      <c r="AN61" s="35">
        <f t="shared" si="3"/>
        <v>1</v>
      </c>
      <c r="AO61" s="36">
        <f t="shared" si="4"/>
        <v>0</v>
      </c>
      <c r="AP61" s="37">
        <f t="shared" si="5"/>
        <v>1</v>
      </c>
      <c r="AQ61" s="37" t="s">
        <v>25</v>
      </c>
      <c r="AR61" s="38">
        <v>26</v>
      </c>
      <c r="AS61" s="39">
        <f t="shared" si="6"/>
        <v>0.0384615384615385</v>
      </c>
    </row>
    <row r="62" s="105" customFormat="1" ht="19.5" customHeight="1" spans="1:45">
      <c r="A62" s="68">
        <v>51</v>
      </c>
      <c r="B62" s="219" t="s">
        <v>74</v>
      </c>
      <c r="C62" s="150" t="s">
        <v>16</v>
      </c>
      <c r="D62" s="149" t="str">
        <f>VLOOKUP(B62,'[1]MASTER DATA 2025'!$C$3:$E$279,3,0)</f>
        <v>0Tahun1 Bulan</v>
      </c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259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K62" s="151">
        <f t="shared" si="0"/>
        <v>0</v>
      </c>
      <c r="AL62" s="35">
        <f t="shared" si="1"/>
        <v>0</v>
      </c>
      <c r="AM62" s="36">
        <f t="shared" si="2"/>
        <v>0</v>
      </c>
      <c r="AN62" s="36">
        <f t="shared" si="3"/>
        <v>0</v>
      </c>
      <c r="AO62" s="36">
        <f t="shared" si="4"/>
        <v>0</v>
      </c>
      <c r="AP62" s="37">
        <f t="shared" si="5"/>
        <v>0</v>
      </c>
      <c r="AQ62" s="37"/>
      <c r="AR62" s="38">
        <v>26</v>
      </c>
      <c r="AS62" s="39">
        <f t="shared" si="6"/>
        <v>0</v>
      </c>
    </row>
    <row r="63" s="105" customFormat="1" ht="19.5" customHeight="1" spans="1:45">
      <c r="A63" s="68">
        <v>52</v>
      </c>
      <c r="B63" s="219" t="s">
        <v>75</v>
      </c>
      <c r="C63" s="150" t="s">
        <v>16</v>
      </c>
      <c r="D63" s="149" t="str">
        <f>VLOOKUP(B63,'[1]MASTER DATA 2025'!$C$3:$E$279,3,0)</f>
        <v>0Tahun1 Bulan</v>
      </c>
      <c r="E63" s="96"/>
      <c r="F63" s="96" t="s">
        <v>11</v>
      </c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 t="s">
        <v>11</v>
      </c>
      <c r="S63" s="96"/>
      <c r="T63" s="96"/>
      <c r="U63" s="259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K63" s="151">
        <f t="shared" si="0"/>
        <v>0</v>
      </c>
      <c r="AL63" s="35">
        <f t="shared" si="1"/>
        <v>2</v>
      </c>
      <c r="AM63" s="36">
        <f t="shared" si="2"/>
        <v>0</v>
      </c>
      <c r="AN63" s="36">
        <f t="shared" si="3"/>
        <v>0</v>
      </c>
      <c r="AO63" s="36">
        <f t="shared" si="4"/>
        <v>0</v>
      </c>
      <c r="AP63" s="37">
        <f t="shared" si="5"/>
        <v>2</v>
      </c>
      <c r="AQ63" s="37" t="s">
        <v>25</v>
      </c>
      <c r="AR63" s="38">
        <v>26</v>
      </c>
      <c r="AS63" s="39">
        <f t="shared" si="6"/>
        <v>0.0769230769230769</v>
      </c>
    </row>
    <row r="64" s="105" customFormat="1" ht="19.5" customHeight="1" spans="1:45">
      <c r="A64" s="68">
        <v>53</v>
      </c>
      <c r="B64" s="219" t="s">
        <v>76</v>
      </c>
      <c r="C64" s="150" t="s">
        <v>59</v>
      </c>
      <c r="D64" s="149" t="str">
        <f>VLOOKUP(B64,'[1]MASTER DATA 2025'!$C$3:$E$279,3,0)</f>
        <v>0Tahun5 Bulan</v>
      </c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259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K64" s="151">
        <f t="shared" si="0"/>
        <v>0</v>
      </c>
      <c r="AL64" s="35">
        <f t="shared" si="1"/>
        <v>0</v>
      </c>
      <c r="AM64" s="36">
        <f t="shared" si="2"/>
        <v>0</v>
      </c>
      <c r="AN64" s="36">
        <f t="shared" si="3"/>
        <v>0</v>
      </c>
      <c r="AO64" s="36">
        <f t="shared" si="4"/>
        <v>0</v>
      </c>
      <c r="AP64" s="37">
        <f t="shared" si="5"/>
        <v>0</v>
      </c>
      <c r="AQ64" s="37"/>
      <c r="AR64" s="38">
        <v>26</v>
      </c>
      <c r="AS64" s="39">
        <f t="shared" si="6"/>
        <v>0</v>
      </c>
    </row>
    <row r="65" s="105" customFormat="1" ht="19.5" customHeight="1" spans="1:45">
      <c r="A65" s="68">
        <v>54</v>
      </c>
      <c r="B65" s="219" t="s">
        <v>77</v>
      </c>
      <c r="C65" s="150" t="s">
        <v>16</v>
      </c>
      <c r="D65" s="149" t="str">
        <f>VLOOKUP(B65,'[1]MASTER DATA 2025'!$C$3:$E$279,3,0)</f>
        <v>0Tahun8 Bulan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259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K65" s="151">
        <f t="shared" si="0"/>
        <v>0</v>
      </c>
      <c r="AL65" s="35">
        <f t="shared" si="1"/>
        <v>0</v>
      </c>
      <c r="AM65" s="36">
        <f t="shared" si="2"/>
        <v>0</v>
      </c>
      <c r="AN65" s="36">
        <f t="shared" si="3"/>
        <v>0</v>
      </c>
      <c r="AO65" s="36">
        <f t="shared" si="4"/>
        <v>0</v>
      </c>
      <c r="AP65" s="37">
        <f t="shared" si="5"/>
        <v>0</v>
      </c>
      <c r="AQ65" s="37"/>
      <c r="AR65" s="38">
        <v>26</v>
      </c>
      <c r="AS65" s="39">
        <f t="shared" si="6"/>
        <v>0</v>
      </c>
    </row>
    <row r="66" s="105" customFormat="1" ht="19.5" customHeight="1" spans="1:45">
      <c r="A66" s="68">
        <v>55</v>
      </c>
      <c r="B66" s="219" t="s">
        <v>78</v>
      </c>
      <c r="C66" s="150" t="s">
        <v>16</v>
      </c>
      <c r="D66" s="149" t="str">
        <f>VLOOKUP(B66,'[1]MASTER DATA 2025'!$C$3:$E$279,3,0)</f>
        <v>3Tahun7 Bulan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259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K66" s="151">
        <f t="shared" si="0"/>
        <v>0</v>
      </c>
      <c r="AL66" s="35">
        <f t="shared" si="1"/>
        <v>0</v>
      </c>
      <c r="AM66" s="36">
        <f t="shared" si="2"/>
        <v>0</v>
      </c>
      <c r="AN66" s="36">
        <f t="shared" si="3"/>
        <v>0</v>
      </c>
      <c r="AO66" s="36">
        <f t="shared" si="4"/>
        <v>0</v>
      </c>
      <c r="AP66" s="37">
        <f t="shared" si="5"/>
        <v>0</v>
      </c>
      <c r="AQ66" s="37"/>
      <c r="AR66" s="38">
        <v>26</v>
      </c>
      <c r="AS66" s="39">
        <f t="shared" si="6"/>
        <v>0</v>
      </c>
    </row>
    <row r="67" s="105" customFormat="1" ht="19.5" customHeight="1" spans="1:45">
      <c r="A67" s="68">
        <v>56</v>
      </c>
      <c r="B67" s="219" t="s">
        <v>79</v>
      </c>
      <c r="C67" s="150" t="s">
        <v>16</v>
      </c>
      <c r="D67" s="149" t="str">
        <f>VLOOKUP(B67,'[1]MASTER DATA 2025'!$C$3:$E$279,3,0)</f>
        <v>1Tahun5 Bulan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259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K67" s="151">
        <f t="shared" si="0"/>
        <v>0</v>
      </c>
      <c r="AL67" s="35">
        <f t="shared" si="1"/>
        <v>0</v>
      </c>
      <c r="AM67" s="36">
        <f t="shared" si="2"/>
        <v>0</v>
      </c>
      <c r="AN67" s="36">
        <f t="shared" si="3"/>
        <v>0</v>
      </c>
      <c r="AO67" s="36">
        <f t="shared" si="4"/>
        <v>0</v>
      </c>
      <c r="AP67" s="37">
        <f t="shared" si="5"/>
        <v>0</v>
      </c>
      <c r="AQ67" s="37"/>
      <c r="AR67" s="38">
        <v>26</v>
      </c>
      <c r="AS67" s="39">
        <f t="shared" si="6"/>
        <v>0</v>
      </c>
    </row>
    <row r="68" s="105" customFormat="1" ht="19.5" customHeight="1" spans="1:45">
      <c r="A68" s="68">
        <v>57</v>
      </c>
      <c r="B68" s="219" t="s">
        <v>80</v>
      </c>
      <c r="C68" s="150" t="s">
        <v>16</v>
      </c>
      <c r="D68" s="149" t="str">
        <f>VLOOKUP(B68,'[1]MASTER DATA 2025'!$C$3:$E$279,3,0)</f>
        <v>0Tahun7 Bulan</v>
      </c>
      <c r="E68" s="96"/>
      <c r="F68" s="96"/>
      <c r="G68" s="96" t="s">
        <v>11</v>
      </c>
      <c r="H68" s="96"/>
      <c r="I68" s="96"/>
      <c r="J68" s="96"/>
      <c r="K68" s="96"/>
      <c r="L68" s="96"/>
      <c r="M68" s="96"/>
      <c r="N68" s="96" t="s">
        <v>13</v>
      </c>
      <c r="O68" s="96"/>
      <c r="P68" s="96"/>
      <c r="Q68" s="96"/>
      <c r="R68" s="96"/>
      <c r="S68" s="96"/>
      <c r="T68" s="96"/>
      <c r="U68" s="259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K68" s="151">
        <f t="shared" si="0"/>
        <v>0</v>
      </c>
      <c r="AL68" s="35">
        <f t="shared" si="1"/>
        <v>1</v>
      </c>
      <c r="AM68" s="35">
        <f t="shared" si="2"/>
        <v>0</v>
      </c>
      <c r="AN68" s="47">
        <f t="shared" si="3"/>
        <v>1</v>
      </c>
      <c r="AO68" s="36">
        <f t="shared" si="4"/>
        <v>0</v>
      </c>
      <c r="AP68" s="37">
        <f t="shared" si="5"/>
        <v>2</v>
      </c>
      <c r="AQ68" s="37" t="s">
        <v>25</v>
      </c>
      <c r="AR68" s="38">
        <v>26</v>
      </c>
      <c r="AS68" s="39">
        <f t="shared" si="6"/>
        <v>0.0769230769230769</v>
      </c>
    </row>
    <row r="69" s="105" customFormat="1" ht="19.5" customHeight="1" spans="1:45">
      <c r="A69" s="68">
        <v>58</v>
      </c>
      <c r="B69" s="219" t="s">
        <v>81</v>
      </c>
      <c r="C69" s="150" t="s">
        <v>16</v>
      </c>
      <c r="D69" s="149" t="str">
        <f>VLOOKUP(B69,'[1]MASTER DATA 2025'!$C$3:$E$279,3,0)</f>
        <v>2Tahun1 Bulan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259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K69" s="151">
        <f t="shared" si="0"/>
        <v>0</v>
      </c>
      <c r="AL69" s="35">
        <f t="shared" si="1"/>
        <v>0</v>
      </c>
      <c r="AM69" s="36">
        <f t="shared" si="2"/>
        <v>0</v>
      </c>
      <c r="AN69" s="36">
        <f t="shared" si="3"/>
        <v>0</v>
      </c>
      <c r="AO69" s="36">
        <f t="shared" si="4"/>
        <v>0</v>
      </c>
      <c r="AP69" s="37">
        <f t="shared" si="5"/>
        <v>0</v>
      </c>
      <c r="AQ69" s="37"/>
      <c r="AR69" s="38">
        <v>26</v>
      </c>
      <c r="AS69" s="39">
        <f t="shared" si="6"/>
        <v>0</v>
      </c>
    </row>
    <row r="70" s="105" customFormat="1" ht="19.5" customHeight="1" spans="1:45">
      <c r="A70" s="68">
        <v>59</v>
      </c>
      <c r="B70" s="219" t="s">
        <v>82</v>
      </c>
      <c r="C70" s="150" t="s">
        <v>16</v>
      </c>
      <c r="D70" s="149" t="str">
        <f>VLOOKUP(B70,'[1]MASTER DATA 2025'!$C$3:$E$279,3,0)</f>
        <v>0Tahun1 Bulan</v>
      </c>
      <c r="E70" s="96"/>
      <c r="F70" s="96"/>
      <c r="G70" s="96"/>
      <c r="H70" s="96"/>
      <c r="I70" s="96"/>
      <c r="J70" s="96"/>
      <c r="K70" s="96"/>
      <c r="L70" s="96"/>
      <c r="M70" s="96"/>
      <c r="N70" s="96" t="s">
        <v>13</v>
      </c>
      <c r="O70" s="96"/>
      <c r="P70" s="96"/>
      <c r="Q70" s="96"/>
      <c r="R70" s="96" t="s">
        <v>12</v>
      </c>
      <c r="S70" s="96"/>
      <c r="T70" s="96"/>
      <c r="U70" s="259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K70" s="151">
        <f t="shared" si="0"/>
        <v>0</v>
      </c>
      <c r="AL70" s="35">
        <f t="shared" si="1"/>
        <v>0</v>
      </c>
      <c r="AM70" s="35">
        <f t="shared" si="2"/>
        <v>1</v>
      </c>
      <c r="AN70" s="47">
        <f t="shared" si="3"/>
        <v>1</v>
      </c>
      <c r="AO70" s="36">
        <f t="shared" si="4"/>
        <v>0</v>
      </c>
      <c r="AP70" s="37">
        <f t="shared" si="5"/>
        <v>2</v>
      </c>
      <c r="AQ70" s="37" t="s">
        <v>25</v>
      </c>
      <c r="AR70" s="38">
        <v>26</v>
      </c>
      <c r="AS70" s="39">
        <f t="shared" si="6"/>
        <v>0.0769230769230769</v>
      </c>
    </row>
    <row r="71" s="105" customFormat="1" ht="19.5" customHeight="1" spans="1:45">
      <c r="A71" s="68">
        <v>60</v>
      </c>
      <c r="B71" s="219" t="s">
        <v>83</v>
      </c>
      <c r="C71" s="150" t="s">
        <v>16</v>
      </c>
      <c r="D71" s="149" t="str">
        <f>VLOOKUP(B71,'[1]MASTER DATA 2025'!$C$3:$E$279,3,0)</f>
        <v>2Tahun1 Bulan</v>
      </c>
      <c r="E71" s="96"/>
      <c r="F71" s="96"/>
      <c r="G71" s="96"/>
      <c r="H71" s="96" t="s">
        <v>12</v>
      </c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259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K71" s="151">
        <f t="shared" si="0"/>
        <v>0</v>
      </c>
      <c r="AL71" s="35">
        <f t="shared" si="1"/>
        <v>0</v>
      </c>
      <c r="AM71" s="36">
        <f t="shared" si="2"/>
        <v>1</v>
      </c>
      <c r="AN71" s="36">
        <f t="shared" si="3"/>
        <v>0</v>
      </c>
      <c r="AO71" s="36">
        <f t="shared" si="4"/>
        <v>0</v>
      </c>
      <c r="AP71" s="37">
        <f t="shared" si="5"/>
        <v>1</v>
      </c>
      <c r="AQ71" s="37"/>
      <c r="AR71" s="38">
        <v>26</v>
      </c>
      <c r="AS71" s="39">
        <f t="shared" si="6"/>
        <v>0.0384615384615385</v>
      </c>
    </row>
    <row r="72" s="105" customFormat="1" ht="19.5" customHeight="1" spans="1:45">
      <c r="A72" s="68">
        <v>61</v>
      </c>
      <c r="B72" s="219" t="s">
        <v>84</v>
      </c>
      <c r="C72" s="150" t="s">
        <v>59</v>
      </c>
      <c r="D72" s="149" t="str">
        <f>VLOOKUP(B72,'[1]MASTER DATA 2025'!$C$3:$E$279,3,0)</f>
        <v>0Tahun7 Bulan</v>
      </c>
      <c r="E72" s="96"/>
      <c r="F72" s="96"/>
      <c r="G72" s="96"/>
      <c r="H72" s="96" t="s">
        <v>11</v>
      </c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259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K72" s="151">
        <f t="shared" si="0"/>
        <v>0</v>
      </c>
      <c r="AL72" s="35">
        <f t="shared" si="1"/>
        <v>1</v>
      </c>
      <c r="AM72" s="36">
        <f t="shared" si="2"/>
        <v>0</v>
      </c>
      <c r="AN72" s="36">
        <f t="shared" si="3"/>
        <v>0</v>
      </c>
      <c r="AO72" s="36">
        <f t="shared" si="4"/>
        <v>0</v>
      </c>
      <c r="AP72" s="37">
        <f t="shared" si="5"/>
        <v>1</v>
      </c>
      <c r="AQ72" s="37"/>
      <c r="AR72" s="38">
        <v>26</v>
      </c>
      <c r="AS72" s="39">
        <f t="shared" si="6"/>
        <v>0.0384615384615385</v>
      </c>
    </row>
    <row r="73" s="105" customFormat="1" ht="19.5" customHeight="1" spans="1:45">
      <c r="A73" s="68">
        <v>62</v>
      </c>
      <c r="B73" s="219" t="s">
        <v>85</v>
      </c>
      <c r="C73" s="150" t="s">
        <v>59</v>
      </c>
      <c r="D73" s="149" t="str">
        <f>VLOOKUP(B73,'[1]MASTER DATA 2025'!$C$3:$E$279,3,0)</f>
        <v>1Tahun3 Bulan</v>
      </c>
      <c r="E73" s="96"/>
      <c r="F73" s="96"/>
      <c r="G73" s="96"/>
      <c r="H73" s="96"/>
      <c r="I73" s="96"/>
      <c r="J73" s="96"/>
      <c r="K73" s="96"/>
      <c r="L73" s="96"/>
      <c r="M73" s="96"/>
      <c r="N73" s="96" t="s">
        <v>11</v>
      </c>
      <c r="O73" s="96"/>
      <c r="P73" s="96" t="s">
        <v>11</v>
      </c>
      <c r="Q73" s="96"/>
      <c r="R73" s="96"/>
      <c r="S73" s="96"/>
      <c r="T73" s="96"/>
      <c r="U73" s="259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K73" s="151">
        <f t="shared" si="0"/>
        <v>0</v>
      </c>
      <c r="AL73" s="35">
        <f t="shared" si="1"/>
        <v>2</v>
      </c>
      <c r="AM73" s="35">
        <f t="shared" si="2"/>
        <v>0</v>
      </c>
      <c r="AN73" s="47">
        <f t="shared" si="3"/>
        <v>0</v>
      </c>
      <c r="AO73" s="36">
        <f t="shared" si="4"/>
        <v>0</v>
      </c>
      <c r="AP73" s="37">
        <f t="shared" si="5"/>
        <v>2</v>
      </c>
      <c r="AQ73" s="37" t="s">
        <v>25</v>
      </c>
      <c r="AR73" s="38">
        <v>26</v>
      </c>
      <c r="AS73" s="39">
        <f t="shared" si="6"/>
        <v>0.0769230769230769</v>
      </c>
    </row>
    <row r="74" s="105" customFormat="1" ht="19.5" customHeight="1" spans="1:45">
      <c r="A74" s="68">
        <v>63</v>
      </c>
      <c r="B74" s="219" t="s">
        <v>86</v>
      </c>
      <c r="C74" s="150" t="s">
        <v>59</v>
      </c>
      <c r="D74" s="149" t="str">
        <f>VLOOKUP(B74,'[1]MASTER DATA 2025'!$C$3:$E$279,3,0)</f>
        <v>2Tahun7 Bulan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259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K74" s="151">
        <f t="shared" si="0"/>
        <v>0</v>
      </c>
      <c r="AL74" s="35">
        <f t="shared" si="1"/>
        <v>0</v>
      </c>
      <c r="AM74" s="35">
        <f t="shared" si="2"/>
        <v>0</v>
      </c>
      <c r="AN74" s="36">
        <f t="shared" si="3"/>
        <v>0</v>
      </c>
      <c r="AO74" s="36">
        <f t="shared" si="4"/>
        <v>0</v>
      </c>
      <c r="AP74" s="37">
        <f t="shared" si="5"/>
        <v>0</v>
      </c>
      <c r="AQ74" s="37"/>
      <c r="AR74" s="38">
        <v>26</v>
      </c>
      <c r="AS74" s="39">
        <f t="shared" si="6"/>
        <v>0</v>
      </c>
    </row>
    <row r="75" s="105" customFormat="1" ht="19.5" customHeight="1" spans="1:45">
      <c r="A75" s="68">
        <v>64</v>
      </c>
      <c r="B75" s="219" t="s">
        <v>119</v>
      </c>
      <c r="C75" s="150" t="s">
        <v>59</v>
      </c>
      <c r="D75" s="149" t="str">
        <f>VLOOKUP(B75,'[1]MASTER DATA 2025'!$C$3:$E$279,3,0)</f>
        <v>0Tahun7 Bulan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 t="s">
        <v>13</v>
      </c>
      <c r="S75" s="96"/>
      <c r="T75" s="96"/>
      <c r="U75" s="259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K75" s="151">
        <f t="shared" si="0"/>
        <v>0</v>
      </c>
      <c r="AL75" s="35">
        <f t="shared" si="1"/>
        <v>0</v>
      </c>
      <c r="AM75" s="36">
        <f t="shared" si="2"/>
        <v>0</v>
      </c>
      <c r="AN75" s="35">
        <f t="shared" si="3"/>
        <v>1</v>
      </c>
      <c r="AO75" s="36">
        <f t="shared" si="4"/>
        <v>0</v>
      </c>
      <c r="AP75" s="37">
        <f t="shared" si="5"/>
        <v>1</v>
      </c>
      <c r="AQ75" s="37" t="s">
        <v>25</v>
      </c>
      <c r="AR75" s="38">
        <v>26</v>
      </c>
      <c r="AS75" s="39">
        <f t="shared" si="6"/>
        <v>0.0384615384615385</v>
      </c>
    </row>
    <row r="76" s="105" customFormat="1" ht="19.5" customHeight="1" spans="1:45">
      <c r="A76" s="68">
        <v>65</v>
      </c>
      <c r="B76" s="219" t="s">
        <v>88</v>
      </c>
      <c r="C76" s="150" t="s">
        <v>16</v>
      </c>
      <c r="D76" s="149" t="str">
        <f>VLOOKUP(B76,'[1]MASTER DATA 2025'!$C$3:$E$279,3,0)</f>
        <v>1Tahun2 Bulan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259"/>
      <c r="V76" s="96"/>
      <c r="W76" s="96"/>
      <c r="X76" s="96"/>
      <c r="Y76" s="96"/>
      <c r="Z76" s="96"/>
      <c r="AA76" s="96" t="s">
        <v>11</v>
      </c>
      <c r="AB76" s="96"/>
      <c r="AC76" s="96"/>
      <c r="AD76" s="96"/>
      <c r="AE76" s="96"/>
      <c r="AF76" s="96"/>
      <c r="AG76" s="96"/>
      <c r="AH76" s="96"/>
      <c r="AI76" s="96"/>
      <c r="AK76" s="151">
        <f t="shared" ref="AK76:AK91" si="7">COUNTIF(E76:AI76,"H")</f>
        <v>0</v>
      </c>
      <c r="AL76" s="35">
        <f t="shared" ref="AL76:AL94" si="8">COUNTIF(E76:AI76,"S")</f>
        <v>1</v>
      </c>
      <c r="AM76" s="36">
        <f t="shared" ref="AM76:AM94" si="9">COUNTIF(E76:AI76,"I")</f>
        <v>0</v>
      </c>
      <c r="AN76" s="36">
        <f t="shared" ref="AN76:AN94" si="10">COUNTIF(E76:AI76,"A")</f>
        <v>0</v>
      </c>
      <c r="AO76" s="36">
        <f t="shared" ref="AO76:AO94" si="11">COUNTIF(E76:AI76,"OFF")</f>
        <v>0</v>
      </c>
      <c r="AP76" s="37">
        <f t="shared" ref="AP76:AP94" si="12">SUM(AK76:AN76)</f>
        <v>1</v>
      </c>
      <c r="AQ76" s="37" t="s">
        <v>25</v>
      </c>
      <c r="AR76" s="38">
        <v>26</v>
      </c>
      <c r="AS76" s="39">
        <f t="shared" ref="AS76:AS92" si="13">AP76/AR76</f>
        <v>0.0384615384615385</v>
      </c>
    </row>
    <row r="77" s="105" customFormat="1" ht="19.5" customHeight="1" spans="1:45">
      <c r="A77" s="68">
        <v>66</v>
      </c>
      <c r="B77" s="219" t="s">
        <v>89</v>
      </c>
      <c r="C77" s="150" t="s">
        <v>16</v>
      </c>
      <c r="D77" s="149" t="str">
        <f>VLOOKUP(B77,'[1]MASTER DATA 2025'!$C$3:$E$279,3,0)</f>
        <v>0Tahun2 Bulan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 t="s">
        <v>13</v>
      </c>
      <c r="S77" s="96"/>
      <c r="T77" s="96"/>
      <c r="U77" s="259"/>
      <c r="V77" s="96"/>
      <c r="W77" s="96"/>
      <c r="X77" s="96"/>
      <c r="Y77" s="96"/>
      <c r="Z77" s="96"/>
      <c r="AA77" s="96"/>
      <c r="AB77" s="96"/>
      <c r="AC77" s="96" t="s">
        <v>13</v>
      </c>
      <c r="AD77" s="96"/>
      <c r="AE77" s="96"/>
      <c r="AF77" s="96"/>
      <c r="AG77" s="96" t="s">
        <v>13</v>
      </c>
      <c r="AH77" s="96"/>
      <c r="AI77" s="96"/>
      <c r="AK77" s="151">
        <f t="shared" si="7"/>
        <v>0</v>
      </c>
      <c r="AL77" s="35">
        <f t="shared" si="8"/>
        <v>0</v>
      </c>
      <c r="AM77" s="36">
        <f t="shared" si="9"/>
        <v>0</v>
      </c>
      <c r="AN77" s="35">
        <f t="shared" si="10"/>
        <v>3</v>
      </c>
      <c r="AO77" s="36">
        <f t="shared" si="11"/>
        <v>0</v>
      </c>
      <c r="AP77" s="37">
        <f t="shared" si="12"/>
        <v>3</v>
      </c>
      <c r="AQ77" s="37" t="s">
        <v>25</v>
      </c>
      <c r="AR77" s="38">
        <v>26</v>
      </c>
      <c r="AS77" s="39">
        <f t="shared" si="13"/>
        <v>0.115384615384615</v>
      </c>
    </row>
    <row r="78" s="105" customFormat="1" ht="19.5" customHeight="1" spans="1:45">
      <c r="A78" s="68">
        <v>67</v>
      </c>
      <c r="B78" s="219" t="s">
        <v>90</v>
      </c>
      <c r="C78" s="150" t="s">
        <v>16</v>
      </c>
      <c r="D78" s="149" t="str">
        <f>VLOOKUP(B78,'[1]MASTER DATA 2025'!$C$3:$E$279,3,0)</f>
        <v>0Tahun7 Bulan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259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K78" s="151">
        <f t="shared" si="7"/>
        <v>0</v>
      </c>
      <c r="AL78" s="35">
        <f t="shared" si="8"/>
        <v>0</v>
      </c>
      <c r="AM78" s="36">
        <f t="shared" si="9"/>
        <v>0</v>
      </c>
      <c r="AN78" s="36">
        <f t="shared" si="10"/>
        <v>0</v>
      </c>
      <c r="AO78" s="36">
        <f t="shared" si="11"/>
        <v>0</v>
      </c>
      <c r="AP78" s="37">
        <f t="shared" si="12"/>
        <v>0</v>
      </c>
      <c r="AQ78" s="37"/>
      <c r="AR78" s="38">
        <v>26</v>
      </c>
      <c r="AS78" s="39">
        <f t="shared" si="13"/>
        <v>0</v>
      </c>
    </row>
    <row r="79" s="105" customFormat="1" ht="19.5" customHeight="1" spans="1:45">
      <c r="A79" s="68">
        <v>68</v>
      </c>
      <c r="B79" s="264" t="s">
        <v>91</v>
      </c>
      <c r="C79" s="150" t="s">
        <v>16</v>
      </c>
      <c r="D79" s="149" t="str">
        <f>VLOOKUP(B79,'[1]MASTER DATA 2025'!$C$3:$E$279,3,0)</f>
        <v>0Tahun7Bulan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259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K79" s="151">
        <f t="shared" si="7"/>
        <v>0</v>
      </c>
      <c r="AL79" s="35">
        <f t="shared" si="8"/>
        <v>0</v>
      </c>
      <c r="AM79" s="36">
        <f t="shared" si="9"/>
        <v>0</v>
      </c>
      <c r="AN79" s="36">
        <f t="shared" si="10"/>
        <v>0</v>
      </c>
      <c r="AO79" s="36">
        <f t="shared" si="11"/>
        <v>0</v>
      </c>
      <c r="AP79" s="37">
        <f t="shared" si="12"/>
        <v>0</v>
      </c>
      <c r="AQ79" s="37"/>
      <c r="AR79" s="38">
        <v>26</v>
      </c>
      <c r="AS79" s="39">
        <f t="shared" si="13"/>
        <v>0</v>
      </c>
    </row>
    <row r="80" s="105" customFormat="1" ht="19.5" customHeight="1" spans="1:45">
      <c r="A80" s="68">
        <v>69</v>
      </c>
      <c r="B80" s="219" t="s">
        <v>92</v>
      </c>
      <c r="C80" s="150" t="s">
        <v>16</v>
      </c>
      <c r="D80" s="149" t="str">
        <f>VLOOKUP(B80,'[1]MASTER DATA 2025'!$C$3:$E$279,3,0)</f>
        <v>0Tahun2 Bulan</v>
      </c>
      <c r="E80" s="96"/>
      <c r="F80" s="96" t="s">
        <v>13</v>
      </c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 t="s">
        <v>13</v>
      </c>
      <c r="S80" s="96"/>
      <c r="T80" s="96"/>
      <c r="U80" s="259" t="s">
        <v>11</v>
      </c>
      <c r="V80" s="96" t="s">
        <v>11</v>
      </c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K80" s="151">
        <f t="shared" si="7"/>
        <v>0</v>
      </c>
      <c r="AL80" s="35">
        <f t="shared" si="8"/>
        <v>2</v>
      </c>
      <c r="AM80" s="36">
        <f t="shared" si="9"/>
        <v>0</v>
      </c>
      <c r="AN80" s="35">
        <f t="shared" si="10"/>
        <v>2</v>
      </c>
      <c r="AO80" s="36">
        <f t="shared" si="11"/>
        <v>0</v>
      </c>
      <c r="AP80" s="37">
        <f t="shared" si="12"/>
        <v>4</v>
      </c>
      <c r="AQ80" s="49" t="s">
        <v>120</v>
      </c>
      <c r="AR80" s="38">
        <v>26</v>
      </c>
      <c r="AS80" s="39">
        <f t="shared" si="13"/>
        <v>0.153846153846154</v>
      </c>
    </row>
    <row r="81" s="105" customFormat="1" ht="19.5" customHeight="1" spans="1:45">
      <c r="A81" s="68">
        <v>70</v>
      </c>
      <c r="B81" s="219" t="s">
        <v>93</v>
      </c>
      <c r="C81" s="150" t="s">
        <v>16</v>
      </c>
      <c r="D81" s="149" t="str">
        <f>VLOOKUP(B81,'[1]MASTER DATA 2025'!$C$3:$E$279,3,0)</f>
        <v>0Tahun2 Bulan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259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K81" s="151">
        <f t="shared" si="7"/>
        <v>0</v>
      </c>
      <c r="AL81" s="35">
        <f t="shared" si="8"/>
        <v>0</v>
      </c>
      <c r="AM81" s="36">
        <f t="shared" si="9"/>
        <v>0</v>
      </c>
      <c r="AN81" s="35">
        <f t="shared" si="10"/>
        <v>0</v>
      </c>
      <c r="AO81" s="36">
        <f t="shared" si="11"/>
        <v>0</v>
      </c>
      <c r="AP81" s="37">
        <f t="shared" si="12"/>
        <v>0</v>
      </c>
      <c r="AQ81" s="37"/>
      <c r="AR81" s="38">
        <v>26</v>
      </c>
      <c r="AS81" s="39">
        <f t="shared" si="13"/>
        <v>0</v>
      </c>
    </row>
    <row r="82" s="105" customFormat="1" ht="19.5" customHeight="1" spans="1:45">
      <c r="A82" s="68">
        <v>71</v>
      </c>
      <c r="B82" s="219" t="s">
        <v>94</v>
      </c>
      <c r="C82" s="150" t="s">
        <v>16</v>
      </c>
      <c r="D82" s="149" t="str">
        <f>VLOOKUP(B82,'[1]MASTER DATA 2025'!$C$3:$E$279,3,0)</f>
        <v>0Tahun2 Bulan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 t="s">
        <v>13</v>
      </c>
      <c r="U82" s="259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K82" s="151">
        <f t="shared" si="7"/>
        <v>0</v>
      </c>
      <c r="AL82" s="35">
        <f t="shared" si="8"/>
        <v>0</v>
      </c>
      <c r="AM82" s="36">
        <f t="shared" si="9"/>
        <v>0</v>
      </c>
      <c r="AN82" s="36">
        <f t="shared" si="10"/>
        <v>1</v>
      </c>
      <c r="AO82" s="36">
        <f t="shared" si="11"/>
        <v>0</v>
      </c>
      <c r="AP82" s="37">
        <f t="shared" si="12"/>
        <v>1</v>
      </c>
      <c r="AQ82" s="37" t="s">
        <v>25</v>
      </c>
      <c r="AR82" s="38">
        <v>26</v>
      </c>
      <c r="AS82" s="39">
        <f t="shared" si="13"/>
        <v>0.0384615384615385</v>
      </c>
    </row>
    <row r="83" s="105" customFormat="1" ht="19.5" customHeight="1" spans="1:45">
      <c r="A83" s="68">
        <v>72</v>
      </c>
      <c r="B83" s="219" t="s">
        <v>95</v>
      </c>
      <c r="C83" s="150" t="s">
        <v>59</v>
      </c>
      <c r="D83" s="149" t="str">
        <f>VLOOKUP(B83,'[1]MASTER DATA 2025'!$C$3:$E$279,3,0)</f>
        <v>1Tahun4 Bulan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259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K83" s="151">
        <f t="shared" si="7"/>
        <v>0</v>
      </c>
      <c r="AL83" s="35">
        <f t="shared" si="8"/>
        <v>0</v>
      </c>
      <c r="AM83" s="36">
        <f t="shared" si="9"/>
        <v>0</v>
      </c>
      <c r="AN83" s="36">
        <f t="shared" si="10"/>
        <v>0</v>
      </c>
      <c r="AO83" s="36">
        <f t="shared" si="11"/>
        <v>0</v>
      </c>
      <c r="AP83" s="37">
        <f t="shared" si="12"/>
        <v>0</v>
      </c>
      <c r="AQ83" s="37"/>
      <c r="AR83" s="38">
        <v>26</v>
      </c>
      <c r="AS83" s="39">
        <f t="shared" si="13"/>
        <v>0</v>
      </c>
    </row>
    <row r="84" s="105" customFormat="1" ht="19.5" customHeight="1" spans="1:45">
      <c r="A84" s="68">
        <v>73</v>
      </c>
      <c r="B84" s="219" t="s">
        <v>96</v>
      </c>
      <c r="C84" s="150" t="s">
        <v>59</v>
      </c>
      <c r="D84" s="149" t="str">
        <f>VLOOKUP(B84,'[1]MASTER DATA 2025'!$C$3:$E$279,3,0)</f>
        <v>2Tahun10 Bulan</v>
      </c>
      <c r="E84" s="96"/>
      <c r="F84" s="96"/>
      <c r="G84" s="96"/>
      <c r="H84" s="96"/>
      <c r="I84" s="96"/>
      <c r="J84" s="96"/>
      <c r="K84" s="96"/>
      <c r="L84" s="96"/>
      <c r="M84" s="96"/>
      <c r="N84" s="96" t="s">
        <v>13</v>
      </c>
      <c r="O84" s="96"/>
      <c r="P84" s="96" t="s">
        <v>11</v>
      </c>
      <c r="Q84" s="96"/>
      <c r="R84" s="96"/>
      <c r="S84" s="96"/>
      <c r="T84" s="96"/>
      <c r="U84" s="259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K84" s="151">
        <f t="shared" si="7"/>
        <v>0</v>
      </c>
      <c r="AL84" s="35">
        <f t="shared" si="8"/>
        <v>1</v>
      </c>
      <c r="AM84" s="35">
        <f t="shared" si="9"/>
        <v>0</v>
      </c>
      <c r="AN84" s="47">
        <f t="shared" si="10"/>
        <v>1</v>
      </c>
      <c r="AO84" s="36">
        <f t="shared" si="11"/>
        <v>0</v>
      </c>
      <c r="AP84" s="37">
        <f t="shared" si="12"/>
        <v>2</v>
      </c>
      <c r="AQ84" s="37" t="s">
        <v>25</v>
      </c>
      <c r="AR84" s="38">
        <v>26</v>
      </c>
      <c r="AS84" s="39">
        <f t="shared" si="13"/>
        <v>0.0769230769230769</v>
      </c>
    </row>
    <row r="85" s="105" customFormat="1" ht="19.5" customHeight="1" spans="1:45">
      <c r="A85" s="68">
        <v>74</v>
      </c>
      <c r="B85" s="219" t="s">
        <v>97</v>
      </c>
      <c r="C85" s="150" t="s">
        <v>59</v>
      </c>
      <c r="D85" s="149" t="str">
        <f>VLOOKUP(B85,'[1]MASTER DATA 2025'!$C$3:$E$279,3,0)</f>
        <v>1Tahun7 Bulan</v>
      </c>
      <c r="E85" s="96"/>
      <c r="F85" s="96"/>
      <c r="G85" s="96"/>
      <c r="H85" s="96"/>
      <c r="I85" s="96"/>
      <c r="J85" s="96"/>
      <c r="K85" s="96"/>
      <c r="L85" s="96"/>
      <c r="M85" s="96"/>
      <c r="N85" s="96" t="s">
        <v>13</v>
      </c>
      <c r="O85" s="96"/>
      <c r="P85" s="96" t="s">
        <v>11</v>
      </c>
      <c r="Q85" s="96"/>
      <c r="R85" s="96"/>
      <c r="S85" s="96"/>
      <c r="T85" s="96"/>
      <c r="U85" s="259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K85" s="151">
        <f t="shared" si="7"/>
        <v>0</v>
      </c>
      <c r="AL85" s="35">
        <f t="shared" si="8"/>
        <v>1</v>
      </c>
      <c r="AM85" s="35">
        <f t="shared" si="9"/>
        <v>0</v>
      </c>
      <c r="AN85" s="47">
        <f t="shared" si="10"/>
        <v>1</v>
      </c>
      <c r="AO85" s="36">
        <f t="shared" si="11"/>
        <v>0</v>
      </c>
      <c r="AP85" s="37">
        <f t="shared" si="12"/>
        <v>2</v>
      </c>
      <c r="AQ85" s="37" t="s">
        <v>25</v>
      </c>
      <c r="AR85" s="38">
        <v>26</v>
      </c>
      <c r="AS85" s="39">
        <f t="shared" si="13"/>
        <v>0.0769230769230769</v>
      </c>
    </row>
    <row r="86" s="105" customFormat="1" ht="19.5" customHeight="1" spans="1:45">
      <c r="A86" s="68">
        <v>75</v>
      </c>
      <c r="B86" s="219" t="s">
        <v>98</v>
      </c>
      <c r="C86" s="150" t="s">
        <v>59</v>
      </c>
      <c r="D86" s="149" t="str">
        <f>VLOOKUP(B86,'[1]MASTER DATA 2025'!$C$3:$E$279,3,0)</f>
        <v>1Tahun3 Bulan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259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K86" s="151">
        <f t="shared" si="7"/>
        <v>0</v>
      </c>
      <c r="AL86" s="35">
        <f t="shared" si="8"/>
        <v>0</v>
      </c>
      <c r="AM86" s="36">
        <f t="shared" si="9"/>
        <v>0</v>
      </c>
      <c r="AN86" s="36">
        <f t="shared" si="10"/>
        <v>0</v>
      </c>
      <c r="AO86" s="36">
        <f t="shared" si="11"/>
        <v>0</v>
      </c>
      <c r="AP86" s="37">
        <f t="shared" si="12"/>
        <v>0</v>
      </c>
      <c r="AQ86" s="37"/>
      <c r="AR86" s="38">
        <v>26</v>
      </c>
      <c r="AS86" s="39">
        <f t="shared" si="13"/>
        <v>0</v>
      </c>
    </row>
    <row r="87" s="105" customFormat="1" ht="19.5" customHeight="1" spans="1:45">
      <c r="A87" s="68">
        <v>76</v>
      </c>
      <c r="B87" s="219" t="s">
        <v>99</v>
      </c>
      <c r="C87" s="150" t="s">
        <v>16</v>
      </c>
      <c r="D87" s="149" t="str">
        <f>VLOOKUP(B87,'[1]MASTER DATA 2025'!$C$3:$E$279,3,0)</f>
        <v>1Tahun4 Bulan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259"/>
      <c r="V87" s="96"/>
      <c r="W87" s="96"/>
      <c r="X87" s="96"/>
      <c r="Y87" s="96"/>
      <c r="Z87" s="96"/>
      <c r="AA87" s="96"/>
      <c r="AB87" s="96"/>
      <c r="AC87" s="96"/>
      <c r="AD87" s="96"/>
      <c r="AE87" s="96" t="s">
        <v>13</v>
      </c>
      <c r="AF87" s="96"/>
      <c r="AG87" s="96"/>
      <c r="AH87" s="96"/>
      <c r="AI87" s="96"/>
      <c r="AK87" s="151">
        <f t="shared" si="7"/>
        <v>0</v>
      </c>
      <c r="AL87" s="35">
        <f t="shared" si="8"/>
        <v>0</v>
      </c>
      <c r="AM87" s="36">
        <f t="shared" si="9"/>
        <v>0</v>
      </c>
      <c r="AN87" s="36">
        <f t="shared" si="10"/>
        <v>1</v>
      </c>
      <c r="AO87" s="36">
        <f t="shared" si="11"/>
        <v>0</v>
      </c>
      <c r="AP87" s="37">
        <f t="shared" si="12"/>
        <v>1</v>
      </c>
      <c r="AQ87" s="38" t="s">
        <v>25</v>
      </c>
      <c r="AR87" s="38">
        <v>26</v>
      </c>
      <c r="AS87" s="39">
        <f t="shared" si="13"/>
        <v>0.0384615384615385</v>
      </c>
    </row>
    <row r="88" s="105" customFormat="1" ht="19.5" customHeight="1" spans="1:45">
      <c r="A88" s="68">
        <v>77</v>
      </c>
      <c r="B88" s="219" t="s">
        <v>100</v>
      </c>
      <c r="C88" s="150" t="s">
        <v>101</v>
      </c>
      <c r="D88" s="149" t="str">
        <f>VLOOKUP(B88,'[1]MASTER DATA 2025'!$C$3:$E$279,3,0)</f>
        <v>1Tahun1 Bulan</v>
      </c>
      <c r="E88" s="96"/>
      <c r="F88" s="96"/>
      <c r="G88" s="96"/>
      <c r="H88" s="96"/>
      <c r="I88" s="96"/>
      <c r="J88" s="96"/>
      <c r="K88" s="96"/>
      <c r="L88" s="96"/>
      <c r="M88" s="96"/>
      <c r="N88" s="96" t="s">
        <v>11</v>
      </c>
      <c r="O88" s="96"/>
      <c r="P88" s="96"/>
      <c r="Q88" s="96"/>
      <c r="R88" s="96"/>
      <c r="S88" s="96"/>
      <c r="T88" s="96"/>
      <c r="U88" s="259"/>
      <c r="V88" s="96"/>
      <c r="W88" s="96"/>
      <c r="X88" s="96"/>
      <c r="Y88" s="96"/>
      <c r="Z88" s="96"/>
      <c r="AA88" s="96"/>
      <c r="AB88" s="96"/>
      <c r="AC88" s="96" t="s">
        <v>13</v>
      </c>
      <c r="AD88" s="96"/>
      <c r="AE88" s="96"/>
      <c r="AF88" s="96"/>
      <c r="AG88" s="96"/>
      <c r="AH88" s="96"/>
      <c r="AI88" s="96"/>
      <c r="AK88" s="151">
        <f t="shared" si="7"/>
        <v>0</v>
      </c>
      <c r="AL88" s="35">
        <f t="shared" si="8"/>
        <v>1</v>
      </c>
      <c r="AM88" s="35">
        <f t="shared" si="9"/>
        <v>0</v>
      </c>
      <c r="AN88" s="47">
        <f t="shared" si="10"/>
        <v>1</v>
      </c>
      <c r="AO88" s="36">
        <f t="shared" si="11"/>
        <v>0</v>
      </c>
      <c r="AP88" s="37">
        <f t="shared" si="12"/>
        <v>2</v>
      </c>
      <c r="AQ88" s="37" t="s">
        <v>25</v>
      </c>
      <c r="AR88" s="38">
        <v>26</v>
      </c>
      <c r="AS88" s="39">
        <f t="shared" si="13"/>
        <v>0.0769230769230769</v>
      </c>
    </row>
    <row r="89" s="105" customFormat="1" ht="19.5" customHeight="1" spans="1:45">
      <c r="A89" s="68">
        <v>78</v>
      </c>
      <c r="B89" s="219" t="s">
        <v>102</v>
      </c>
      <c r="C89" s="150" t="s">
        <v>16</v>
      </c>
      <c r="D89" s="149" t="str">
        <f>VLOOKUP(B89,'[1]MASTER DATA 2025'!$C$3:$E$279,3,0)</f>
        <v>3Tahun9 Bulan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259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K89" s="151">
        <f t="shared" si="7"/>
        <v>0</v>
      </c>
      <c r="AL89" s="35">
        <f t="shared" si="8"/>
        <v>0</v>
      </c>
      <c r="AM89" s="36">
        <f t="shared" si="9"/>
        <v>0</v>
      </c>
      <c r="AN89" s="36">
        <f t="shared" si="10"/>
        <v>0</v>
      </c>
      <c r="AO89" s="36">
        <f t="shared" si="11"/>
        <v>0</v>
      </c>
      <c r="AP89" s="37">
        <f t="shared" si="12"/>
        <v>0</v>
      </c>
      <c r="AQ89" s="37"/>
      <c r="AR89" s="38">
        <v>26</v>
      </c>
      <c r="AS89" s="39">
        <f t="shared" si="13"/>
        <v>0</v>
      </c>
    </row>
    <row r="90" s="105" customFormat="1" ht="19.5" customHeight="1" spans="1:45">
      <c r="A90" s="68">
        <v>79</v>
      </c>
      <c r="B90" s="219" t="s">
        <v>104</v>
      </c>
      <c r="C90" s="150" t="s">
        <v>16</v>
      </c>
      <c r="D90" s="149" t="str">
        <f>VLOOKUP(B90,'[1]MASTER DATA 2025'!$C$3:$E$279,3,0)</f>
        <v>2Tahun10 Bulan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259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K90" s="151">
        <f t="shared" si="7"/>
        <v>0</v>
      </c>
      <c r="AL90" s="35">
        <f t="shared" si="8"/>
        <v>0</v>
      </c>
      <c r="AM90" s="36">
        <f t="shared" si="9"/>
        <v>0</v>
      </c>
      <c r="AN90" s="36">
        <f t="shared" si="10"/>
        <v>0</v>
      </c>
      <c r="AO90" s="36">
        <f t="shared" si="11"/>
        <v>0</v>
      </c>
      <c r="AP90" s="37">
        <f t="shared" si="12"/>
        <v>0</v>
      </c>
      <c r="AQ90" s="37"/>
      <c r="AR90" s="38">
        <v>26</v>
      </c>
      <c r="AS90" s="39">
        <f t="shared" si="13"/>
        <v>0</v>
      </c>
    </row>
    <row r="91" s="105" customFormat="1" ht="19.5" customHeight="1" spans="1:45">
      <c r="A91" s="68">
        <v>80</v>
      </c>
      <c r="B91" s="219" t="s">
        <v>121</v>
      </c>
      <c r="C91" s="150" t="s">
        <v>16</v>
      </c>
      <c r="D91" s="149" t="str">
        <f>VLOOKUP(B91,'[1]MASTER DATA 2025'!$C$3:$E$279,3,0)</f>
        <v>0Tahun5 Bulan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259"/>
      <c r="V91" s="96"/>
      <c r="W91" s="96" t="s">
        <v>13</v>
      </c>
      <c r="X91" s="96" t="s">
        <v>13</v>
      </c>
      <c r="Y91" s="96"/>
      <c r="Z91" s="96"/>
      <c r="AA91" s="96"/>
      <c r="AB91" s="96" t="s">
        <v>13</v>
      </c>
      <c r="AC91" s="96"/>
      <c r="AD91" s="96"/>
      <c r="AE91" s="96"/>
      <c r="AF91" s="96"/>
      <c r="AG91" s="96"/>
      <c r="AH91" s="96"/>
      <c r="AI91" s="96"/>
      <c r="AK91" s="151">
        <f t="shared" si="7"/>
        <v>0</v>
      </c>
      <c r="AL91" s="35">
        <f t="shared" si="8"/>
        <v>0</v>
      </c>
      <c r="AM91" s="36">
        <f t="shared" si="9"/>
        <v>0</v>
      </c>
      <c r="AN91" s="35">
        <f t="shared" si="10"/>
        <v>3</v>
      </c>
      <c r="AO91" s="36">
        <f t="shared" si="11"/>
        <v>0</v>
      </c>
      <c r="AP91" s="37">
        <f t="shared" si="12"/>
        <v>3</v>
      </c>
      <c r="AQ91" s="37" t="s">
        <v>25</v>
      </c>
      <c r="AR91" s="38">
        <v>26</v>
      </c>
      <c r="AS91" s="39">
        <f t="shared" si="13"/>
        <v>0.115384615384615</v>
      </c>
    </row>
    <row r="92" s="105" customFormat="1" ht="19.5" customHeight="1" spans="1:45">
      <c r="A92" s="68">
        <v>81</v>
      </c>
      <c r="B92" s="219" t="s">
        <v>106</v>
      </c>
      <c r="C92" s="150" t="s">
        <v>59</v>
      </c>
      <c r="D92" s="149" t="str">
        <f>VLOOKUP(B92,'[1]MASTER DATA 2025'!$C$3:$E$279,3,0)</f>
        <v>0Tahun8 Bulan</v>
      </c>
      <c r="E92" s="96"/>
      <c r="F92" s="96"/>
      <c r="G92" s="96"/>
      <c r="H92" s="96"/>
      <c r="I92" s="96" t="s">
        <v>11</v>
      </c>
      <c r="J92" s="96"/>
      <c r="K92" s="96"/>
      <c r="L92" s="96"/>
      <c r="M92" s="96"/>
      <c r="N92" s="96"/>
      <c r="O92" s="96"/>
      <c r="P92" s="96"/>
      <c r="Q92" s="96" t="s">
        <v>13</v>
      </c>
      <c r="R92" s="96"/>
      <c r="S92" s="96"/>
      <c r="T92" s="96"/>
      <c r="U92" s="259" t="s">
        <v>13</v>
      </c>
      <c r="V92" s="96" t="s">
        <v>13</v>
      </c>
      <c r="W92" s="96" t="s">
        <v>13</v>
      </c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K92" s="151"/>
      <c r="AL92" s="35">
        <f t="shared" si="8"/>
        <v>1</v>
      </c>
      <c r="AM92" s="36">
        <f t="shared" si="9"/>
        <v>0</v>
      </c>
      <c r="AN92" s="35">
        <f t="shared" si="10"/>
        <v>4</v>
      </c>
      <c r="AO92" s="36">
        <f t="shared" si="11"/>
        <v>0</v>
      </c>
      <c r="AP92" s="37">
        <f t="shared" si="12"/>
        <v>5</v>
      </c>
      <c r="AQ92" s="49" t="s">
        <v>120</v>
      </c>
      <c r="AR92" s="38">
        <v>26</v>
      </c>
      <c r="AS92" s="39">
        <f t="shared" si="13"/>
        <v>0.192307692307692</v>
      </c>
    </row>
    <row r="93" s="105" customFormat="1" ht="19.5" customHeight="1" spans="1:45">
      <c r="A93" s="68">
        <v>82</v>
      </c>
      <c r="B93" s="219" t="s">
        <v>107</v>
      </c>
      <c r="C93" s="150" t="s">
        <v>108</v>
      </c>
      <c r="D93" s="149" t="str">
        <f>VLOOKUP(B93,'[1]MASTER DATA 2025'!$C$3:$E$279,3,0)</f>
        <v>1Tahun3 Bulan</v>
      </c>
      <c r="E93" s="96"/>
      <c r="F93" s="96"/>
      <c r="G93" s="96"/>
      <c r="H93" s="96" t="s">
        <v>13</v>
      </c>
      <c r="I93" s="96" t="s">
        <v>13</v>
      </c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259" t="s">
        <v>13</v>
      </c>
      <c r="V93" s="96"/>
      <c r="W93" s="96"/>
      <c r="X93" s="96" t="s">
        <v>13</v>
      </c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K93" s="151"/>
      <c r="AL93" s="47">
        <f t="shared" si="8"/>
        <v>0</v>
      </c>
      <c r="AM93" s="36">
        <f t="shared" si="9"/>
        <v>0</v>
      </c>
      <c r="AN93" s="35">
        <f t="shared" si="10"/>
        <v>4</v>
      </c>
      <c r="AO93" s="36">
        <f t="shared" si="11"/>
        <v>0</v>
      </c>
      <c r="AP93" s="48">
        <f t="shared" si="12"/>
        <v>4</v>
      </c>
      <c r="AQ93" s="37" t="s">
        <v>25</v>
      </c>
      <c r="AR93" s="38"/>
      <c r="AS93" s="39"/>
    </row>
    <row r="94" s="105" customFormat="1" ht="19.5" customHeight="1" spans="1:45">
      <c r="A94" s="68">
        <v>83</v>
      </c>
      <c r="B94" s="265" t="s">
        <v>109</v>
      </c>
      <c r="C94" s="150" t="s">
        <v>16</v>
      </c>
      <c r="D94" s="149" t="str">
        <f>VLOOKUP(B94,'[1]MASTER DATA 2025'!$C$3:$E$279,3,0)</f>
        <v>0Tahun1 Bulan</v>
      </c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259"/>
      <c r="V94" s="96"/>
      <c r="W94" s="96"/>
      <c r="X94" s="96" t="s">
        <v>12</v>
      </c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 t="s">
        <v>13</v>
      </c>
      <c r="AK94" s="151"/>
      <c r="AL94" s="35">
        <f t="shared" si="8"/>
        <v>0</v>
      </c>
      <c r="AM94" s="35">
        <f t="shared" si="9"/>
        <v>1</v>
      </c>
      <c r="AN94" s="35">
        <f t="shared" si="10"/>
        <v>1</v>
      </c>
      <c r="AO94" s="36">
        <f t="shared" si="11"/>
        <v>0</v>
      </c>
      <c r="AP94" s="37">
        <f t="shared" si="12"/>
        <v>2</v>
      </c>
      <c r="AQ94" s="37" t="s">
        <v>25</v>
      </c>
      <c r="AR94" s="38"/>
      <c r="AS94" s="39"/>
    </row>
    <row r="95" s="105" customFormat="1" ht="19.5" customHeight="1" spans="1:45">
      <c r="A95" s="68">
        <v>84</v>
      </c>
      <c r="B95" s="249" t="s">
        <v>110</v>
      </c>
      <c r="C95" s="164" t="s">
        <v>111</v>
      </c>
      <c r="D95" s="149" t="s">
        <v>112</v>
      </c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259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K95" s="151"/>
      <c r="AL95" s="35"/>
      <c r="AM95" s="36"/>
      <c r="AN95" s="35"/>
      <c r="AO95" s="36"/>
      <c r="AP95" s="37"/>
      <c r="AQ95" s="37"/>
      <c r="AR95" s="38"/>
      <c r="AS95" s="39"/>
    </row>
    <row r="96" s="105" customFormat="1" ht="19.5" customHeight="1" spans="1:45">
      <c r="A96" s="68">
        <v>85</v>
      </c>
      <c r="B96" s="249" t="s">
        <v>113</v>
      </c>
      <c r="C96" s="164" t="s">
        <v>16</v>
      </c>
      <c r="D96" s="149" t="str">
        <f>VLOOKUP(B96,'[1]MASTER DATA 2025'!$C$3:$E$279,3,0)</f>
        <v>0Tahun1 Bulan</v>
      </c>
      <c r="E96" s="96"/>
      <c r="F96" s="96"/>
      <c r="G96" s="96"/>
      <c r="H96" s="96"/>
      <c r="I96" s="96"/>
      <c r="J96" s="96"/>
      <c r="K96" s="96"/>
      <c r="L96" s="96" t="s">
        <v>13</v>
      </c>
      <c r="M96" s="96"/>
      <c r="N96" s="96"/>
      <c r="O96" s="96"/>
      <c r="P96" s="96"/>
      <c r="Q96" s="96"/>
      <c r="R96" s="96"/>
      <c r="S96" s="96"/>
      <c r="T96" s="96"/>
      <c r="U96" s="259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K96" s="151"/>
      <c r="AL96" s="35">
        <f t="shared" ref="AL96:AL134" si="14">COUNTIF(E96:AI96,"S")</f>
        <v>0</v>
      </c>
      <c r="AM96" s="36">
        <f t="shared" ref="AM96:AM134" si="15">COUNTIF(E96:AI96,"I")</f>
        <v>0</v>
      </c>
      <c r="AN96" s="35">
        <f t="shared" ref="AN96:AN134" si="16">COUNTIF(E96:AI96,"A")</f>
        <v>1</v>
      </c>
      <c r="AO96" s="36">
        <f t="shared" ref="AO96:AO131" si="17">COUNTIF(E96:AI96,"OFF")</f>
        <v>0</v>
      </c>
      <c r="AP96" s="37">
        <f t="shared" ref="AP96:AP134" si="18">SUM(AK96:AN96)</f>
        <v>1</v>
      </c>
      <c r="AQ96" s="37" t="s">
        <v>25</v>
      </c>
      <c r="AR96" s="38">
        <v>26</v>
      </c>
      <c r="AS96" s="39">
        <f t="shared" ref="AS96:AS102" si="19">AP96/AR96</f>
        <v>0.0384615384615385</v>
      </c>
    </row>
    <row r="97" s="105" customFormat="1" ht="19.5" customHeight="1" spans="1:45">
      <c r="A97" s="68">
        <v>86</v>
      </c>
      <c r="B97" s="249" t="s">
        <v>114</v>
      </c>
      <c r="C97" s="164" t="s">
        <v>16</v>
      </c>
      <c r="D97" s="149" t="str">
        <f>VLOOKUP(B97,'[1]MASTER DATA 2025'!$C$3:$E$279,3,0)</f>
        <v>0Tahun1 Bulan</v>
      </c>
      <c r="E97" s="96"/>
      <c r="F97" s="96"/>
      <c r="G97" s="96"/>
      <c r="H97" s="96" t="s">
        <v>11</v>
      </c>
      <c r="I97" s="96"/>
      <c r="J97" s="96"/>
      <c r="K97" s="96"/>
      <c r="L97" s="96"/>
      <c r="M97" s="96"/>
      <c r="N97" s="96"/>
      <c r="O97" s="96"/>
      <c r="P97" s="96"/>
      <c r="Q97" s="96"/>
      <c r="R97" s="96" t="s">
        <v>11</v>
      </c>
      <c r="S97" s="96"/>
      <c r="T97" s="96"/>
      <c r="U97" s="259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K97" s="151"/>
      <c r="AL97" s="35">
        <f t="shared" si="14"/>
        <v>2</v>
      </c>
      <c r="AM97" s="36">
        <f t="shared" si="15"/>
        <v>0</v>
      </c>
      <c r="AN97" s="36">
        <f t="shared" si="16"/>
        <v>0</v>
      </c>
      <c r="AO97" s="36">
        <f t="shared" si="17"/>
        <v>0</v>
      </c>
      <c r="AP97" s="37">
        <f t="shared" si="18"/>
        <v>2</v>
      </c>
      <c r="AQ97" s="37" t="s">
        <v>25</v>
      </c>
      <c r="AR97" s="38">
        <v>26</v>
      </c>
      <c r="AS97" s="39">
        <f t="shared" si="19"/>
        <v>0.0769230769230769</v>
      </c>
    </row>
    <row r="98" s="105" customFormat="1" ht="19.5" customHeight="1" spans="1:45">
      <c r="A98" s="68">
        <v>87</v>
      </c>
      <c r="B98" s="249" t="s">
        <v>115</v>
      </c>
      <c r="C98" s="164" t="s">
        <v>16</v>
      </c>
      <c r="D98" s="149" t="str">
        <f>VLOOKUP(B98,'[1]MASTER DATA 2025'!$C$3:$E$279,3,0)</f>
        <v>0Tahun1 Bulan</v>
      </c>
      <c r="E98" s="96"/>
      <c r="F98" s="96"/>
      <c r="G98" s="96"/>
      <c r="H98" s="96"/>
      <c r="I98" s="96"/>
      <c r="J98" s="96" t="s">
        <v>11</v>
      </c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259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K98" s="151"/>
      <c r="AL98" s="35">
        <f t="shared" si="14"/>
        <v>1</v>
      </c>
      <c r="AM98" s="36">
        <f t="shared" si="15"/>
        <v>0</v>
      </c>
      <c r="AN98" s="36">
        <f t="shared" si="16"/>
        <v>0</v>
      </c>
      <c r="AO98" s="36">
        <f t="shared" si="17"/>
        <v>0</v>
      </c>
      <c r="AP98" s="37">
        <f t="shared" si="18"/>
        <v>1</v>
      </c>
      <c r="AQ98" s="37" t="s">
        <v>25</v>
      </c>
      <c r="AR98" s="38">
        <v>26</v>
      </c>
      <c r="AS98" s="39">
        <f t="shared" si="19"/>
        <v>0.0384615384615385</v>
      </c>
    </row>
    <row r="99" s="105" customFormat="1" ht="19.5" customHeight="1" spans="1:45">
      <c r="A99" s="68">
        <v>88</v>
      </c>
      <c r="B99" s="249" t="s">
        <v>122</v>
      </c>
      <c r="C99" s="164" t="s">
        <v>20</v>
      </c>
      <c r="D99" s="149" t="str">
        <f>VLOOKUP(B99,'[1]MASTER DATA 2025'!$C$3:$E$279,3,0)</f>
        <v>0Tahun2 Bulan</v>
      </c>
      <c r="E99" s="96"/>
      <c r="F99" s="96"/>
      <c r="G99" s="96"/>
      <c r="H99" s="96" t="s">
        <v>12</v>
      </c>
      <c r="I99" s="96" t="s">
        <v>12</v>
      </c>
      <c r="J99" s="96"/>
      <c r="K99" s="96"/>
      <c r="L99" s="96"/>
      <c r="M99" s="96"/>
      <c r="N99" s="96" t="s">
        <v>12</v>
      </c>
      <c r="O99" s="96"/>
      <c r="P99" s="96" t="s">
        <v>12</v>
      </c>
      <c r="Q99" s="96"/>
      <c r="R99" s="96"/>
      <c r="S99" s="96"/>
      <c r="T99" s="96"/>
      <c r="U99" s="259"/>
      <c r="V99" s="96"/>
      <c r="W99" s="96"/>
      <c r="X99" s="96"/>
      <c r="Y99" s="96"/>
      <c r="Z99" s="96"/>
      <c r="AA99" s="96"/>
      <c r="AB99" s="96" t="s">
        <v>13</v>
      </c>
      <c r="AC99" s="96"/>
      <c r="AD99" s="96"/>
      <c r="AE99" s="96"/>
      <c r="AF99" s="96"/>
      <c r="AG99" s="96" t="s">
        <v>13</v>
      </c>
      <c r="AH99" s="96"/>
      <c r="AI99" s="96"/>
      <c r="AK99" s="151">
        <f>COUNTIF(E99:AI99,"H")</f>
        <v>0</v>
      </c>
      <c r="AL99" s="35">
        <f t="shared" si="14"/>
        <v>0</v>
      </c>
      <c r="AM99" s="35">
        <f t="shared" si="15"/>
        <v>4</v>
      </c>
      <c r="AN99" s="47">
        <f t="shared" si="16"/>
        <v>2</v>
      </c>
      <c r="AO99" s="36">
        <f t="shared" si="17"/>
        <v>0</v>
      </c>
      <c r="AP99" s="48">
        <f t="shared" si="18"/>
        <v>6</v>
      </c>
      <c r="AQ99" s="49" t="s">
        <v>118</v>
      </c>
      <c r="AR99" s="38">
        <v>26</v>
      </c>
      <c r="AS99" s="39">
        <f t="shared" si="19"/>
        <v>0.230769230769231</v>
      </c>
    </row>
    <row r="100" s="105" customFormat="1" ht="19.5" customHeight="1" spans="1:45">
      <c r="A100" s="68">
        <v>89</v>
      </c>
      <c r="B100" s="265" t="s">
        <v>123</v>
      </c>
      <c r="C100" s="164" t="s">
        <v>124</v>
      </c>
      <c r="D100" s="149"/>
      <c r="E100" s="96"/>
      <c r="F100" s="96"/>
      <c r="G100" s="96"/>
      <c r="H100" s="96" t="s">
        <v>12</v>
      </c>
      <c r="I100" s="96" t="s">
        <v>12</v>
      </c>
      <c r="J100" s="96"/>
      <c r="K100" s="96"/>
      <c r="L100" s="96"/>
      <c r="M100" s="96"/>
      <c r="N100" s="96"/>
      <c r="O100" s="96"/>
      <c r="P100" s="96" t="s">
        <v>12</v>
      </c>
      <c r="Q100" s="96"/>
      <c r="R100" s="96"/>
      <c r="S100" s="96"/>
      <c r="T100" s="96"/>
      <c r="U100" s="259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K100" s="151"/>
      <c r="AL100" s="47">
        <f t="shared" si="14"/>
        <v>0</v>
      </c>
      <c r="AM100" s="35">
        <f t="shared" si="15"/>
        <v>3</v>
      </c>
      <c r="AN100" s="35">
        <f t="shared" si="16"/>
        <v>0</v>
      </c>
      <c r="AO100" s="36">
        <f t="shared" si="17"/>
        <v>0</v>
      </c>
      <c r="AP100" s="48">
        <f t="shared" si="18"/>
        <v>3</v>
      </c>
      <c r="AQ100" s="49" t="s">
        <v>125</v>
      </c>
      <c r="AR100" s="38">
        <v>26</v>
      </c>
      <c r="AS100" s="39">
        <f t="shared" si="19"/>
        <v>0.115384615384615</v>
      </c>
    </row>
    <row r="101" s="105" customFormat="1" ht="19.5" customHeight="1" spans="1:45">
      <c r="A101" s="68">
        <v>90</v>
      </c>
      <c r="B101" s="265" t="s">
        <v>126</v>
      </c>
      <c r="C101" s="164" t="s">
        <v>16</v>
      </c>
      <c r="D101" s="149" t="str">
        <f>VLOOKUP(B101,'[1]MASTER DATA 2025'!$C$3:$E$279,3,0)</f>
        <v>0Tahun7 Bulan</v>
      </c>
      <c r="E101" s="96"/>
      <c r="F101" s="96"/>
      <c r="G101" s="96" t="s">
        <v>11</v>
      </c>
      <c r="H101" s="96"/>
      <c r="I101" s="96"/>
      <c r="J101" s="96" t="s">
        <v>11</v>
      </c>
      <c r="K101" s="96" t="s">
        <v>11</v>
      </c>
      <c r="L101" s="96"/>
      <c r="M101" s="96"/>
      <c r="N101" s="96" t="s">
        <v>13</v>
      </c>
      <c r="O101" s="96"/>
      <c r="P101" s="96"/>
      <c r="Q101" s="96"/>
      <c r="R101" s="96"/>
      <c r="S101" s="96"/>
      <c r="T101" s="96"/>
      <c r="U101" s="259"/>
      <c r="V101" s="96"/>
      <c r="W101" s="96"/>
      <c r="X101" s="96"/>
      <c r="Y101" s="96"/>
      <c r="Z101" s="96"/>
      <c r="AA101" s="96"/>
      <c r="AB101" s="96"/>
      <c r="AC101" s="96"/>
      <c r="AD101" s="96" t="s">
        <v>13</v>
      </c>
      <c r="AE101" s="96"/>
      <c r="AF101" s="96"/>
      <c r="AG101" s="96"/>
      <c r="AH101" s="96"/>
      <c r="AI101" s="96"/>
      <c r="AK101" s="151">
        <f>COUNTIF(E101:AI101,"H")</f>
        <v>0</v>
      </c>
      <c r="AL101" s="35">
        <f t="shared" si="14"/>
        <v>3</v>
      </c>
      <c r="AM101" s="35">
        <f t="shared" si="15"/>
        <v>0</v>
      </c>
      <c r="AN101" s="47">
        <f t="shared" si="16"/>
        <v>2</v>
      </c>
      <c r="AO101" s="36">
        <f t="shared" si="17"/>
        <v>0</v>
      </c>
      <c r="AP101" s="37">
        <f t="shared" si="18"/>
        <v>5</v>
      </c>
      <c r="AQ101" s="49">
        <v>45946</v>
      </c>
      <c r="AR101" s="38">
        <v>26</v>
      </c>
      <c r="AS101" s="39">
        <f t="shared" si="19"/>
        <v>0.192307692307692</v>
      </c>
    </row>
    <row r="102" s="105" customFormat="1" ht="19.5" customHeight="1" spans="1:45">
      <c r="A102" s="68">
        <v>91</v>
      </c>
      <c r="B102" s="265" t="s">
        <v>127</v>
      </c>
      <c r="C102" s="164" t="s">
        <v>61</v>
      </c>
      <c r="D102" s="149" t="str">
        <f>VLOOKUP(B102,'[1]MASTER DATA 2025'!$C$3:$E$279,3,0)</f>
        <v>0Tahun8 Bulan</v>
      </c>
      <c r="E102" s="96"/>
      <c r="F102" s="96"/>
      <c r="G102" s="96"/>
      <c r="H102" s="96" t="s">
        <v>11</v>
      </c>
      <c r="I102" s="96"/>
      <c r="J102" s="96"/>
      <c r="K102" s="96"/>
      <c r="L102" s="96"/>
      <c r="M102" s="96"/>
      <c r="N102" s="96"/>
      <c r="O102" s="96"/>
      <c r="P102" s="96" t="s">
        <v>12</v>
      </c>
      <c r="Q102" s="96" t="s">
        <v>12</v>
      </c>
      <c r="R102" s="96"/>
      <c r="S102" s="96"/>
      <c r="T102" s="96"/>
      <c r="U102" s="259"/>
      <c r="V102" s="96"/>
      <c r="W102" s="96"/>
      <c r="X102" s="96"/>
      <c r="Y102" s="96"/>
      <c r="Z102" s="96"/>
      <c r="AA102" s="96"/>
      <c r="AB102" s="96"/>
      <c r="AC102" s="96"/>
      <c r="AD102" s="96" t="s">
        <v>12</v>
      </c>
      <c r="AE102" s="96" t="s">
        <v>12</v>
      </c>
      <c r="AF102" s="96"/>
      <c r="AG102" s="96"/>
      <c r="AH102" s="96"/>
      <c r="AI102" s="96"/>
      <c r="AK102" s="151"/>
      <c r="AL102" s="47">
        <f t="shared" si="14"/>
        <v>1</v>
      </c>
      <c r="AM102" s="35">
        <f t="shared" si="15"/>
        <v>4</v>
      </c>
      <c r="AN102" s="35">
        <f t="shared" si="16"/>
        <v>0</v>
      </c>
      <c r="AO102" s="36">
        <f t="shared" si="17"/>
        <v>0</v>
      </c>
      <c r="AP102" s="48">
        <f t="shared" si="18"/>
        <v>5</v>
      </c>
      <c r="AQ102" s="81" t="s">
        <v>128</v>
      </c>
      <c r="AR102" s="38">
        <v>26</v>
      </c>
      <c r="AS102" s="39">
        <f t="shared" si="19"/>
        <v>0.192307692307692</v>
      </c>
    </row>
    <row r="103" s="105" customFormat="1" ht="19.5" customHeight="1" spans="1:45">
      <c r="A103" s="68">
        <v>92</v>
      </c>
      <c r="B103" s="265" t="s">
        <v>129</v>
      </c>
      <c r="C103" s="164" t="s">
        <v>61</v>
      </c>
      <c r="D103" s="149" t="str">
        <f>VLOOKUP(B103,'[1]MASTER DATA 2025'!$C$3:$E$279,3,0)</f>
        <v>0Tahun9 Bulan</v>
      </c>
      <c r="E103" s="96"/>
      <c r="F103" s="96"/>
      <c r="G103" s="96"/>
      <c r="H103" s="96" t="s">
        <v>11</v>
      </c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259"/>
      <c r="V103" s="96"/>
      <c r="W103" s="96" t="s">
        <v>13</v>
      </c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K103" s="151"/>
      <c r="AL103" s="35">
        <f t="shared" si="14"/>
        <v>1</v>
      </c>
      <c r="AM103" s="36">
        <f t="shared" si="15"/>
        <v>0</v>
      </c>
      <c r="AN103" s="35">
        <f t="shared" si="16"/>
        <v>1</v>
      </c>
      <c r="AO103" s="36">
        <f t="shared" si="17"/>
        <v>0</v>
      </c>
      <c r="AP103" s="37">
        <f t="shared" si="18"/>
        <v>2</v>
      </c>
      <c r="AQ103" s="37" t="s">
        <v>25</v>
      </c>
      <c r="AR103" s="38"/>
      <c r="AS103" s="39"/>
    </row>
    <row r="104" s="105" customFormat="1" ht="19.5" customHeight="1" spans="1:45">
      <c r="A104" s="68">
        <v>93</v>
      </c>
      <c r="B104" s="265" t="s">
        <v>130</v>
      </c>
      <c r="C104" s="164" t="s">
        <v>131</v>
      </c>
      <c r="D104" s="149" t="str">
        <f>VLOOKUP(B104,'[1]MASTER DATA 2025'!$C$3:$E$279,3,0)</f>
        <v>3Tahun1 Bulan</v>
      </c>
      <c r="E104" s="96"/>
      <c r="F104" s="96"/>
      <c r="G104" s="96"/>
      <c r="H104" s="96"/>
      <c r="I104" s="96"/>
      <c r="J104" s="96" t="s">
        <v>12</v>
      </c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259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K104" s="151"/>
      <c r="AL104" s="35">
        <f t="shared" si="14"/>
        <v>0</v>
      </c>
      <c r="AM104" s="35">
        <f t="shared" si="15"/>
        <v>1</v>
      </c>
      <c r="AN104" s="35">
        <f t="shared" si="16"/>
        <v>0</v>
      </c>
      <c r="AO104" s="36">
        <f t="shared" si="17"/>
        <v>0</v>
      </c>
      <c r="AP104" s="37">
        <f t="shared" si="18"/>
        <v>1</v>
      </c>
      <c r="AQ104" s="37"/>
      <c r="AR104" s="38"/>
      <c r="AS104" s="39"/>
    </row>
    <row r="105" s="105" customFormat="1" ht="19.5" customHeight="1" spans="1:45">
      <c r="A105" s="68">
        <v>94</v>
      </c>
      <c r="B105" s="265" t="s">
        <v>132</v>
      </c>
      <c r="C105" s="164" t="s">
        <v>16</v>
      </c>
      <c r="D105" s="149" t="str">
        <f>VLOOKUP(B105,'[1]MASTER DATA 2025'!$C$3:$E$279,3,0)</f>
        <v>0Tahun1 Bulan</v>
      </c>
      <c r="E105" s="96"/>
      <c r="F105" s="96"/>
      <c r="G105" s="96"/>
      <c r="H105" s="96"/>
      <c r="I105" s="96"/>
      <c r="J105" s="96" t="s">
        <v>13</v>
      </c>
      <c r="K105" s="96"/>
      <c r="L105" s="96"/>
      <c r="M105" s="96"/>
      <c r="N105" s="96"/>
      <c r="O105" s="96"/>
      <c r="P105" s="96"/>
      <c r="Q105" s="96"/>
      <c r="R105" s="96" t="s">
        <v>11</v>
      </c>
      <c r="S105" s="96"/>
      <c r="T105" s="96"/>
      <c r="U105" s="259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K105" s="151"/>
      <c r="AL105" s="35">
        <f t="shared" si="14"/>
        <v>1</v>
      </c>
      <c r="AM105" s="36">
        <f t="shared" si="15"/>
        <v>0</v>
      </c>
      <c r="AN105" s="35">
        <f t="shared" si="16"/>
        <v>1</v>
      </c>
      <c r="AO105" s="36">
        <f t="shared" si="17"/>
        <v>0</v>
      </c>
      <c r="AP105" s="37">
        <f t="shared" si="18"/>
        <v>2</v>
      </c>
      <c r="AQ105" s="37" t="s">
        <v>25</v>
      </c>
      <c r="AR105" s="38">
        <v>26</v>
      </c>
      <c r="AS105" s="39">
        <f t="shared" ref="AS105:AS110" si="20">AP105/AR105</f>
        <v>0.0769230769230769</v>
      </c>
    </row>
    <row r="106" s="105" customFormat="1" ht="19.5" customHeight="1" spans="1:45">
      <c r="A106" s="68">
        <v>95</v>
      </c>
      <c r="B106" s="265" t="s">
        <v>133</v>
      </c>
      <c r="C106" s="164" t="s">
        <v>16</v>
      </c>
      <c r="D106" s="149" t="str">
        <f>VLOOKUP(B106,'[1]MASTER DATA 2025'!$C$3:$E$279,3,0)</f>
        <v>0Tahun2 Bulan</v>
      </c>
      <c r="E106" s="96"/>
      <c r="F106" s="96"/>
      <c r="G106" s="96"/>
      <c r="H106" s="96"/>
      <c r="I106" s="96"/>
      <c r="J106" s="96" t="s">
        <v>11</v>
      </c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259"/>
      <c r="V106" s="96"/>
      <c r="W106" s="96"/>
      <c r="X106" s="96" t="s">
        <v>11</v>
      </c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K106" s="151"/>
      <c r="AL106" s="35">
        <f t="shared" si="14"/>
        <v>2</v>
      </c>
      <c r="AM106" s="36">
        <f t="shared" si="15"/>
        <v>0</v>
      </c>
      <c r="AN106" s="36">
        <f t="shared" si="16"/>
        <v>0</v>
      </c>
      <c r="AO106" s="36">
        <f t="shared" si="17"/>
        <v>0</v>
      </c>
      <c r="AP106" s="37">
        <f t="shared" si="18"/>
        <v>2</v>
      </c>
      <c r="AQ106" s="37" t="s">
        <v>25</v>
      </c>
      <c r="AR106" s="38">
        <v>26</v>
      </c>
      <c r="AS106" s="39">
        <f t="shared" si="20"/>
        <v>0.0769230769230769</v>
      </c>
    </row>
    <row r="107" s="105" customFormat="1" ht="19.5" customHeight="1" spans="1:45">
      <c r="A107" s="68">
        <v>96</v>
      </c>
      <c r="B107" s="265" t="s">
        <v>134</v>
      </c>
      <c r="C107" s="164" t="s">
        <v>16</v>
      </c>
      <c r="D107" s="149" t="str">
        <f>VLOOKUP(B107,'[1]MASTER DATA 2025'!$C$3:$E$279,3,0)</f>
        <v>0Tahun1 Bulan</v>
      </c>
      <c r="E107" s="96"/>
      <c r="F107" s="96"/>
      <c r="G107" s="96"/>
      <c r="H107" s="96"/>
      <c r="I107" s="96"/>
      <c r="J107" s="96"/>
      <c r="K107" s="96"/>
      <c r="L107" s="96" t="s">
        <v>11</v>
      </c>
      <c r="M107" s="96"/>
      <c r="N107" s="96"/>
      <c r="O107" s="96"/>
      <c r="P107" s="96"/>
      <c r="Q107" s="96"/>
      <c r="R107" s="96"/>
      <c r="S107" s="96"/>
      <c r="T107" s="96"/>
      <c r="U107" s="259"/>
      <c r="V107" s="96"/>
      <c r="W107" s="96"/>
      <c r="X107" s="96"/>
      <c r="Y107" s="96" t="s">
        <v>13</v>
      </c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K107" s="151"/>
      <c r="AL107" s="35">
        <f t="shared" si="14"/>
        <v>1</v>
      </c>
      <c r="AM107" s="36">
        <f t="shared" si="15"/>
        <v>0</v>
      </c>
      <c r="AN107" s="36">
        <f t="shared" si="16"/>
        <v>1</v>
      </c>
      <c r="AO107" s="36">
        <f t="shared" si="17"/>
        <v>0</v>
      </c>
      <c r="AP107" s="37">
        <f t="shared" si="18"/>
        <v>2</v>
      </c>
      <c r="AQ107" s="37" t="s">
        <v>25</v>
      </c>
      <c r="AR107" s="38">
        <v>26</v>
      </c>
      <c r="AS107" s="39">
        <f t="shared" si="20"/>
        <v>0.0769230769230769</v>
      </c>
    </row>
    <row r="108" s="105" customFormat="1" ht="19.5" customHeight="1" spans="1:45">
      <c r="A108" s="68">
        <v>97</v>
      </c>
      <c r="B108" s="264" t="s">
        <v>135</v>
      </c>
      <c r="C108" s="164" t="s">
        <v>16</v>
      </c>
      <c r="D108" s="149" t="s">
        <v>136</v>
      </c>
      <c r="E108" s="96"/>
      <c r="F108" s="96"/>
      <c r="G108" s="96"/>
      <c r="H108" s="96"/>
      <c r="I108" s="96"/>
      <c r="J108" s="96"/>
      <c r="K108" s="96"/>
      <c r="L108" s="96" t="s">
        <v>13</v>
      </c>
      <c r="M108" s="96"/>
      <c r="N108" s="96"/>
      <c r="O108" s="96"/>
      <c r="P108" s="96" t="s">
        <v>12</v>
      </c>
      <c r="Q108" s="96"/>
      <c r="R108" s="96"/>
      <c r="S108" s="96"/>
      <c r="T108" s="96"/>
      <c r="U108" s="259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K108" s="151"/>
      <c r="AL108" s="47">
        <f t="shared" si="14"/>
        <v>0</v>
      </c>
      <c r="AM108" s="35">
        <f t="shared" si="15"/>
        <v>1</v>
      </c>
      <c r="AN108" s="35">
        <f t="shared" si="16"/>
        <v>1</v>
      </c>
      <c r="AO108" s="36">
        <f t="shared" si="17"/>
        <v>0</v>
      </c>
      <c r="AP108" s="48">
        <f t="shared" si="18"/>
        <v>2</v>
      </c>
      <c r="AQ108" s="37" t="s">
        <v>25</v>
      </c>
      <c r="AR108" s="38">
        <v>26</v>
      </c>
      <c r="AS108" s="39">
        <f t="shared" si="20"/>
        <v>0.0769230769230769</v>
      </c>
    </row>
    <row r="109" s="105" customFormat="1" ht="19.5" customHeight="1" spans="1:45">
      <c r="A109" s="68">
        <v>98</v>
      </c>
      <c r="B109" s="167" t="s">
        <v>137</v>
      </c>
      <c r="C109" s="164" t="s">
        <v>16</v>
      </c>
      <c r="D109" s="149" t="str">
        <f>VLOOKUP(B109,'[1]MASTER DATA 2025'!$C$3:$E$279,3,0)</f>
        <v>1Tahun7 Bulan</v>
      </c>
      <c r="E109" s="96"/>
      <c r="F109" s="96"/>
      <c r="G109" s="96"/>
      <c r="H109" s="96"/>
      <c r="I109" s="96"/>
      <c r="J109" s="96"/>
      <c r="K109" s="96"/>
      <c r="L109" s="96" t="s">
        <v>12</v>
      </c>
      <c r="M109" s="96"/>
      <c r="N109" s="96"/>
      <c r="O109" s="96"/>
      <c r="P109" s="96"/>
      <c r="Q109" s="96"/>
      <c r="R109" s="96"/>
      <c r="S109" s="96"/>
      <c r="T109" s="96"/>
      <c r="U109" s="259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K109" s="151"/>
      <c r="AL109" s="35">
        <f t="shared" si="14"/>
        <v>0</v>
      </c>
      <c r="AM109" s="35">
        <f t="shared" si="15"/>
        <v>1</v>
      </c>
      <c r="AN109" s="36">
        <f t="shared" si="16"/>
        <v>0</v>
      </c>
      <c r="AO109" s="36">
        <f t="shared" si="17"/>
        <v>0</v>
      </c>
      <c r="AP109" s="37">
        <f t="shared" si="18"/>
        <v>1</v>
      </c>
      <c r="AQ109" s="37" t="s">
        <v>25</v>
      </c>
      <c r="AR109" s="38">
        <v>26</v>
      </c>
      <c r="AS109" s="39">
        <f t="shared" si="20"/>
        <v>0.0384615384615385</v>
      </c>
    </row>
    <row r="110" s="105" customFormat="1" ht="19.5" customHeight="1" spans="1:45">
      <c r="A110" s="68">
        <v>99</v>
      </c>
      <c r="B110" s="167" t="s">
        <v>138</v>
      </c>
      <c r="C110" s="164" t="s">
        <v>16</v>
      </c>
      <c r="D110" s="149" t="str">
        <f>VLOOKUP(B110,'[1]MASTER DATA 2025'!$C$3:$E$279,3,0)</f>
        <v>1Tahun1 Bulan</v>
      </c>
      <c r="E110" s="96"/>
      <c r="F110" s="96"/>
      <c r="G110" s="96"/>
      <c r="H110" s="96"/>
      <c r="I110" s="96"/>
      <c r="J110" s="96"/>
      <c r="K110" s="96"/>
      <c r="L110" s="96"/>
      <c r="M110" s="96" t="s">
        <v>13</v>
      </c>
      <c r="N110" s="96"/>
      <c r="O110" s="96"/>
      <c r="P110" s="96"/>
      <c r="Q110" s="96"/>
      <c r="R110" s="96"/>
      <c r="S110" s="96"/>
      <c r="T110" s="96"/>
      <c r="U110" s="259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K110" s="151"/>
      <c r="AL110" s="35">
        <f t="shared" si="14"/>
        <v>0</v>
      </c>
      <c r="AM110" s="36">
        <f t="shared" si="15"/>
        <v>0</v>
      </c>
      <c r="AN110" s="35">
        <f t="shared" si="16"/>
        <v>1</v>
      </c>
      <c r="AO110" s="36">
        <f t="shared" si="17"/>
        <v>0</v>
      </c>
      <c r="AP110" s="37">
        <f t="shared" si="18"/>
        <v>1</v>
      </c>
      <c r="AQ110" s="37" t="s">
        <v>25</v>
      </c>
      <c r="AR110" s="38">
        <v>26</v>
      </c>
      <c r="AS110" s="39">
        <f t="shared" si="20"/>
        <v>0.0384615384615385</v>
      </c>
    </row>
    <row r="111" s="105" customFormat="1" ht="19.5" customHeight="1" spans="1:45">
      <c r="A111" s="68">
        <v>100</v>
      </c>
      <c r="B111" s="167" t="s">
        <v>139</v>
      </c>
      <c r="C111" s="164" t="s">
        <v>16</v>
      </c>
      <c r="D111" s="149" t="str">
        <f>VLOOKUP(B111,'[1]MASTER DATA 2025'!$C$3:$E$279,3,0)</f>
        <v>0Tahun5 Bulan</v>
      </c>
      <c r="E111" s="96"/>
      <c r="F111" s="96"/>
      <c r="G111" s="96"/>
      <c r="H111" s="96"/>
      <c r="I111" s="96"/>
      <c r="J111" s="96"/>
      <c r="K111" s="96"/>
      <c r="L111" s="96"/>
      <c r="M111" s="96" t="s">
        <v>12</v>
      </c>
      <c r="N111" s="96"/>
      <c r="O111" s="96"/>
      <c r="P111" s="96"/>
      <c r="Q111" s="96"/>
      <c r="R111" s="96"/>
      <c r="S111" s="96"/>
      <c r="T111" s="96"/>
      <c r="U111" s="259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K111" s="151"/>
      <c r="AL111" s="35">
        <f t="shared" si="14"/>
        <v>0</v>
      </c>
      <c r="AM111" s="36">
        <f t="shared" si="15"/>
        <v>1</v>
      </c>
      <c r="AN111" s="35">
        <f t="shared" si="16"/>
        <v>0</v>
      </c>
      <c r="AO111" s="36">
        <f t="shared" si="17"/>
        <v>0</v>
      </c>
      <c r="AP111" s="37">
        <f t="shared" si="18"/>
        <v>1</v>
      </c>
      <c r="AQ111" s="37"/>
      <c r="AR111" s="38"/>
      <c r="AS111" s="39"/>
    </row>
    <row r="112" s="105" customFormat="1" ht="19.5" customHeight="1" spans="1:45">
      <c r="A112" s="68">
        <v>101</v>
      </c>
      <c r="B112" s="265" t="s">
        <v>140</v>
      </c>
      <c r="C112" s="164" t="s">
        <v>16</v>
      </c>
      <c r="D112" s="149" t="str">
        <f>VLOOKUP(B112,'[1]MASTER DATA 2025'!$C$3:$E$279,3,0)</f>
        <v>2Tahun2 Bulan</v>
      </c>
      <c r="E112" s="96"/>
      <c r="F112" s="96"/>
      <c r="G112" s="96"/>
      <c r="H112" s="96"/>
      <c r="I112" s="96"/>
      <c r="J112" s="96"/>
      <c r="K112" s="96"/>
      <c r="L112" s="96"/>
      <c r="M112" s="96" t="s">
        <v>11</v>
      </c>
      <c r="N112" s="96"/>
      <c r="O112" s="96"/>
      <c r="P112" s="96"/>
      <c r="Q112" s="96"/>
      <c r="R112" s="96"/>
      <c r="S112" s="96"/>
      <c r="T112" s="96"/>
      <c r="U112" s="259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K112" s="151"/>
      <c r="AL112" s="35">
        <f t="shared" si="14"/>
        <v>1</v>
      </c>
      <c r="AM112" s="36">
        <f t="shared" si="15"/>
        <v>0</v>
      </c>
      <c r="AN112" s="35">
        <f t="shared" si="16"/>
        <v>0</v>
      </c>
      <c r="AO112" s="36">
        <f t="shared" si="17"/>
        <v>0</v>
      </c>
      <c r="AP112" s="37">
        <f t="shared" si="18"/>
        <v>1</v>
      </c>
      <c r="AQ112" s="37"/>
      <c r="AR112" s="38"/>
      <c r="AS112" s="39"/>
    </row>
    <row r="113" s="105" customFormat="1" ht="19.5" customHeight="1" spans="1:45">
      <c r="A113" s="68">
        <v>102</v>
      </c>
      <c r="B113" s="265" t="s">
        <v>141</v>
      </c>
      <c r="C113" s="164" t="s">
        <v>20</v>
      </c>
      <c r="D113" s="149" t="str">
        <f>VLOOKUP(B113,'[1]MASTER DATA 2025'!$C$3:$E$279,3,0)</f>
        <v>0Tahun1 Bulan</v>
      </c>
      <c r="E113" s="96"/>
      <c r="F113" s="96"/>
      <c r="G113" s="96"/>
      <c r="H113" s="96"/>
      <c r="I113" s="96"/>
      <c r="J113" s="96"/>
      <c r="K113" s="96"/>
      <c r="L113" s="96"/>
      <c r="M113" s="96" t="s">
        <v>11</v>
      </c>
      <c r="N113" s="96"/>
      <c r="O113" s="96"/>
      <c r="P113" s="96"/>
      <c r="Q113" s="96"/>
      <c r="R113" s="96"/>
      <c r="S113" s="96"/>
      <c r="T113" s="96"/>
      <c r="U113" s="259"/>
      <c r="V113" s="96" t="s">
        <v>13</v>
      </c>
      <c r="W113" s="96" t="s">
        <v>13</v>
      </c>
      <c r="X113" s="96"/>
      <c r="Y113" s="96"/>
      <c r="Z113" s="96"/>
      <c r="AA113" s="96"/>
      <c r="AB113" s="96"/>
      <c r="AC113" s="96"/>
      <c r="AD113" s="96"/>
      <c r="AE113" s="96" t="s">
        <v>13</v>
      </c>
      <c r="AF113" s="96"/>
      <c r="AG113" s="96"/>
      <c r="AH113" s="96"/>
      <c r="AI113" s="96"/>
      <c r="AK113" s="151"/>
      <c r="AL113" s="35">
        <f t="shared" si="14"/>
        <v>1</v>
      </c>
      <c r="AM113" s="36">
        <f t="shared" si="15"/>
        <v>0</v>
      </c>
      <c r="AN113" s="35">
        <f t="shared" si="16"/>
        <v>3</v>
      </c>
      <c r="AO113" s="36">
        <f t="shared" si="17"/>
        <v>0</v>
      </c>
      <c r="AP113" s="37">
        <f t="shared" si="18"/>
        <v>4</v>
      </c>
      <c r="AQ113" s="37" t="s">
        <v>25</v>
      </c>
      <c r="AR113" s="38">
        <v>26</v>
      </c>
      <c r="AS113" s="39">
        <f t="shared" ref="AS113:AS118" si="21">AP113/AR113</f>
        <v>0.153846153846154</v>
      </c>
    </row>
    <row r="114" s="105" customFormat="1" ht="19.5" customHeight="1" spans="1:45">
      <c r="A114" s="68">
        <v>103</v>
      </c>
      <c r="B114" s="265" t="s">
        <v>142</v>
      </c>
      <c r="C114" s="164" t="s">
        <v>20</v>
      </c>
      <c r="D114" s="149" t="str">
        <f>VLOOKUP(B114,'[1]MASTER DATA 2025'!$C$3:$E$279,3,0)</f>
        <v>0Tahun2 Bulan</v>
      </c>
      <c r="E114" s="96"/>
      <c r="F114" s="96"/>
      <c r="G114" s="96"/>
      <c r="H114" s="96"/>
      <c r="I114" s="96"/>
      <c r="J114" s="96"/>
      <c r="K114" s="96"/>
      <c r="L114" s="96"/>
      <c r="M114" s="96"/>
      <c r="N114" s="96" t="s">
        <v>11</v>
      </c>
      <c r="O114" s="96"/>
      <c r="P114" s="96"/>
      <c r="Q114" s="96"/>
      <c r="R114" s="96"/>
      <c r="S114" s="96"/>
      <c r="T114" s="96"/>
      <c r="U114" s="259"/>
      <c r="V114" s="96"/>
      <c r="W114" s="96"/>
      <c r="X114" s="96"/>
      <c r="Y114" s="96"/>
      <c r="Z114" s="96"/>
      <c r="AA114" s="96"/>
      <c r="AB114" s="96"/>
      <c r="AC114" s="96"/>
      <c r="AD114" s="96" t="s">
        <v>13</v>
      </c>
      <c r="AE114" s="96"/>
      <c r="AF114" s="96"/>
      <c r="AG114" s="96"/>
      <c r="AH114" s="96"/>
      <c r="AI114" s="96"/>
      <c r="AK114" s="151">
        <f>COUNTIF(E114:AI114,"H")</f>
        <v>0</v>
      </c>
      <c r="AL114" s="35">
        <f t="shared" si="14"/>
        <v>1</v>
      </c>
      <c r="AM114" s="35">
        <f t="shared" si="15"/>
        <v>0</v>
      </c>
      <c r="AN114" s="47">
        <f t="shared" si="16"/>
        <v>1</v>
      </c>
      <c r="AO114" s="36">
        <f t="shared" si="17"/>
        <v>0</v>
      </c>
      <c r="AP114" s="37">
        <f t="shared" si="18"/>
        <v>2</v>
      </c>
      <c r="AQ114" s="37" t="s">
        <v>25</v>
      </c>
      <c r="AR114" s="38">
        <v>26</v>
      </c>
      <c r="AS114" s="39">
        <f t="shared" si="21"/>
        <v>0.0769230769230769</v>
      </c>
    </row>
    <row r="115" s="105" customFormat="1" ht="19.5" customHeight="1" spans="1:45">
      <c r="A115" s="68">
        <v>104</v>
      </c>
      <c r="B115" s="265" t="s">
        <v>143</v>
      </c>
      <c r="C115" s="164" t="s">
        <v>61</v>
      </c>
      <c r="D115" s="149" t="str">
        <f>VLOOKUP(B115,'[1]MASTER DATA 2025'!$C$3:$E$279,3,0)</f>
        <v>0Tahun9 Bulan</v>
      </c>
      <c r="E115" s="96"/>
      <c r="F115" s="96"/>
      <c r="G115" s="96"/>
      <c r="H115" s="96"/>
      <c r="I115" s="96"/>
      <c r="J115" s="96"/>
      <c r="K115" s="96"/>
      <c r="L115" s="96"/>
      <c r="M115" s="96"/>
      <c r="N115" s="96" t="s">
        <v>13</v>
      </c>
      <c r="O115" s="96"/>
      <c r="P115" s="96"/>
      <c r="Q115" s="96"/>
      <c r="R115" s="96"/>
      <c r="S115" s="96"/>
      <c r="T115" s="96"/>
      <c r="U115" s="259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K115" s="151"/>
      <c r="AL115" s="47">
        <f t="shared" si="14"/>
        <v>0</v>
      </c>
      <c r="AM115" s="35">
        <f t="shared" si="15"/>
        <v>0</v>
      </c>
      <c r="AN115" s="35">
        <f t="shared" si="16"/>
        <v>1</v>
      </c>
      <c r="AO115" s="36">
        <f t="shared" si="17"/>
        <v>0</v>
      </c>
      <c r="AP115" s="48">
        <f t="shared" si="18"/>
        <v>1</v>
      </c>
      <c r="AQ115" s="37" t="s">
        <v>25</v>
      </c>
      <c r="AR115" s="38">
        <v>26</v>
      </c>
      <c r="AS115" s="39">
        <f t="shared" si="21"/>
        <v>0.0384615384615385</v>
      </c>
    </row>
    <row r="116" s="105" customFormat="1" ht="19.5" customHeight="1" spans="1:45">
      <c r="A116" s="68">
        <v>105</v>
      </c>
      <c r="B116" s="265" t="s">
        <v>144</v>
      </c>
      <c r="C116" s="164" t="s">
        <v>61</v>
      </c>
      <c r="D116" s="149" t="str">
        <f>VLOOKUP(B116,'[1]MASTER DATA 2025'!$C$3:$E$279,3,0)</f>
        <v>0Tahun7 Bulan</v>
      </c>
      <c r="E116" s="96"/>
      <c r="F116" s="96"/>
      <c r="G116" s="96"/>
      <c r="H116" s="96"/>
      <c r="I116" s="96"/>
      <c r="J116" s="96"/>
      <c r="K116" s="96"/>
      <c r="L116" s="96"/>
      <c r="M116" s="96"/>
      <c r="N116" s="96" t="s">
        <v>13</v>
      </c>
      <c r="O116" s="96"/>
      <c r="P116" s="96"/>
      <c r="Q116" s="96"/>
      <c r="R116" s="96"/>
      <c r="S116" s="96"/>
      <c r="T116" s="96"/>
      <c r="U116" s="259" t="s">
        <v>13</v>
      </c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K116" s="151"/>
      <c r="AL116" s="47">
        <f t="shared" si="14"/>
        <v>0</v>
      </c>
      <c r="AM116" s="35">
        <f t="shared" si="15"/>
        <v>0</v>
      </c>
      <c r="AN116" s="35">
        <f t="shared" si="16"/>
        <v>2</v>
      </c>
      <c r="AO116" s="36">
        <f t="shared" si="17"/>
        <v>0</v>
      </c>
      <c r="AP116" s="48">
        <f t="shared" si="18"/>
        <v>2</v>
      </c>
      <c r="AQ116" s="37" t="s">
        <v>25</v>
      </c>
      <c r="AR116" s="38">
        <v>26</v>
      </c>
      <c r="AS116" s="39">
        <f t="shared" si="21"/>
        <v>0.0769230769230769</v>
      </c>
    </row>
    <row r="117" s="105" customFormat="1" ht="19.5" customHeight="1" spans="1:45">
      <c r="A117" s="68">
        <v>106</v>
      </c>
      <c r="B117" s="265" t="s">
        <v>145</v>
      </c>
      <c r="C117" s="164" t="s">
        <v>16</v>
      </c>
      <c r="D117" s="149" t="str">
        <f>VLOOKUP(B117,'[1]MASTER DATA 2025'!$C$3:$E$279,3,0)</f>
        <v>0Tahun2 Bulan</v>
      </c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 t="s">
        <v>13</v>
      </c>
      <c r="Q117" s="96"/>
      <c r="R117" s="96"/>
      <c r="S117" s="96"/>
      <c r="T117" s="96"/>
      <c r="U117" s="259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K117" s="151"/>
      <c r="AL117" s="47">
        <f t="shared" si="14"/>
        <v>0</v>
      </c>
      <c r="AM117" s="35">
        <f t="shared" si="15"/>
        <v>0</v>
      </c>
      <c r="AN117" s="35">
        <f t="shared" si="16"/>
        <v>1</v>
      </c>
      <c r="AO117" s="36">
        <f t="shared" si="17"/>
        <v>0</v>
      </c>
      <c r="AP117" s="48">
        <f t="shared" si="18"/>
        <v>1</v>
      </c>
      <c r="AQ117" s="37" t="s">
        <v>25</v>
      </c>
      <c r="AR117" s="38">
        <v>26</v>
      </c>
      <c r="AS117" s="39">
        <f t="shared" si="21"/>
        <v>0.0384615384615385</v>
      </c>
    </row>
    <row r="118" s="105" customFormat="1" ht="19.5" customHeight="1" spans="1:45">
      <c r="A118" s="68">
        <v>107</v>
      </c>
      <c r="B118" s="265" t="s">
        <v>146</v>
      </c>
      <c r="C118" s="164" t="s">
        <v>16</v>
      </c>
      <c r="D118" s="149" t="str">
        <f>VLOOKUP(B118,'[1]MASTER DATA 2025'!$C$3:$E$279,3,0)</f>
        <v>1Tahun1 Bulan</v>
      </c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 t="s">
        <v>12</v>
      </c>
      <c r="Q118" s="96"/>
      <c r="R118" s="96"/>
      <c r="S118" s="96"/>
      <c r="T118" s="96"/>
      <c r="U118" s="259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K118" s="151"/>
      <c r="AL118" s="47">
        <f t="shared" si="14"/>
        <v>0</v>
      </c>
      <c r="AM118" s="35">
        <f t="shared" si="15"/>
        <v>1</v>
      </c>
      <c r="AN118" s="35">
        <f t="shared" si="16"/>
        <v>0</v>
      </c>
      <c r="AO118" s="36">
        <f t="shared" si="17"/>
        <v>0</v>
      </c>
      <c r="AP118" s="48">
        <f t="shared" si="18"/>
        <v>1</v>
      </c>
      <c r="AQ118" s="37" t="s">
        <v>25</v>
      </c>
      <c r="AR118" s="38">
        <v>26</v>
      </c>
      <c r="AS118" s="39">
        <f t="shared" si="21"/>
        <v>0.0384615384615385</v>
      </c>
    </row>
    <row r="119" s="105" customFormat="1" ht="19.5" customHeight="1" spans="1:45">
      <c r="A119" s="68">
        <v>108</v>
      </c>
      <c r="B119" s="265" t="s">
        <v>147</v>
      </c>
      <c r="C119" s="164" t="s">
        <v>61</v>
      </c>
      <c r="D119" s="149" t="str">
        <f>VLOOKUP(B119,'[1]MASTER DATA 2025'!$C$3:$E$279,3,0)</f>
        <v>0Tahun1 Bulan</v>
      </c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 t="s">
        <v>13</v>
      </c>
      <c r="Q119" s="96"/>
      <c r="R119" s="96"/>
      <c r="S119" s="96"/>
      <c r="T119" s="96"/>
      <c r="U119" s="259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K119" s="151"/>
      <c r="AL119" s="47">
        <f t="shared" si="14"/>
        <v>0</v>
      </c>
      <c r="AM119" s="35">
        <f t="shared" si="15"/>
        <v>0</v>
      </c>
      <c r="AN119" s="35">
        <f t="shared" si="16"/>
        <v>1</v>
      </c>
      <c r="AO119" s="36">
        <f t="shared" si="17"/>
        <v>0</v>
      </c>
      <c r="AP119" s="48">
        <f t="shared" si="18"/>
        <v>1</v>
      </c>
      <c r="AQ119" s="37" t="s">
        <v>25</v>
      </c>
      <c r="AR119" s="38"/>
      <c r="AS119" s="39"/>
    </row>
    <row r="120" s="105" customFormat="1" ht="19.5" customHeight="1" spans="1:45">
      <c r="A120" s="68">
        <v>109</v>
      </c>
      <c r="B120" s="249" t="s">
        <v>148</v>
      </c>
      <c r="C120" s="164" t="s">
        <v>16</v>
      </c>
      <c r="D120" s="149" t="str">
        <f>VLOOKUP(B120,'[1]MASTER DATA 2025'!$C$3:$E$279,3,0)</f>
        <v>0Tahun1 Bulan</v>
      </c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 t="s">
        <v>13</v>
      </c>
      <c r="T120" s="96"/>
      <c r="U120" s="259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K120" s="151"/>
      <c r="AL120" s="35">
        <f t="shared" si="14"/>
        <v>0</v>
      </c>
      <c r="AM120" s="36">
        <f t="shared" si="15"/>
        <v>0</v>
      </c>
      <c r="AN120" s="35">
        <f t="shared" si="16"/>
        <v>1</v>
      </c>
      <c r="AO120" s="36">
        <f t="shared" si="17"/>
        <v>0</v>
      </c>
      <c r="AP120" s="37">
        <f t="shared" si="18"/>
        <v>1</v>
      </c>
      <c r="AQ120" s="37" t="s">
        <v>25</v>
      </c>
      <c r="AR120" s="38"/>
      <c r="AS120" s="39"/>
    </row>
    <row r="121" s="105" customFormat="1" ht="19.5" customHeight="1" spans="1:45">
      <c r="A121" s="68">
        <v>110</v>
      </c>
      <c r="B121" s="265" t="s">
        <v>149</v>
      </c>
      <c r="C121" s="164" t="s">
        <v>16</v>
      </c>
      <c r="D121" s="149" t="str">
        <f>VLOOKUP(B121,'[1]MASTER DATA 2025'!$C$3:$E$279,3,0)</f>
        <v>0Tahun1 Bulan</v>
      </c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 t="s">
        <v>13</v>
      </c>
      <c r="U121" s="259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K121" s="151"/>
      <c r="AL121" s="35">
        <f t="shared" si="14"/>
        <v>0</v>
      </c>
      <c r="AM121" s="36">
        <f t="shared" si="15"/>
        <v>0</v>
      </c>
      <c r="AN121" s="35">
        <f t="shared" si="16"/>
        <v>1</v>
      </c>
      <c r="AO121" s="36">
        <f t="shared" si="17"/>
        <v>0</v>
      </c>
      <c r="AP121" s="37">
        <f t="shared" si="18"/>
        <v>1</v>
      </c>
      <c r="AQ121" s="37" t="s">
        <v>25</v>
      </c>
      <c r="AR121" s="38"/>
      <c r="AS121" s="39"/>
    </row>
    <row r="122" s="105" customFormat="1" ht="19.5" customHeight="1" spans="1:45">
      <c r="A122" s="68">
        <v>111</v>
      </c>
      <c r="B122" s="265" t="s">
        <v>150</v>
      </c>
      <c r="C122" s="164" t="s">
        <v>16</v>
      </c>
      <c r="D122" s="149" t="str">
        <f>VLOOKUP(B122,'[1]MASTER DATA 2025'!$C$3:$E$279,3,0)</f>
        <v>1Tahun7 Bulan</v>
      </c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259" t="s">
        <v>11</v>
      </c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K122" s="151"/>
      <c r="AL122" s="35">
        <f t="shared" si="14"/>
        <v>1</v>
      </c>
      <c r="AM122" s="36">
        <f t="shared" si="15"/>
        <v>0</v>
      </c>
      <c r="AN122" s="35">
        <f t="shared" si="16"/>
        <v>0</v>
      </c>
      <c r="AO122" s="36">
        <f t="shared" si="17"/>
        <v>0</v>
      </c>
      <c r="AP122" s="37">
        <f t="shared" si="18"/>
        <v>1</v>
      </c>
      <c r="AQ122" s="37" t="s">
        <v>25</v>
      </c>
      <c r="AR122" s="38"/>
      <c r="AS122" s="39"/>
    </row>
    <row r="123" s="105" customFormat="1" ht="19.5" customHeight="1" spans="1:45">
      <c r="A123" s="68">
        <v>112</v>
      </c>
      <c r="B123" s="265" t="s">
        <v>151</v>
      </c>
      <c r="C123" s="164" t="s">
        <v>61</v>
      </c>
      <c r="D123" s="149" t="str">
        <f>VLOOKUP(B123,'[1]MASTER DATA 2025'!$C$3:$E$279,3,0)</f>
        <v>0Tahun9 Bulan</v>
      </c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259" t="s">
        <v>13</v>
      </c>
      <c r="V123" s="96"/>
      <c r="W123" s="96" t="s">
        <v>13</v>
      </c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K123" s="151"/>
      <c r="AL123" s="35">
        <f t="shared" si="14"/>
        <v>0</v>
      </c>
      <c r="AM123" s="36">
        <f t="shared" si="15"/>
        <v>0</v>
      </c>
      <c r="AN123" s="35">
        <f t="shared" si="16"/>
        <v>2</v>
      </c>
      <c r="AO123" s="36">
        <f t="shared" si="17"/>
        <v>0</v>
      </c>
      <c r="AP123" s="37">
        <f t="shared" si="18"/>
        <v>2</v>
      </c>
      <c r="AQ123" s="37" t="s">
        <v>25</v>
      </c>
      <c r="AR123" s="38"/>
      <c r="AS123" s="39"/>
    </row>
    <row r="124" s="105" customFormat="1" ht="19.5" customHeight="1" spans="1:45">
      <c r="A124" s="68">
        <v>113</v>
      </c>
      <c r="B124" s="264" t="s">
        <v>152</v>
      </c>
      <c r="C124" s="164" t="s">
        <v>20</v>
      </c>
      <c r="D124" s="149" t="s">
        <v>153</v>
      </c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259"/>
      <c r="V124" s="96"/>
      <c r="W124" s="96"/>
      <c r="X124" s="96"/>
      <c r="Y124" s="96"/>
      <c r="Z124" s="96"/>
      <c r="AA124" s="96"/>
      <c r="AB124" s="96"/>
      <c r="AC124" s="96" t="s">
        <v>13</v>
      </c>
      <c r="AD124" s="96"/>
      <c r="AE124" s="96"/>
      <c r="AF124" s="96"/>
      <c r="AG124" s="96"/>
      <c r="AH124" s="96"/>
      <c r="AI124" s="96"/>
      <c r="AK124" s="151"/>
      <c r="AL124" s="47">
        <f t="shared" si="14"/>
        <v>0</v>
      </c>
      <c r="AM124" s="35">
        <f t="shared" si="15"/>
        <v>0</v>
      </c>
      <c r="AN124" s="35">
        <f t="shared" si="16"/>
        <v>1</v>
      </c>
      <c r="AO124" s="36">
        <f t="shared" si="17"/>
        <v>0</v>
      </c>
      <c r="AP124" s="48">
        <f t="shared" si="18"/>
        <v>1</v>
      </c>
      <c r="AQ124" s="37" t="s">
        <v>25</v>
      </c>
      <c r="AR124" s="38"/>
      <c r="AS124" s="39"/>
    </row>
    <row r="125" s="105" customFormat="1" ht="19.5" customHeight="1" spans="1:45">
      <c r="A125" s="68">
        <v>114</v>
      </c>
      <c r="B125" s="265" t="s">
        <v>154</v>
      </c>
      <c r="C125" s="164" t="s">
        <v>59</v>
      </c>
      <c r="D125" s="149" t="str">
        <f>VLOOKUP(B125,'[1]MASTER DATA 2025'!$C$3:$E$279,3,0)</f>
        <v>1Tahun2 Bulan</v>
      </c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259"/>
      <c r="V125" s="96"/>
      <c r="W125" s="96" t="s">
        <v>13</v>
      </c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K125" s="151"/>
      <c r="AL125" s="47">
        <f t="shared" si="14"/>
        <v>0</v>
      </c>
      <c r="AM125" s="35">
        <f t="shared" si="15"/>
        <v>0</v>
      </c>
      <c r="AN125" s="35">
        <f t="shared" si="16"/>
        <v>1</v>
      </c>
      <c r="AO125" s="36">
        <f t="shared" si="17"/>
        <v>0</v>
      </c>
      <c r="AP125" s="48">
        <f t="shared" si="18"/>
        <v>1</v>
      </c>
      <c r="AQ125" s="37" t="s">
        <v>25</v>
      </c>
      <c r="AR125" s="38">
        <v>26</v>
      </c>
      <c r="AS125" s="39">
        <f>AP125/AR125</f>
        <v>0.0384615384615385</v>
      </c>
    </row>
    <row r="126" s="105" customFormat="1" ht="19.5" customHeight="1" spans="1:45">
      <c r="A126" s="68">
        <v>115</v>
      </c>
      <c r="B126" s="265" t="s">
        <v>155</v>
      </c>
      <c r="C126" s="164" t="s">
        <v>59</v>
      </c>
      <c r="D126" s="149" t="str">
        <f>VLOOKUP(B126,'[1]MASTER DATA 2025'!$C$3:$E$279,3,0)</f>
        <v>0Tahun1 Bulan</v>
      </c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259"/>
      <c r="V126" s="96"/>
      <c r="W126" s="96" t="s">
        <v>12</v>
      </c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K126" s="151"/>
      <c r="AL126" s="35">
        <f t="shared" si="14"/>
        <v>0</v>
      </c>
      <c r="AM126" s="35">
        <f t="shared" si="15"/>
        <v>1</v>
      </c>
      <c r="AN126" s="35">
        <f t="shared" si="16"/>
        <v>0</v>
      </c>
      <c r="AO126" s="36">
        <f t="shared" si="17"/>
        <v>0</v>
      </c>
      <c r="AP126" s="37">
        <f t="shared" si="18"/>
        <v>1</v>
      </c>
      <c r="AQ126" s="37" t="s">
        <v>156</v>
      </c>
      <c r="AR126" s="38"/>
      <c r="AS126" s="39"/>
    </row>
    <row r="127" s="105" customFormat="1" ht="19.5" customHeight="1" spans="1:45">
      <c r="A127" s="68">
        <v>116</v>
      </c>
      <c r="B127" s="265" t="s">
        <v>157</v>
      </c>
      <c r="C127" s="164" t="s">
        <v>61</v>
      </c>
      <c r="D127" s="149" t="str">
        <f>VLOOKUP(B127,'[1]MASTER DATA 2025'!$C$3:$E$279,3,0)</f>
        <v>0Tahun1 Bulan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259"/>
      <c r="V127" s="96"/>
      <c r="W127" s="96"/>
      <c r="X127" s="96" t="s">
        <v>12</v>
      </c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K127" s="151"/>
      <c r="AL127" s="35">
        <f t="shared" si="14"/>
        <v>0</v>
      </c>
      <c r="AM127" s="35">
        <f t="shared" si="15"/>
        <v>1</v>
      </c>
      <c r="AN127" s="35">
        <f t="shared" si="16"/>
        <v>0</v>
      </c>
      <c r="AO127" s="36">
        <f t="shared" si="17"/>
        <v>0</v>
      </c>
      <c r="AP127" s="37">
        <f t="shared" si="18"/>
        <v>1</v>
      </c>
      <c r="AQ127" s="37" t="s">
        <v>25</v>
      </c>
      <c r="AR127" s="38"/>
      <c r="AS127" s="39"/>
    </row>
    <row r="128" s="105" customFormat="1" ht="19.5" customHeight="1" spans="1:45">
      <c r="A128" s="68">
        <v>117</v>
      </c>
      <c r="B128" s="265" t="s">
        <v>158</v>
      </c>
      <c r="C128" s="164" t="s">
        <v>20</v>
      </c>
      <c r="D128" s="149" t="str">
        <f>VLOOKUP(B128,'[1]MASTER DATA 2025'!$C$3:$E$279,3,0)</f>
        <v>0Tahun1 Bulan</v>
      </c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259"/>
      <c r="V128" s="96"/>
      <c r="W128" s="96"/>
      <c r="X128" s="96" t="s">
        <v>11</v>
      </c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K128" s="151"/>
      <c r="AL128" s="35">
        <f t="shared" si="14"/>
        <v>1</v>
      </c>
      <c r="AM128" s="36">
        <f t="shared" si="15"/>
        <v>0</v>
      </c>
      <c r="AN128" s="36">
        <f t="shared" si="16"/>
        <v>0</v>
      </c>
      <c r="AO128" s="36">
        <f t="shared" si="17"/>
        <v>0</v>
      </c>
      <c r="AP128" s="37">
        <f t="shared" si="18"/>
        <v>1</v>
      </c>
      <c r="AQ128" s="37" t="s">
        <v>25</v>
      </c>
      <c r="AR128" s="38"/>
      <c r="AS128" s="39"/>
    </row>
    <row r="129" s="105" customFormat="1" ht="19.5" customHeight="1" spans="1:45">
      <c r="A129" s="68">
        <v>118</v>
      </c>
      <c r="B129" s="265" t="s">
        <v>159</v>
      </c>
      <c r="C129" s="164" t="s">
        <v>59</v>
      </c>
      <c r="D129" s="149" t="str">
        <f>VLOOKUP(B129,'[1]MASTER DATA 2025'!$C$3:$E$279,3,0)</f>
        <v>0Tahun2 Bulan</v>
      </c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259"/>
      <c r="V129" s="96"/>
      <c r="W129" s="96"/>
      <c r="X129" s="96"/>
      <c r="Y129" s="96"/>
      <c r="Z129" s="96"/>
      <c r="AA129" s="96"/>
      <c r="AB129" s="96" t="s">
        <v>11</v>
      </c>
      <c r="AC129" s="96" t="s">
        <v>11</v>
      </c>
      <c r="AD129" s="96"/>
      <c r="AE129" s="96"/>
      <c r="AF129" s="96"/>
      <c r="AG129" s="96"/>
      <c r="AH129" s="96"/>
      <c r="AI129" s="96"/>
      <c r="AK129" s="151"/>
      <c r="AL129" s="35">
        <f t="shared" si="14"/>
        <v>2</v>
      </c>
      <c r="AM129" s="36">
        <f t="shared" si="15"/>
        <v>0</v>
      </c>
      <c r="AN129" s="35">
        <f t="shared" si="16"/>
        <v>0</v>
      </c>
      <c r="AO129" s="36">
        <f t="shared" si="17"/>
        <v>0</v>
      </c>
      <c r="AP129" s="37">
        <f t="shared" si="18"/>
        <v>2</v>
      </c>
      <c r="AQ129" s="37" t="s">
        <v>25</v>
      </c>
      <c r="AR129" s="38"/>
      <c r="AS129" s="39"/>
    </row>
    <row r="130" s="105" customFormat="1" ht="19.5" customHeight="1" spans="1:45">
      <c r="A130" s="68">
        <v>119</v>
      </c>
      <c r="B130" s="265" t="s">
        <v>160</v>
      </c>
      <c r="C130" s="164" t="s">
        <v>20</v>
      </c>
      <c r="D130" s="149" t="str">
        <f>VLOOKUP(B130,'[1]MASTER DATA 2025'!$C$3:$E$279,3,0)</f>
        <v>0Tahun1 Bulan</v>
      </c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259"/>
      <c r="V130" s="96"/>
      <c r="W130" s="96"/>
      <c r="X130" s="96"/>
      <c r="Y130" s="96"/>
      <c r="Z130" s="96"/>
      <c r="AA130" s="96"/>
      <c r="AB130" s="96"/>
      <c r="AC130" s="96"/>
      <c r="AD130" s="96" t="s">
        <v>11</v>
      </c>
      <c r="AE130" s="96"/>
      <c r="AF130" s="96"/>
      <c r="AG130" s="96"/>
      <c r="AH130" s="96"/>
      <c r="AI130" s="96"/>
      <c r="AK130" s="151"/>
      <c r="AL130" s="47">
        <f t="shared" si="14"/>
        <v>1</v>
      </c>
      <c r="AM130" s="35">
        <f t="shared" si="15"/>
        <v>0</v>
      </c>
      <c r="AN130" s="35">
        <f t="shared" si="16"/>
        <v>0</v>
      </c>
      <c r="AO130" s="36">
        <f t="shared" si="17"/>
        <v>0</v>
      </c>
      <c r="AP130" s="48">
        <f t="shared" si="18"/>
        <v>1</v>
      </c>
      <c r="AQ130" s="37" t="s">
        <v>25</v>
      </c>
      <c r="AR130" s="38"/>
      <c r="AS130" s="39"/>
    </row>
    <row r="131" s="105" customFormat="1" ht="19.5" customHeight="1" spans="1:45">
      <c r="A131" s="68">
        <v>120</v>
      </c>
      <c r="B131" s="265" t="s">
        <v>161</v>
      </c>
      <c r="C131" s="164" t="s">
        <v>20</v>
      </c>
      <c r="D131" s="149" t="str">
        <f>VLOOKUP(B131,'[1]MASTER DATA 2025'!$C$3:$E$279,3,0)</f>
        <v>1Tahun2 Bulan</v>
      </c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259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 t="s">
        <v>13</v>
      </c>
      <c r="AH131" s="96"/>
      <c r="AI131" s="96"/>
      <c r="AK131" s="151"/>
      <c r="AL131" s="35">
        <f t="shared" si="14"/>
        <v>0</v>
      </c>
      <c r="AM131" s="35">
        <f t="shared" si="15"/>
        <v>0</v>
      </c>
      <c r="AN131" s="47">
        <f t="shared" si="16"/>
        <v>1</v>
      </c>
      <c r="AO131" s="36">
        <f t="shared" si="17"/>
        <v>0</v>
      </c>
      <c r="AP131" s="48">
        <f t="shared" si="18"/>
        <v>1</v>
      </c>
      <c r="AQ131" s="37" t="s">
        <v>25</v>
      </c>
      <c r="AR131" s="38"/>
      <c r="AS131" s="39"/>
    </row>
    <row r="132" s="105" customFormat="1" ht="19.5" customHeight="1" spans="1:45">
      <c r="A132" s="68">
        <v>121</v>
      </c>
      <c r="B132" s="265" t="s">
        <v>162</v>
      </c>
      <c r="C132" s="164" t="s">
        <v>20</v>
      </c>
      <c r="D132" s="149" t="s">
        <v>163</v>
      </c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259"/>
      <c r="V132" s="96"/>
      <c r="W132" s="96"/>
      <c r="X132" s="96"/>
      <c r="Y132" s="96"/>
      <c r="Z132" s="96"/>
      <c r="AA132" s="96"/>
      <c r="AB132" s="96"/>
      <c r="AC132" s="96"/>
      <c r="AD132" s="96"/>
      <c r="AE132" s="96" t="s">
        <v>13</v>
      </c>
      <c r="AF132" s="96" t="s">
        <v>13</v>
      </c>
      <c r="AG132" s="96"/>
      <c r="AH132" s="96"/>
      <c r="AI132" s="96"/>
      <c r="AK132" s="151"/>
      <c r="AL132" s="35">
        <f t="shared" si="14"/>
        <v>0</v>
      </c>
      <c r="AM132" s="35">
        <f t="shared" si="15"/>
        <v>0</v>
      </c>
      <c r="AN132" s="47">
        <f t="shared" si="16"/>
        <v>2</v>
      </c>
      <c r="AO132" s="36"/>
      <c r="AP132" s="37">
        <f t="shared" si="18"/>
        <v>2</v>
      </c>
      <c r="AQ132" s="37" t="s">
        <v>25</v>
      </c>
      <c r="AR132" s="38"/>
      <c r="AS132" s="39"/>
    </row>
    <row r="133" s="105" customFormat="1" ht="19.5" customHeight="1" spans="1:45">
      <c r="A133" s="68">
        <v>122</v>
      </c>
      <c r="B133" s="265" t="s">
        <v>164</v>
      </c>
      <c r="C133" s="164" t="s">
        <v>101</v>
      </c>
      <c r="D133" s="149" t="str">
        <f>VLOOKUP(B133,'[1]MASTER DATA 2025'!$C$3:$E$279,3,0)</f>
        <v>2Tahun0 Bulan</v>
      </c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259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 t="s">
        <v>13</v>
      </c>
      <c r="AH133" s="96"/>
      <c r="AI133" s="96"/>
      <c r="AK133" s="151"/>
      <c r="AL133" s="35">
        <f t="shared" si="14"/>
        <v>0</v>
      </c>
      <c r="AM133" s="35">
        <f t="shared" si="15"/>
        <v>0</v>
      </c>
      <c r="AN133" s="47">
        <f t="shared" si="16"/>
        <v>1</v>
      </c>
      <c r="AO133" s="36">
        <f>COUNTIF(E133:AI133,"OFF")</f>
        <v>0</v>
      </c>
      <c r="AP133" s="48">
        <f t="shared" si="18"/>
        <v>1</v>
      </c>
      <c r="AQ133" s="37" t="s">
        <v>25</v>
      </c>
      <c r="AR133" s="38"/>
      <c r="AS133" s="39"/>
    </row>
    <row r="134" s="105" customFormat="1" ht="20.15" customHeight="1" spans="1:45">
      <c r="A134" s="68"/>
      <c r="B134" s="167"/>
      <c r="C134" s="304"/>
      <c r="D134" s="304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259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K134" s="151">
        <f>COUNTIF(E134:AI134,"H")</f>
        <v>0</v>
      </c>
      <c r="AL134" s="47">
        <f t="shared" si="14"/>
        <v>0</v>
      </c>
      <c r="AM134" s="35">
        <f t="shared" si="15"/>
        <v>0</v>
      </c>
      <c r="AN134" s="35">
        <f t="shared" si="16"/>
        <v>0</v>
      </c>
      <c r="AO134" s="36">
        <f>COUNTIF(E134:AI134,"OFF")</f>
        <v>0</v>
      </c>
      <c r="AP134" s="48">
        <f t="shared" si="18"/>
        <v>0</v>
      </c>
      <c r="AQ134" s="37"/>
      <c r="AR134" s="38">
        <v>26</v>
      </c>
      <c r="AS134" s="39">
        <f>AP134/AR134</f>
        <v>0</v>
      </c>
    </row>
    <row r="135" s="20" customFormat="1" ht="19.5" customHeight="1" spans="1:45">
      <c r="A135" s="290" t="s">
        <v>6</v>
      </c>
      <c r="B135" s="291"/>
      <c r="C135" s="291"/>
      <c r="D135" s="291"/>
      <c r="E135" s="292">
        <f t="shared" ref="E135:AI135" si="22">COUNTIF(E14:E86,"H")</f>
        <v>0</v>
      </c>
      <c r="F135" s="292">
        <f t="shared" si="22"/>
        <v>0</v>
      </c>
      <c r="G135" s="292">
        <f t="shared" si="22"/>
        <v>0</v>
      </c>
      <c r="H135" s="292">
        <f t="shared" si="22"/>
        <v>0</v>
      </c>
      <c r="I135" s="292">
        <f t="shared" si="22"/>
        <v>0</v>
      </c>
      <c r="J135" s="292">
        <f t="shared" si="22"/>
        <v>0</v>
      </c>
      <c r="K135" s="292">
        <f t="shared" si="22"/>
        <v>0</v>
      </c>
      <c r="L135" s="292">
        <f t="shared" si="22"/>
        <v>0</v>
      </c>
      <c r="M135" s="292">
        <f t="shared" si="22"/>
        <v>0</v>
      </c>
      <c r="N135" s="292">
        <f t="shared" si="22"/>
        <v>0</v>
      </c>
      <c r="O135" s="292">
        <f t="shared" si="22"/>
        <v>0</v>
      </c>
      <c r="P135" s="292">
        <f t="shared" si="22"/>
        <v>0</v>
      </c>
      <c r="Q135" s="292">
        <f t="shared" si="22"/>
        <v>0</v>
      </c>
      <c r="R135" s="292">
        <f t="shared" si="22"/>
        <v>0</v>
      </c>
      <c r="S135" s="292">
        <f t="shared" si="22"/>
        <v>0</v>
      </c>
      <c r="T135" s="292">
        <f t="shared" si="22"/>
        <v>0</v>
      </c>
      <c r="U135" s="292">
        <f t="shared" si="22"/>
        <v>0</v>
      </c>
      <c r="V135" s="292">
        <f t="shared" si="22"/>
        <v>0</v>
      </c>
      <c r="W135" s="292">
        <f t="shared" si="22"/>
        <v>0</v>
      </c>
      <c r="X135" s="292">
        <f t="shared" si="22"/>
        <v>0</v>
      </c>
      <c r="Y135" s="292">
        <f t="shared" si="22"/>
        <v>0</v>
      </c>
      <c r="Z135" s="292">
        <f t="shared" si="22"/>
        <v>0</v>
      </c>
      <c r="AA135" s="292">
        <f t="shared" si="22"/>
        <v>0</v>
      </c>
      <c r="AB135" s="292">
        <f t="shared" si="22"/>
        <v>0</v>
      </c>
      <c r="AC135" s="292">
        <f t="shared" si="22"/>
        <v>0</v>
      </c>
      <c r="AD135" s="292">
        <f t="shared" si="22"/>
        <v>0</v>
      </c>
      <c r="AE135" s="292">
        <f t="shared" si="22"/>
        <v>0</v>
      </c>
      <c r="AF135" s="292">
        <f t="shared" si="22"/>
        <v>0</v>
      </c>
      <c r="AG135" s="292">
        <f t="shared" si="22"/>
        <v>0</v>
      </c>
      <c r="AH135" s="292">
        <f t="shared" si="22"/>
        <v>0</v>
      </c>
      <c r="AI135" s="292">
        <f t="shared" si="22"/>
        <v>0</v>
      </c>
      <c r="AJ135" s="293">
        <f>SUM(E135:AI135)</f>
        <v>0</v>
      </c>
    </row>
    <row r="136" ht="20.15" customHeight="1" spans="1:45">
      <c r="E136" s="294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6"/>
    </row>
    <row r="137" ht="20.15" customHeight="1" spans="1:45">
      <c r="E137" s="297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8"/>
      <c r="AA137" s="298"/>
      <c r="AB137" s="298"/>
      <c r="AC137" s="298"/>
      <c r="AD137" s="298"/>
      <c r="AE137" s="298"/>
      <c r="AF137" s="298"/>
      <c r="AG137" s="298"/>
      <c r="AH137" s="295"/>
      <c r="AI137" s="295"/>
    </row>
    <row r="138" ht="20.15" customHeight="1" spans="1:45">
      <c r="E138" s="297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  <c r="AC138" s="298"/>
      <c r="AD138" s="298"/>
      <c r="AE138" s="298"/>
      <c r="AF138" s="298"/>
      <c r="AG138" s="298"/>
    </row>
    <row r="141" spans="1:45">
      <c r="AP141"/>
    </row>
  </sheetData>
  <autoFilter xmlns:etc="http://www.wps.cn/officeDocument/2017/etCustomData" ref="A11:AS135" etc:filterBottomFollowUsedRange="0">
    <extLst/>
  </autoFilter>
  <mergeCells count="15">
    <mergeCell ref="E10:AI10"/>
    <mergeCell ref="AL10:AO10"/>
    <mergeCell ref="A135:B135"/>
    <mergeCell ref="A10:A11"/>
    <mergeCell ref="B10:B11"/>
    <mergeCell ref="C10:C11"/>
    <mergeCell ref="D10:D11"/>
    <mergeCell ref="AK10:AK11"/>
    <mergeCell ref="AP10:AP11"/>
    <mergeCell ref="AQ10:AQ11"/>
    <mergeCell ref="AR10:AR11"/>
    <mergeCell ref="AS10:AS11"/>
    <mergeCell ref="E4:AI6"/>
    <mergeCell ref="E7:AI8"/>
    <mergeCell ref="E137:AG138"/>
  </mergeCells>
  <conditionalFormatting sqref="B54">
    <cfRule type="cellIs" dxfId="0" priority="1" operator="equal">
      <formula>"ALPA"</formula>
    </cfRule>
    <cfRule type="cellIs" dxfId="1" priority="2" operator="equal">
      <formula>"IZIN"</formula>
    </cfRule>
    <cfRule type="cellIs" dxfId="2" priority="3" operator="equal">
      <formula>"SAKIT"</formula>
    </cfRule>
  </conditionalFormatting>
  <conditionalFormatting sqref="E12:AI134">
    <cfRule type="containsText" dxfId="3" priority="4" operator="between" text="OFF">
      <formula>NOT(ISERROR(SEARCH("OFF",E12)))</formula>
    </cfRule>
    <cfRule type="containsText" dxfId="4" priority="5" operator="between" text="OFF">
      <formula>NOT(ISERROR(SEARCH("OFF",E12)))</formula>
    </cfRule>
    <cfRule type="containsText" dxfId="5" priority="6" operator="between" text="S">
      <formula>NOT(ISERROR(SEARCH("S",E12)))</formula>
    </cfRule>
    <cfRule type="containsText" dxfId="6" priority="7" operator="between" text="I">
      <formula>NOT(ISERROR(SEARCH("I",E12)))</formula>
    </cfRule>
    <cfRule type="containsText" dxfId="7" priority="8" operator="between" text="A">
      <formula>NOT(ISERROR(SEARCH("A",E12)))</formula>
    </cfRule>
    <cfRule type="containsText" dxfId="8" priority="9" operator="between" text="L">
      <formula>NOT(ISERROR(SEARCH("L",E12)))</formula>
    </cfRule>
    <cfRule type="containsText" dxfId="6" priority="10" operator="between" text="A">
      <formula>NOT(ISERROR(SEARCH("A",E12)))</formula>
    </cfRule>
    <cfRule type="containsText" dxfId="7" priority="11" operator="between" text="S">
      <formula>NOT(ISERROR(SEARCH("S",E12)))</formula>
    </cfRule>
    <cfRule type="containsText" dxfId="5" priority="12" operator="between" text="OFF">
      <formula>NOT(ISERROR(SEARCH("OFF",E12)))</formula>
    </cfRule>
    <cfRule type="containsText" dxfId="7" priority="13" operator="between" text="OFF">
      <formula>NOT(ISERROR(SEARCH("OFF",E12)))</formula>
    </cfRule>
  </conditionalFormatting>
  <printOptions horizontalCentered="1"/>
  <pageMargins left="0" right="0" top="0" bottom="0" header="0" footer="0"/>
  <pageSetup paperSize="9" scale="34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T154"/>
  <sheetViews>
    <sheetView zoomScale="70" zoomScaleNormal="70" topLeftCell="A10" workbookViewId="0">
      <pane xSplit="2" ySplit="2" topLeftCell="AF136" activePane="bottomRight" state="frozen"/>
      <selection/>
      <selection pane="topRight"/>
      <selection pane="bottomLeft"/>
      <selection pane="bottomRight" activeCell="AM154" sqref="AM154"/>
    </sheetView>
  </sheetViews>
  <sheetFormatPr defaultColWidth="9" defaultRowHeight="14.5"/>
  <cols>
    <col min="1" max="1" width="10.3636363636364" customWidth="1"/>
    <col min="2" max="2" width="27.9090909090909" customWidth="1"/>
    <col min="3" max="3" width="16.6363636363636" customWidth="1"/>
    <col min="4" max="4" width="20.0909090909091" customWidth="1"/>
    <col min="5" max="11" width="7.63636363636364" customWidth="1"/>
    <col min="12" max="12" width="8.36363636363636" customWidth="1"/>
    <col min="13" max="14" width="7.63636363636364" customWidth="1"/>
    <col min="15" max="15" width="7.09090909090909" customWidth="1"/>
    <col min="16" max="20" width="7.63636363636364" customWidth="1"/>
    <col min="21" max="21" width="7.45454545454545" customWidth="1"/>
    <col min="22" max="26" width="7.63636363636364" customWidth="1"/>
    <col min="27" max="27" width="13.5454545454545" customWidth="1"/>
    <col min="28" max="28" width="7.63636363636364" customWidth="1"/>
    <col min="29" max="29" width="12.9090909090909" customWidth="1"/>
    <col min="30" max="31" width="7.63636363636364" customWidth="1"/>
    <col min="32" max="32" width="11.9090909090909" customWidth="1"/>
    <col min="33" max="34" width="7.63636363636364" customWidth="1"/>
    <col min="35" max="36" width="11.6363636363636" customWidth="1"/>
    <col min="37" max="37" width="10.3636363636364" customWidth="1"/>
    <col min="38" max="38" width="11.9090909090909" customWidth="1"/>
    <col min="39" max="42" width="9" customWidth="1"/>
    <col min="43" max="43" width="11.6363636363636" customWidth="1"/>
    <col min="44" max="44" width="37.4545454545455" customWidth="1"/>
    <col min="45" max="46" width="15.6363636363636" customWidth="1"/>
  </cols>
  <sheetData>
    <row r="2" ht="20.15" customHeight="1" spans="1:4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ht="20.15" customHeight="1" spans="1:46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20.15" customHeight="1" spans="1:46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299"/>
      <c r="AJ4" s="299"/>
    </row>
    <row r="5" ht="20.15" customHeight="1" spans="1:46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300"/>
      <c r="AJ5" s="300"/>
    </row>
    <row r="6" ht="20.15" customHeight="1" spans="1:46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301"/>
      <c r="AJ6" s="301"/>
    </row>
    <row r="7" ht="20.15" customHeight="1" spans="1:46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302"/>
      <c r="AJ7" s="302"/>
    </row>
    <row r="8" ht="20.15" customHeight="1" spans="1:46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303"/>
      <c r="AJ8" s="303"/>
    </row>
    <row r="9" ht="20.15" customHeight="1" spans="1:46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289"/>
      <c r="AG9" s="289"/>
      <c r="AH9" s="289"/>
    </row>
    <row r="10" s="20" customFormat="1" ht="16.5" spans="1:46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L10" s="56"/>
      <c r="AM10" s="23" t="s">
        <v>5</v>
      </c>
      <c r="AN10" s="24"/>
      <c r="AO10" s="24"/>
      <c r="AP10" s="25"/>
      <c r="AQ10" s="2" t="s">
        <v>6</v>
      </c>
      <c r="AR10" s="2" t="s">
        <v>5</v>
      </c>
      <c r="AS10" s="26" t="s">
        <v>8</v>
      </c>
      <c r="AT10" s="27" t="s">
        <v>9</v>
      </c>
    </row>
    <row r="11" s="21" customFormat="1" ht="23.15" customHeight="1" spans="1:46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58">
        <v>24</v>
      </c>
      <c r="I11" s="58">
        <v>25</v>
      </c>
      <c r="J11" s="258">
        <v>26</v>
      </c>
      <c r="K11" s="58">
        <v>27</v>
      </c>
      <c r="L11" s="58">
        <v>28</v>
      </c>
      <c r="M11" s="58">
        <v>29</v>
      </c>
      <c r="N11" s="58">
        <v>30</v>
      </c>
      <c r="O11" s="58">
        <v>31</v>
      </c>
      <c r="P11" s="58">
        <v>1</v>
      </c>
      <c r="Q11" s="258">
        <v>2</v>
      </c>
      <c r="R11" s="58">
        <v>3</v>
      </c>
      <c r="S11" s="58">
        <v>4</v>
      </c>
      <c r="T11" s="58">
        <v>5</v>
      </c>
      <c r="U11" s="58">
        <v>6</v>
      </c>
      <c r="V11" s="58">
        <v>7</v>
      </c>
      <c r="W11" s="58">
        <v>8</v>
      </c>
      <c r="X11" s="258">
        <v>9</v>
      </c>
      <c r="Y11" s="58">
        <v>10</v>
      </c>
      <c r="Z11" s="58">
        <v>11</v>
      </c>
      <c r="AA11" s="58">
        <v>12</v>
      </c>
      <c r="AB11" s="58">
        <v>13</v>
      </c>
      <c r="AC11" s="58">
        <v>14</v>
      </c>
      <c r="AD11" s="58">
        <v>15</v>
      </c>
      <c r="AE11" s="58">
        <v>16</v>
      </c>
      <c r="AF11" s="58">
        <v>17</v>
      </c>
      <c r="AG11" s="58">
        <v>18</v>
      </c>
      <c r="AH11" s="58">
        <v>19</v>
      </c>
      <c r="AI11" s="58">
        <v>20</v>
      </c>
      <c r="AJ11" s="58">
        <v>21</v>
      </c>
      <c r="AL11" s="148" t="s">
        <v>10</v>
      </c>
      <c r="AM11" s="11" t="s">
        <v>11</v>
      </c>
      <c r="AN11" s="11" t="s">
        <v>12</v>
      </c>
      <c r="AO11" s="11" t="s">
        <v>13</v>
      </c>
      <c r="AP11" s="11" t="s">
        <v>14</v>
      </c>
      <c r="AQ11" s="32"/>
      <c r="AR11" s="32"/>
      <c r="AS11" s="33"/>
      <c r="AT11" s="34"/>
    </row>
    <row r="12" s="105" customFormat="1" ht="20.15" customHeight="1" spans="1:46">
      <c r="A12" s="68">
        <v>1</v>
      </c>
      <c r="B12" s="149" t="s">
        <v>15</v>
      </c>
      <c r="C12" s="164" t="s">
        <v>20</v>
      </c>
      <c r="D12" s="149" t="str">
        <f>VLOOKUP(B12,'[1]MASTER DATA 2025'!$C$3:$E$279,3,0)</f>
        <v>0Tahun11 Bulan</v>
      </c>
      <c r="E12" s="96" t="s">
        <v>11</v>
      </c>
      <c r="F12" s="96" t="s">
        <v>11</v>
      </c>
      <c r="G12" s="96"/>
      <c r="H12" s="96"/>
      <c r="I12" s="96"/>
      <c r="J12" s="96"/>
      <c r="K12" s="96"/>
      <c r="L12" s="96"/>
      <c r="M12" s="96"/>
      <c r="N12" s="96" t="s">
        <v>13</v>
      </c>
      <c r="O12" s="96"/>
      <c r="P12" s="96"/>
      <c r="Q12" s="96"/>
      <c r="R12" s="96"/>
      <c r="S12" s="96"/>
      <c r="T12" s="96"/>
      <c r="U12" s="259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L12" s="151">
        <f t="shared" ref="AL12:AL75" si="0">COUNTIF(E12:AJ12,"H")</f>
        <v>0</v>
      </c>
      <c r="AM12" s="47">
        <f t="shared" ref="AM12:AM75" si="1">COUNTIF(E12:AJ12,"S")</f>
        <v>2</v>
      </c>
      <c r="AN12" s="36">
        <f t="shared" ref="AN12:AN75" si="2">COUNTIF(E12:AJ12,"I")</f>
        <v>0</v>
      </c>
      <c r="AO12" s="36">
        <f t="shared" ref="AO12:AO75" si="3">COUNTIF(E12:AJ12,"A")</f>
        <v>1</v>
      </c>
      <c r="AP12" s="36">
        <f t="shared" ref="AP12:AP75" si="4">COUNTIF(E12:AJ12,"OFF")</f>
        <v>0</v>
      </c>
      <c r="AQ12" s="48">
        <f t="shared" ref="AQ12:AQ75" si="5">SUM(AL12:AO12)</f>
        <v>3</v>
      </c>
      <c r="AR12" s="37" t="s">
        <v>25</v>
      </c>
      <c r="AS12" s="38">
        <v>16</v>
      </c>
      <c r="AT12" s="39">
        <f t="shared" ref="AT12:AT75" si="6">AQ12/AS12</f>
        <v>0.1875</v>
      </c>
    </row>
    <row r="13" s="105" customFormat="1" ht="20.15" customHeight="1" spans="1:46">
      <c r="A13" s="68">
        <v>2</v>
      </c>
      <c r="B13" s="149" t="s">
        <v>17</v>
      </c>
      <c r="C13" s="149" t="s">
        <v>16</v>
      </c>
      <c r="D13" s="149" t="str">
        <f>VLOOKUP(B13,'[1]MASTER DATA 2025'!$C$3:$E$279,3,0)</f>
        <v>0Tahun9 Bulan</v>
      </c>
      <c r="E13" s="96"/>
      <c r="F13" s="96"/>
      <c r="G13" s="96"/>
      <c r="H13" s="96"/>
      <c r="I13" s="96"/>
      <c r="J13" s="96"/>
      <c r="K13" s="96"/>
      <c r="L13" s="96"/>
      <c r="M13" s="96"/>
      <c r="N13" s="96" t="s">
        <v>13</v>
      </c>
      <c r="O13" s="96"/>
      <c r="P13" s="96"/>
      <c r="Q13" s="96"/>
      <c r="R13" s="96"/>
      <c r="S13" s="96"/>
      <c r="T13" s="96"/>
      <c r="U13" s="259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L13" s="151">
        <f t="shared" si="0"/>
        <v>0</v>
      </c>
      <c r="AM13" s="35">
        <f t="shared" si="1"/>
        <v>0</v>
      </c>
      <c r="AN13" s="36">
        <f t="shared" si="2"/>
        <v>0</v>
      </c>
      <c r="AO13" s="35">
        <f t="shared" si="3"/>
        <v>1</v>
      </c>
      <c r="AP13" s="36">
        <f t="shared" si="4"/>
        <v>0</v>
      </c>
      <c r="AQ13" s="37">
        <f t="shared" si="5"/>
        <v>1</v>
      </c>
      <c r="AR13" s="52" t="s">
        <v>18</v>
      </c>
      <c r="AS13" s="38">
        <v>16</v>
      </c>
      <c r="AT13" s="39">
        <f t="shared" si="6"/>
        <v>0.0625</v>
      </c>
    </row>
    <row r="14" s="105" customFormat="1" ht="20.15" customHeight="1" spans="1:46">
      <c r="A14" s="68">
        <v>3</v>
      </c>
      <c r="B14" s="149" t="s">
        <v>116</v>
      </c>
      <c r="C14" s="149" t="s">
        <v>165</v>
      </c>
      <c r="D14" s="149" t="str">
        <f>VLOOKUP(B14,'[1]MASTER DATA 2025'!$C$3:$E$279,3,0)</f>
        <v>0Tahun9 Bulan</v>
      </c>
      <c r="E14" s="96"/>
      <c r="F14" s="96"/>
      <c r="G14" s="96"/>
      <c r="H14" s="96"/>
      <c r="I14" s="96"/>
      <c r="J14" s="96" t="s">
        <v>13</v>
      </c>
      <c r="K14" s="96"/>
      <c r="L14" s="96"/>
      <c r="M14" s="96" t="s">
        <v>13</v>
      </c>
      <c r="N14" s="96"/>
      <c r="O14" s="96"/>
      <c r="P14" s="96"/>
      <c r="Q14" s="96"/>
      <c r="R14" s="96"/>
      <c r="S14" s="96" t="s">
        <v>12</v>
      </c>
      <c r="T14" s="96"/>
      <c r="U14" s="259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 t="s">
        <v>11</v>
      </c>
      <c r="AG14" s="96"/>
      <c r="AH14" s="96"/>
      <c r="AI14" s="96"/>
      <c r="AJ14" s="96"/>
      <c r="AL14" s="151">
        <f t="shared" si="0"/>
        <v>0</v>
      </c>
      <c r="AM14" s="35">
        <f t="shared" si="1"/>
        <v>1</v>
      </c>
      <c r="AN14" s="35">
        <f t="shared" si="2"/>
        <v>1</v>
      </c>
      <c r="AO14" s="47">
        <f t="shared" si="3"/>
        <v>2</v>
      </c>
      <c r="AP14" s="36">
        <f t="shared" si="4"/>
        <v>0</v>
      </c>
      <c r="AQ14" s="48">
        <f t="shared" si="5"/>
        <v>4</v>
      </c>
      <c r="AR14" s="49" t="s">
        <v>166</v>
      </c>
      <c r="AS14" s="38">
        <v>16</v>
      </c>
      <c r="AT14" s="39">
        <f t="shared" si="6"/>
        <v>0.25</v>
      </c>
    </row>
    <row r="15" s="105" customFormat="1" ht="20.15" customHeight="1" spans="1:46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259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L15" s="151">
        <f t="shared" si="0"/>
        <v>0</v>
      </c>
      <c r="AM15" s="35">
        <f t="shared" si="1"/>
        <v>0</v>
      </c>
      <c r="AN15" s="36">
        <f t="shared" si="2"/>
        <v>0</v>
      </c>
      <c r="AO15" s="36">
        <f t="shared" si="3"/>
        <v>0</v>
      </c>
      <c r="AP15" s="36">
        <f t="shared" si="4"/>
        <v>0</v>
      </c>
      <c r="AQ15" s="37">
        <f t="shared" si="5"/>
        <v>0</v>
      </c>
      <c r="AR15" s="37"/>
      <c r="AS15" s="38">
        <v>16</v>
      </c>
      <c r="AT15" s="39">
        <f t="shared" si="6"/>
        <v>0</v>
      </c>
    </row>
    <row r="16" s="105" customFormat="1" ht="20.15" customHeight="1" spans="1:46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96"/>
      <c r="F16" s="96"/>
      <c r="G16" s="96"/>
      <c r="H16" s="96" t="s">
        <v>13</v>
      </c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259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 t="s">
        <v>11</v>
      </c>
      <c r="AJ16" s="96"/>
      <c r="AL16" s="151">
        <f t="shared" si="0"/>
        <v>0</v>
      </c>
      <c r="AM16" s="35">
        <f t="shared" si="1"/>
        <v>1</v>
      </c>
      <c r="AN16" s="36">
        <f t="shared" si="2"/>
        <v>0</v>
      </c>
      <c r="AO16" s="36">
        <f t="shared" si="3"/>
        <v>1</v>
      </c>
      <c r="AP16" s="36">
        <f t="shared" si="4"/>
        <v>0</v>
      </c>
      <c r="AQ16" s="37">
        <f t="shared" si="5"/>
        <v>2</v>
      </c>
      <c r="AR16" s="52" t="s">
        <v>167</v>
      </c>
      <c r="AS16" s="38">
        <v>16</v>
      </c>
      <c r="AT16" s="39">
        <f t="shared" si="6"/>
        <v>0.125</v>
      </c>
    </row>
    <row r="17" s="105" customFormat="1" ht="20.15" customHeight="1" spans="1:46">
      <c r="A17" s="68">
        <v>6</v>
      </c>
      <c r="B17" s="154" t="s">
        <v>23</v>
      </c>
      <c r="C17" s="154" t="s">
        <v>16</v>
      </c>
      <c r="D17" s="149" t="str">
        <f>VLOOKUP(B17,'[1]MASTER DATA 2025'!$C$3:$E$279,3,0)</f>
        <v>1Tahun4 Bulan</v>
      </c>
      <c r="E17" s="96"/>
      <c r="F17" s="96"/>
      <c r="G17" s="96"/>
      <c r="H17" s="96"/>
      <c r="I17" s="96"/>
      <c r="J17" s="96"/>
      <c r="K17" s="96"/>
      <c r="L17" s="96"/>
      <c r="M17" s="96" t="s">
        <v>13</v>
      </c>
      <c r="N17" s="96"/>
      <c r="O17" s="96"/>
      <c r="P17" s="96" t="s">
        <v>13</v>
      </c>
      <c r="Q17" s="96"/>
      <c r="R17" s="96"/>
      <c r="S17" s="96"/>
      <c r="T17" s="96"/>
      <c r="U17" s="259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L17" s="151">
        <f t="shared" si="0"/>
        <v>0</v>
      </c>
      <c r="AM17" s="35">
        <f t="shared" si="1"/>
        <v>0</v>
      </c>
      <c r="AN17" s="36">
        <f t="shared" si="2"/>
        <v>0</v>
      </c>
      <c r="AO17" s="35">
        <f t="shared" si="3"/>
        <v>2</v>
      </c>
      <c r="AP17" s="36">
        <f t="shared" si="4"/>
        <v>0</v>
      </c>
      <c r="AQ17" s="37">
        <f t="shared" si="5"/>
        <v>2</v>
      </c>
      <c r="AR17" s="37" t="s">
        <v>25</v>
      </c>
      <c r="AS17" s="38">
        <v>16</v>
      </c>
      <c r="AT17" s="39">
        <f t="shared" si="6"/>
        <v>0.125</v>
      </c>
    </row>
    <row r="18" s="105" customFormat="1" ht="20.15" customHeight="1" spans="1:46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259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L18" s="151">
        <f t="shared" si="0"/>
        <v>0</v>
      </c>
      <c r="AM18" s="36">
        <f t="shared" si="1"/>
        <v>0</v>
      </c>
      <c r="AN18" s="35">
        <f t="shared" si="2"/>
        <v>0</v>
      </c>
      <c r="AO18" s="36">
        <f t="shared" si="3"/>
        <v>0</v>
      </c>
      <c r="AP18" s="36">
        <f t="shared" si="4"/>
        <v>0</v>
      </c>
      <c r="AQ18" s="37">
        <f t="shared" si="5"/>
        <v>0</v>
      </c>
      <c r="AR18" s="37"/>
      <c r="AS18" s="38">
        <v>16</v>
      </c>
      <c r="AT18" s="39">
        <f t="shared" si="6"/>
        <v>0</v>
      </c>
    </row>
    <row r="19" s="105" customFormat="1" ht="20.15" customHeight="1" spans="1:46">
      <c r="A19" s="68">
        <v>8</v>
      </c>
      <c r="B19" s="154" t="s">
        <v>26</v>
      </c>
      <c r="C19" s="150" t="s">
        <v>16</v>
      </c>
      <c r="D19" s="149" t="str">
        <f>VLOOKUP(B19,'[1]MASTER DATA 2025'!$C$3:$E$279,3,0)</f>
        <v>0Tahun3 Bulan</v>
      </c>
      <c r="E19" s="260"/>
      <c r="F19" s="96" t="s">
        <v>11</v>
      </c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 t="s">
        <v>13</v>
      </c>
      <c r="S19" s="96"/>
      <c r="T19" s="96"/>
      <c r="U19" s="259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L19" s="151">
        <f t="shared" si="0"/>
        <v>0</v>
      </c>
      <c r="AM19" s="35">
        <f t="shared" si="1"/>
        <v>1</v>
      </c>
      <c r="AN19" s="36">
        <f t="shared" si="2"/>
        <v>0</v>
      </c>
      <c r="AO19" s="36">
        <f t="shared" si="3"/>
        <v>1</v>
      </c>
      <c r="AP19" s="36">
        <f t="shared" si="4"/>
        <v>0</v>
      </c>
      <c r="AQ19" s="37">
        <f t="shared" si="5"/>
        <v>2</v>
      </c>
      <c r="AR19" s="37" t="s">
        <v>25</v>
      </c>
      <c r="AS19" s="38">
        <v>16</v>
      </c>
      <c r="AT19" s="39">
        <f t="shared" si="6"/>
        <v>0.125</v>
      </c>
    </row>
    <row r="20" s="105" customFormat="1" ht="20.25" customHeight="1" spans="1:46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260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 t="s">
        <v>13</v>
      </c>
      <c r="Q20" s="96"/>
      <c r="R20" s="96"/>
      <c r="S20" s="96"/>
      <c r="T20" s="96"/>
      <c r="U20" s="259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L20" s="151">
        <f t="shared" si="0"/>
        <v>0</v>
      </c>
      <c r="AM20" s="35">
        <f t="shared" si="1"/>
        <v>0</v>
      </c>
      <c r="AN20" s="36">
        <f t="shared" si="2"/>
        <v>0</v>
      </c>
      <c r="AO20" s="36">
        <f t="shared" si="3"/>
        <v>1</v>
      </c>
      <c r="AP20" s="36">
        <f t="shared" si="4"/>
        <v>0</v>
      </c>
      <c r="AQ20" s="37">
        <f t="shared" si="5"/>
        <v>1</v>
      </c>
      <c r="AR20" s="37"/>
      <c r="AS20" s="38">
        <v>16</v>
      </c>
      <c r="AT20" s="39">
        <f t="shared" si="6"/>
        <v>0.0625</v>
      </c>
    </row>
    <row r="21" s="105" customFormat="1" ht="20.15" customHeight="1" spans="1:46">
      <c r="A21" s="68">
        <v>10</v>
      </c>
      <c r="B21" s="154" t="s">
        <v>28</v>
      </c>
      <c r="C21" s="150" t="s">
        <v>16</v>
      </c>
      <c r="D21" s="149" t="str">
        <f>VLOOKUP(B21,'[1]MASTER DATA 2025'!$C$3:$E$279,3,0)</f>
        <v>0Tahun7 Bulan</v>
      </c>
      <c r="E21" s="260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259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L21" s="151">
        <f t="shared" si="0"/>
        <v>0</v>
      </c>
      <c r="AM21" s="35">
        <f t="shared" si="1"/>
        <v>0</v>
      </c>
      <c r="AN21" s="36">
        <f t="shared" si="2"/>
        <v>0</v>
      </c>
      <c r="AO21" s="36">
        <f t="shared" si="3"/>
        <v>0</v>
      </c>
      <c r="AP21" s="36">
        <f t="shared" si="4"/>
        <v>0</v>
      </c>
      <c r="AQ21" s="37">
        <f t="shared" si="5"/>
        <v>0</v>
      </c>
      <c r="AR21" s="37" t="s">
        <v>25</v>
      </c>
      <c r="AS21" s="38">
        <v>16</v>
      </c>
      <c r="AT21" s="39">
        <f t="shared" si="6"/>
        <v>0</v>
      </c>
    </row>
    <row r="22" s="105" customFormat="1" ht="20.15" customHeight="1" spans="1:46">
      <c r="A22" s="68">
        <v>11</v>
      </c>
      <c r="B22" s="155" t="s">
        <v>29</v>
      </c>
      <c r="C22" s="150" t="s">
        <v>16</v>
      </c>
      <c r="D22" s="149" t="str">
        <f>VLOOKUP(B22,'[1]MASTER DATA 2025'!$C$3:$E$279,3,0)</f>
        <v>0Tahun5 Bulan</v>
      </c>
      <c r="E22" s="260"/>
      <c r="F22" s="96"/>
      <c r="G22" s="96"/>
      <c r="H22" s="96"/>
      <c r="I22" s="96"/>
      <c r="J22" s="96"/>
      <c r="K22" s="96"/>
      <c r="L22" s="96"/>
      <c r="M22" s="96"/>
      <c r="N22" s="96"/>
      <c r="O22" s="96" t="s">
        <v>13</v>
      </c>
      <c r="P22" s="96"/>
      <c r="Q22" s="96"/>
      <c r="R22" s="96"/>
      <c r="S22" s="96"/>
      <c r="T22" s="96"/>
      <c r="U22" s="259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L22" s="151">
        <f t="shared" si="0"/>
        <v>0</v>
      </c>
      <c r="AM22" s="35">
        <f t="shared" si="1"/>
        <v>0</v>
      </c>
      <c r="AN22" s="36">
        <f t="shared" si="2"/>
        <v>0</v>
      </c>
      <c r="AO22" s="36">
        <f t="shared" si="3"/>
        <v>1</v>
      </c>
      <c r="AP22" s="36">
        <f t="shared" si="4"/>
        <v>0</v>
      </c>
      <c r="AQ22" s="37">
        <f t="shared" si="5"/>
        <v>1</v>
      </c>
      <c r="AR22" s="52"/>
      <c r="AS22" s="38">
        <v>16</v>
      </c>
      <c r="AT22" s="39">
        <f t="shared" si="6"/>
        <v>0.0625</v>
      </c>
    </row>
    <row r="23" s="105" customFormat="1" ht="20.15" customHeight="1" spans="1:46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260"/>
      <c r="F23" s="96"/>
      <c r="G23" s="96"/>
      <c r="H23" s="96"/>
      <c r="I23" s="96"/>
      <c r="J23" s="96" t="s">
        <v>13</v>
      </c>
      <c r="K23" s="96"/>
      <c r="L23" s="96"/>
      <c r="M23" s="96" t="s">
        <v>13</v>
      </c>
      <c r="N23" s="96"/>
      <c r="O23" s="96"/>
      <c r="P23" s="96"/>
      <c r="Q23" s="96"/>
      <c r="R23" s="96"/>
      <c r="S23" s="96"/>
      <c r="T23" s="96"/>
      <c r="U23" s="259"/>
      <c r="V23" s="96" t="s">
        <v>13</v>
      </c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L23" s="151">
        <f t="shared" si="0"/>
        <v>0</v>
      </c>
      <c r="AM23" s="35">
        <f t="shared" si="1"/>
        <v>0</v>
      </c>
      <c r="AN23" s="35">
        <f t="shared" si="2"/>
        <v>0</v>
      </c>
      <c r="AO23" s="35">
        <f t="shared" si="3"/>
        <v>3</v>
      </c>
      <c r="AP23" s="36">
        <f t="shared" si="4"/>
        <v>0</v>
      </c>
      <c r="AQ23" s="37">
        <f t="shared" si="5"/>
        <v>3</v>
      </c>
      <c r="AR23" s="37" t="s">
        <v>25</v>
      </c>
      <c r="AS23" s="38">
        <v>16</v>
      </c>
      <c r="AT23" s="39">
        <f t="shared" si="6"/>
        <v>0.1875</v>
      </c>
    </row>
    <row r="24" s="105" customFormat="1" ht="20.15" customHeight="1" spans="1:46">
      <c r="A24" s="68">
        <v>13</v>
      </c>
      <c r="B24" s="155" t="s">
        <v>31</v>
      </c>
      <c r="C24" s="150" t="s">
        <v>16</v>
      </c>
      <c r="D24" s="149" t="str">
        <f>VLOOKUP(B24,'[1]MASTER DATA 2025'!$C$3:$E$279,3,0)</f>
        <v>1Tahun2 Bulan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259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L24" s="151">
        <f t="shared" si="0"/>
        <v>0</v>
      </c>
      <c r="AM24" s="35">
        <f t="shared" si="1"/>
        <v>0</v>
      </c>
      <c r="AN24" s="35">
        <f t="shared" si="2"/>
        <v>0</v>
      </c>
      <c r="AO24" s="36">
        <f t="shared" si="3"/>
        <v>0</v>
      </c>
      <c r="AP24" s="36">
        <f t="shared" si="4"/>
        <v>0</v>
      </c>
      <c r="AQ24" s="37">
        <f t="shared" si="5"/>
        <v>0</v>
      </c>
      <c r="AR24" s="52" t="s">
        <v>18</v>
      </c>
      <c r="AS24" s="38">
        <v>16</v>
      </c>
      <c r="AT24" s="39">
        <f t="shared" si="6"/>
        <v>0</v>
      </c>
    </row>
    <row r="25" s="105" customFormat="1" ht="20.15" customHeight="1" spans="1:46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96"/>
      <c r="F25" s="96" t="s">
        <v>13</v>
      </c>
      <c r="G25" s="96"/>
      <c r="H25" s="96"/>
      <c r="I25" s="96"/>
      <c r="J25" s="96"/>
      <c r="K25" s="96" t="s">
        <v>11</v>
      </c>
      <c r="L25" s="96"/>
      <c r="M25" s="96"/>
      <c r="N25" s="96"/>
      <c r="O25" s="96"/>
      <c r="P25" s="96" t="s">
        <v>11</v>
      </c>
      <c r="Q25" s="96"/>
      <c r="R25" s="96" t="s">
        <v>11</v>
      </c>
      <c r="S25" s="96" t="s">
        <v>11</v>
      </c>
      <c r="T25" s="96"/>
      <c r="U25" s="259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L25" s="151">
        <f t="shared" si="0"/>
        <v>0</v>
      </c>
      <c r="AM25" s="35">
        <f t="shared" si="1"/>
        <v>4</v>
      </c>
      <c r="AN25" s="35">
        <f t="shared" si="2"/>
        <v>0</v>
      </c>
      <c r="AO25" s="47">
        <f t="shared" si="3"/>
        <v>1</v>
      </c>
      <c r="AP25" s="36">
        <f t="shared" si="4"/>
        <v>0</v>
      </c>
      <c r="AQ25" s="37">
        <f t="shared" si="5"/>
        <v>5</v>
      </c>
      <c r="AR25" s="38" t="s">
        <v>168</v>
      </c>
      <c r="AS25" s="38">
        <v>16</v>
      </c>
      <c r="AT25" s="39">
        <f t="shared" si="6"/>
        <v>0.3125</v>
      </c>
    </row>
    <row r="26" s="105" customFormat="1" ht="20.15" customHeight="1" spans="1:46">
      <c r="A26" s="68">
        <v>15</v>
      </c>
      <c r="B26" s="154" t="s">
        <v>33</v>
      </c>
      <c r="C26" s="150" t="s">
        <v>16</v>
      </c>
      <c r="D26" s="149" t="str">
        <f>VLOOKUP(B26,'[1]MASTER DATA 2025'!$C$3:$E$279,3,0)</f>
        <v>0Tahun3 Bulan</v>
      </c>
      <c r="E26" s="96"/>
      <c r="F26" s="96"/>
      <c r="G26" s="96"/>
      <c r="H26" s="96" t="s">
        <v>11</v>
      </c>
      <c r="I26" s="96"/>
      <c r="J26" s="96"/>
      <c r="K26" s="96"/>
      <c r="L26" s="96"/>
      <c r="M26" s="96"/>
      <c r="N26" s="96"/>
      <c r="O26" s="96"/>
      <c r="P26" s="96"/>
      <c r="Q26" s="96" t="s">
        <v>13</v>
      </c>
      <c r="R26" s="96"/>
      <c r="S26" s="96"/>
      <c r="T26" s="96"/>
      <c r="U26" s="259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L26" s="151">
        <f t="shared" si="0"/>
        <v>0</v>
      </c>
      <c r="AM26" s="35">
        <f t="shared" si="1"/>
        <v>1</v>
      </c>
      <c r="AN26" s="36">
        <f t="shared" si="2"/>
        <v>0</v>
      </c>
      <c r="AO26" s="36">
        <f t="shared" si="3"/>
        <v>1</v>
      </c>
      <c r="AP26" s="36">
        <f t="shared" si="4"/>
        <v>0</v>
      </c>
      <c r="AQ26" s="37">
        <f t="shared" si="5"/>
        <v>2</v>
      </c>
      <c r="AR26" s="37"/>
      <c r="AS26" s="38">
        <v>16</v>
      </c>
      <c r="AT26" s="39">
        <f t="shared" si="6"/>
        <v>0.125</v>
      </c>
    </row>
    <row r="27" s="105" customFormat="1" ht="20.15" customHeight="1" spans="1:46">
      <c r="A27" s="68">
        <v>16</v>
      </c>
      <c r="B27" s="154" t="s">
        <v>34</v>
      </c>
      <c r="C27" s="150" t="s">
        <v>16</v>
      </c>
      <c r="D27" s="149" t="str">
        <f>VLOOKUP(B27,'[1]MASTER DATA 2025'!$C$3:$E$279,3,0)</f>
        <v>0Tahun8 Bulan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259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L27" s="151">
        <f t="shared" si="0"/>
        <v>0</v>
      </c>
      <c r="AM27" s="35">
        <f t="shared" si="1"/>
        <v>0</v>
      </c>
      <c r="AN27" s="36">
        <f t="shared" si="2"/>
        <v>0</v>
      </c>
      <c r="AO27" s="36">
        <f t="shared" si="3"/>
        <v>0</v>
      </c>
      <c r="AP27" s="36">
        <f t="shared" si="4"/>
        <v>0</v>
      </c>
      <c r="AQ27" s="37">
        <f t="shared" si="5"/>
        <v>0</v>
      </c>
      <c r="AR27" s="37" t="s">
        <v>25</v>
      </c>
      <c r="AS27" s="38">
        <v>16</v>
      </c>
      <c r="AT27" s="39">
        <f t="shared" si="6"/>
        <v>0</v>
      </c>
    </row>
    <row r="28" s="105" customFormat="1" ht="20.15" customHeight="1" spans="1:46">
      <c r="A28" s="68">
        <v>17</v>
      </c>
      <c r="B28" s="154" t="s">
        <v>35</v>
      </c>
      <c r="C28" s="150" t="s">
        <v>16</v>
      </c>
      <c r="D28" s="149" t="str">
        <f>VLOOKUP(B28,'[1]MASTER DATA 2025'!$C$3:$E$279,3,0)</f>
        <v>0Tahun3 Bulan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 t="s">
        <v>13</v>
      </c>
      <c r="P28" s="96"/>
      <c r="Q28" s="96"/>
      <c r="R28" s="96"/>
      <c r="S28" s="96"/>
      <c r="T28" s="96"/>
      <c r="U28" s="259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L28" s="151">
        <f t="shared" si="0"/>
        <v>0</v>
      </c>
      <c r="AM28" s="35">
        <f t="shared" si="1"/>
        <v>0</v>
      </c>
      <c r="AN28" s="36">
        <f t="shared" si="2"/>
        <v>0</v>
      </c>
      <c r="AO28" s="36">
        <f t="shared" si="3"/>
        <v>1</v>
      </c>
      <c r="AP28" s="36">
        <f t="shared" si="4"/>
        <v>0</v>
      </c>
      <c r="AQ28" s="37">
        <f t="shared" si="5"/>
        <v>1</v>
      </c>
      <c r="AR28" s="37" t="s">
        <v>25</v>
      </c>
      <c r="AS28" s="38">
        <v>16</v>
      </c>
      <c r="AT28" s="39">
        <f t="shared" si="6"/>
        <v>0.0625</v>
      </c>
    </row>
    <row r="29" s="105" customFormat="1" ht="20.15" customHeight="1" spans="1:46">
      <c r="A29" s="68">
        <v>18</v>
      </c>
      <c r="B29" s="149" t="s">
        <v>36</v>
      </c>
      <c r="C29" s="150" t="s">
        <v>20</v>
      </c>
      <c r="D29" s="149" t="str">
        <f>VLOOKUP(B29,'[1]MASTER DATA 2025'!$C$3:$E$279,3,0)</f>
        <v>0Tahun7 Bulan</v>
      </c>
      <c r="E29" s="96"/>
      <c r="F29" s="96"/>
      <c r="G29" s="96"/>
      <c r="H29" s="96"/>
      <c r="I29" s="96"/>
      <c r="J29" s="96"/>
      <c r="K29" s="96"/>
      <c r="L29" s="96" t="s">
        <v>11</v>
      </c>
      <c r="M29" s="96"/>
      <c r="N29" s="96"/>
      <c r="O29" s="96"/>
      <c r="P29" s="96"/>
      <c r="Q29" s="96"/>
      <c r="R29" s="96"/>
      <c r="S29" s="96"/>
      <c r="T29" s="96"/>
      <c r="U29" s="259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L29" s="151">
        <f t="shared" si="0"/>
        <v>0</v>
      </c>
      <c r="AM29" s="35">
        <f t="shared" si="1"/>
        <v>1</v>
      </c>
      <c r="AN29" s="35">
        <f t="shared" si="2"/>
        <v>0</v>
      </c>
      <c r="AO29" s="47">
        <f t="shared" si="3"/>
        <v>0</v>
      </c>
      <c r="AP29" s="36">
        <f t="shared" si="4"/>
        <v>0</v>
      </c>
      <c r="AQ29" s="37">
        <f t="shared" si="5"/>
        <v>1</v>
      </c>
      <c r="AR29" s="37" t="s">
        <v>25</v>
      </c>
      <c r="AS29" s="38">
        <v>16</v>
      </c>
      <c r="AT29" s="39">
        <f t="shared" si="6"/>
        <v>0.0625</v>
      </c>
    </row>
    <row r="30" s="105" customFormat="1" ht="20.15" customHeight="1" spans="1:46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259" t="s">
        <v>13</v>
      </c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L30" s="151">
        <f t="shared" si="0"/>
        <v>0</v>
      </c>
      <c r="AM30" s="35">
        <f t="shared" si="1"/>
        <v>0</v>
      </c>
      <c r="AN30" s="35">
        <f t="shared" si="2"/>
        <v>0</v>
      </c>
      <c r="AO30" s="35">
        <f t="shared" si="3"/>
        <v>1</v>
      </c>
      <c r="AP30" s="36">
        <f t="shared" si="4"/>
        <v>0</v>
      </c>
      <c r="AQ30" s="37">
        <f t="shared" si="5"/>
        <v>1</v>
      </c>
      <c r="AR30" s="52" t="s">
        <v>18</v>
      </c>
      <c r="AS30" s="38">
        <v>16</v>
      </c>
      <c r="AT30" s="39">
        <f t="shared" si="6"/>
        <v>0.0625</v>
      </c>
    </row>
    <row r="31" s="105" customFormat="1" ht="20.15" customHeight="1" spans="1:46">
      <c r="A31" s="68">
        <v>20</v>
      </c>
      <c r="B31" s="154" t="s">
        <v>39</v>
      </c>
      <c r="C31" s="150" t="s">
        <v>16</v>
      </c>
      <c r="D31" s="149" t="str">
        <f>VLOOKUP(B31,'[1]MASTER DATA 2025'!$C$3:$E$279,3,0)</f>
        <v>0Tahun9 Bulan</v>
      </c>
      <c r="E31" s="96"/>
      <c r="F31" s="96"/>
      <c r="G31" s="96"/>
      <c r="H31" s="96"/>
      <c r="I31" s="96"/>
      <c r="J31" s="96"/>
      <c r="K31" s="96"/>
      <c r="L31" s="96" t="s">
        <v>13</v>
      </c>
      <c r="M31" s="96"/>
      <c r="N31" s="96"/>
      <c r="O31" s="96"/>
      <c r="P31" s="96"/>
      <c r="Q31" s="96"/>
      <c r="R31" s="96"/>
      <c r="S31" s="96"/>
      <c r="T31" s="96"/>
      <c r="U31" s="259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L31" s="151">
        <f t="shared" si="0"/>
        <v>0</v>
      </c>
      <c r="AM31" s="35">
        <f t="shared" si="1"/>
        <v>0</v>
      </c>
      <c r="AN31" s="36">
        <f t="shared" si="2"/>
        <v>0</v>
      </c>
      <c r="AO31" s="36">
        <f t="shared" si="3"/>
        <v>1</v>
      </c>
      <c r="AP31" s="36">
        <f t="shared" si="4"/>
        <v>0</v>
      </c>
      <c r="AQ31" s="37">
        <f t="shared" si="5"/>
        <v>1</v>
      </c>
      <c r="AR31" s="37" t="s">
        <v>25</v>
      </c>
      <c r="AS31" s="38">
        <v>16</v>
      </c>
      <c r="AT31" s="39">
        <f t="shared" si="6"/>
        <v>0.0625</v>
      </c>
    </row>
    <row r="32" s="105" customFormat="1" ht="20.15" customHeight="1" spans="1:46">
      <c r="A32" s="68">
        <v>21</v>
      </c>
      <c r="B32" s="154" t="s">
        <v>41</v>
      </c>
      <c r="C32" s="150" t="s">
        <v>16</v>
      </c>
      <c r="D32" s="149" t="str">
        <f>VLOOKUP(B32,'[1]MASTER DATA 2025'!$C$3:$E$279,3,0)</f>
        <v>0Tahun2 Bulan</v>
      </c>
      <c r="E32" s="96"/>
      <c r="F32" s="96"/>
      <c r="G32" s="96"/>
      <c r="H32" s="96"/>
      <c r="I32" s="96"/>
      <c r="J32" s="96"/>
      <c r="K32" s="96"/>
      <c r="L32" s="96"/>
      <c r="M32" s="96"/>
      <c r="N32" s="96" t="s">
        <v>13</v>
      </c>
      <c r="O32" s="96"/>
      <c r="P32" s="96"/>
      <c r="Q32" s="96"/>
      <c r="R32" s="96"/>
      <c r="S32" s="96"/>
      <c r="T32" s="96"/>
      <c r="U32" s="259"/>
      <c r="V32" s="96"/>
      <c r="W32" s="96"/>
      <c r="X32" s="96"/>
      <c r="Y32" s="96" t="s">
        <v>13</v>
      </c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L32" s="151">
        <f t="shared" si="0"/>
        <v>0</v>
      </c>
      <c r="AM32" s="35">
        <f t="shared" si="1"/>
        <v>0</v>
      </c>
      <c r="AN32" s="35">
        <f t="shared" si="2"/>
        <v>0</v>
      </c>
      <c r="AO32" s="36">
        <f t="shared" si="3"/>
        <v>2</v>
      </c>
      <c r="AP32" s="36">
        <f t="shared" si="4"/>
        <v>0</v>
      </c>
      <c r="AQ32" s="37">
        <f t="shared" si="5"/>
        <v>2</v>
      </c>
      <c r="AR32" s="52" t="s">
        <v>18</v>
      </c>
      <c r="AS32" s="38">
        <v>16</v>
      </c>
      <c r="AT32" s="39">
        <f t="shared" si="6"/>
        <v>0.125</v>
      </c>
    </row>
    <row r="33" s="105" customFormat="1" ht="20.15" customHeight="1" spans="1:46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259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L33" s="151">
        <f t="shared" si="0"/>
        <v>0</v>
      </c>
      <c r="AM33" s="35">
        <f t="shared" si="1"/>
        <v>0</v>
      </c>
      <c r="AN33" s="36">
        <f t="shared" si="2"/>
        <v>0</v>
      </c>
      <c r="AO33" s="36">
        <f t="shared" si="3"/>
        <v>0</v>
      </c>
      <c r="AP33" s="36">
        <f t="shared" si="4"/>
        <v>0</v>
      </c>
      <c r="AQ33" s="37">
        <f t="shared" si="5"/>
        <v>0</v>
      </c>
      <c r="AR33" s="37"/>
      <c r="AS33" s="38">
        <v>16</v>
      </c>
      <c r="AT33" s="39">
        <f t="shared" si="6"/>
        <v>0</v>
      </c>
    </row>
    <row r="34" s="105" customFormat="1" ht="20.15" customHeight="1" spans="1:46">
      <c r="A34" s="68">
        <v>23</v>
      </c>
      <c r="B34" s="157" t="s">
        <v>44</v>
      </c>
      <c r="C34" s="150" t="s">
        <v>16</v>
      </c>
      <c r="D34" s="149" t="str">
        <f>VLOOKUP(B34,'[1]MASTER DATA 2025'!$C$3:$E$279,3,0)</f>
        <v>2Tahun3 Bulan</v>
      </c>
      <c r="E34" s="96"/>
      <c r="F34" s="96"/>
      <c r="G34" s="96"/>
      <c r="H34" s="96"/>
      <c r="I34" s="96"/>
      <c r="J34" s="96"/>
      <c r="K34" s="96" t="s">
        <v>13</v>
      </c>
      <c r="L34" s="96"/>
      <c r="M34" s="96"/>
      <c r="N34" s="96"/>
      <c r="O34" s="96"/>
      <c r="P34" s="96"/>
      <c r="Q34" s="96"/>
      <c r="R34" s="96"/>
      <c r="S34" s="96"/>
      <c r="T34" s="96"/>
      <c r="U34" s="259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L34" s="151">
        <f t="shared" si="0"/>
        <v>0</v>
      </c>
      <c r="AM34" s="35">
        <f t="shared" si="1"/>
        <v>0</v>
      </c>
      <c r="AN34" s="35">
        <f t="shared" si="2"/>
        <v>0</v>
      </c>
      <c r="AO34" s="36">
        <f t="shared" si="3"/>
        <v>1</v>
      </c>
      <c r="AP34" s="36">
        <f t="shared" si="4"/>
        <v>0</v>
      </c>
      <c r="AQ34" s="37">
        <f t="shared" si="5"/>
        <v>1</v>
      </c>
      <c r="AR34" s="37"/>
      <c r="AS34" s="38">
        <v>16</v>
      </c>
      <c r="AT34" s="39">
        <f t="shared" si="6"/>
        <v>0.0625</v>
      </c>
    </row>
    <row r="35" s="105" customFormat="1" ht="20.15" customHeight="1" spans="1:46">
      <c r="A35" s="68">
        <v>24</v>
      </c>
      <c r="B35" s="149" t="s">
        <v>117</v>
      </c>
      <c r="C35" s="150" t="s">
        <v>16</v>
      </c>
      <c r="D35" s="149" t="str">
        <f>VLOOKUP(B35,'[1]MASTER DATA 2025'!$C$3:$E$279,3,0)</f>
        <v>2Tahun8 Bulan</v>
      </c>
      <c r="E35" s="96" t="s">
        <v>13</v>
      </c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 t="s">
        <v>13</v>
      </c>
      <c r="T35" s="96"/>
      <c r="U35" s="259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L35" s="151">
        <f t="shared" si="0"/>
        <v>0</v>
      </c>
      <c r="AM35" s="35">
        <f t="shared" si="1"/>
        <v>0</v>
      </c>
      <c r="AN35" s="36">
        <f t="shared" si="2"/>
        <v>0</v>
      </c>
      <c r="AO35" s="35">
        <f t="shared" si="3"/>
        <v>2</v>
      </c>
      <c r="AP35" s="36">
        <f t="shared" si="4"/>
        <v>0</v>
      </c>
      <c r="AQ35" s="37">
        <f t="shared" si="5"/>
        <v>2</v>
      </c>
      <c r="AR35" s="52" t="s">
        <v>18</v>
      </c>
      <c r="AS35" s="38">
        <v>16</v>
      </c>
      <c r="AT35" s="39">
        <f t="shared" si="6"/>
        <v>0.125</v>
      </c>
    </row>
    <row r="36" s="105" customFormat="1" ht="20.15" customHeight="1" spans="1:46">
      <c r="A36" s="68">
        <v>25</v>
      </c>
      <c r="B36" s="153" t="s">
        <v>46</v>
      </c>
      <c r="C36" s="150" t="s">
        <v>16</v>
      </c>
      <c r="D36" s="149" t="str">
        <f>VLOOKUP(B36,'[1]MASTER DATA 2025'!$C$3:$E$279,3,0)</f>
        <v>0Tahun3 Bulan</v>
      </c>
      <c r="E36" s="96"/>
      <c r="F36" s="96"/>
      <c r="G36" s="96"/>
      <c r="H36" s="96"/>
      <c r="I36" s="96"/>
      <c r="J36" s="96"/>
      <c r="K36" s="96" t="s">
        <v>13</v>
      </c>
      <c r="L36" s="96"/>
      <c r="M36" s="96"/>
      <c r="N36" s="96"/>
      <c r="O36" s="96"/>
      <c r="P36" s="96"/>
      <c r="Q36" s="96"/>
      <c r="R36" s="96"/>
      <c r="S36" s="96"/>
      <c r="T36" s="96"/>
      <c r="U36" s="259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L36" s="151">
        <f t="shared" si="0"/>
        <v>0</v>
      </c>
      <c r="AM36" s="35">
        <f t="shared" si="1"/>
        <v>0</v>
      </c>
      <c r="AN36" s="35">
        <f t="shared" si="2"/>
        <v>0</v>
      </c>
      <c r="AO36" s="35">
        <f t="shared" si="3"/>
        <v>1</v>
      </c>
      <c r="AP36" s="36">
        <f t="shared" si="4"/>
        <v>0</v>
      </c>
      <c r="AQ36" s="37">
        <f t="shared" si="5"/>
        <v>1</v>
      </c>
      <c r="AR36" s="37" t="s">
        <v>25</v>
      </c>
      <c r="AS36" s="38">
        <v>16</v>
      </c>
      <c r="AT36" s="39">
        <f t="shared" si="6"/>
        <v>0.0625</v>
      </c>
    </row>
    <row r="37" s="105" customFormat="1" ht="20.15" customHeight="1" spans="1:46">
      <c r="A37" s="68">
        <v>26</v>
      </c>
      <c r="B37" s="149" t="s">
        <v>47</v>
      </c>
      <c r="C37" s="150" t="s">
        <v>16</v>
      </c>
      <c r="D37" s="149" t="str">
        <f>VLOOKUP(B37,'[1]MASTER DATA 2025'!$C$3:$E$279,3,0)</f>
        <v>2Tahun8 Bulan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259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L37" s="151">
        <f t="shared" si="0"/>
        <v>0</v>
      </c>
      <c r="AM37" s="35">
        <f t="shared" si="1"/>
        <v>0</v>
      </c>
      <c r="AN37" s="36">
        <f t="shared" si="2"/>
        <v>0</v>
      </c>
      <c r="AO37" s="36">
        <f t="shared" si="3"/>
        <v>0</v>
      </c>
      <c r="AP37" s="36">
        <f t="shared" si="4"/>
        <v>0</v>
      </c>
      <c r="AQ37" s="37">
        <f t="shared" si="5"/>
        <v>0</v>
      </c>
      <c r="AR37" s="37"/>
      <c r="AS37" s="38">
        <v>16</v>
      </c>
      <c r="AT37" s="39">
        <f t="shared" si="6"/>
        <v>0</v>
      </c>
    </row>
    <row r="38" s="105" customFormat="1" ht="20.15" customHeight="1" spans="1:46">
      <c r="A38" s="68">
        <v>27</v>
      </c>
      <c r="B38" s="149" t="s">
        <v>48</v>
      </c>
      <c r="C38" s="150" t="s">
        <v>16</v>
      </c>
      <c r="D38" s="149" t="str">
        <f>VLOOKUP(B38,'[1]MASTER DATA 2025'!$C$3:$E$279,3,0)</f>
        <v>0Tahun9 Bulan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 t="s">
        <v>13</v>
      </c>
      <c r="R38" s="96"/>
      <c r="S38" s="96"/>
      <c r="T38" s="96"/>
      <c r="U38" s="259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L38" s="151">
        <f t="shared" si="0"/>
        <v>0</v>
      </c>
      <c r="AM38" s="35">
        <f t="shared" si="1"/>
        <v>0</v>
      </c>
      <c r="AN38" s="35">
        <f t="shared" si="2"/>
        <v>0</v>
      </c>
      <c r="AO38" s="47">
        <f t="shared" si="3"/>
        <v>1</v>
      </c>
      <c r="AP38" s="36">
        <f t="shared" si="4"/>
        <v>0</v>
      </c>
      <c r="AQ38" s="37">
        <f t="shared" si="5"/>
        <v>1</v>
      </c>
      <c r="AR38" s="37" t="s">
        <v>25</v>
      </c>
      <c r="AS38" s="38">
        <v>16</v>
      </c>
      <c r="AT38" s="39">
        <f t="shared" si="6"/>
        <v>0.0625</v>
      </c>
    </row>
    <row r="39" s="105" customFormat="1" ht="20.15" customHeight="1" spans="1:46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259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L39" s="151">
        <f t="shared" si="0"/>
        <v>0</v>
      </c>
      <c r="AM39" s="35">
        <f t="shared" si="1"/>
        <v>0</v>
      </c>
      <c r="AN39" s="36">
        <f t="shared" si="2"/>
        <v>0</v>
      </c>
      <c r="AO39" s="35">
        <f t="shared" si="3"/>
        <v>0</v>
      </c>
      <c r="AP39" s="36">
        <f t="shared" si="4"/>
        <v>0</v>
      </c>
      <c r="AQ39" s="37">
        <f t="shared" si="5"/>
        <v>0</v>
      </c>
      <c r="AR39" s="49" t="s">
        <v>118</v>
      </c>
      <c r="AS39" s="38">
        <v>16</v>
      </c>
      <c r="AT39" s="39">
        <f t="shared" si="6"/>
        <v>0</v>
      </c>
    </row>
    <row r="40" s="105" customFormat="1" ht="20.15" customHeight="1" spans="1:46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96"/>
      <c r="F40" s="96"/>
      <c r="G40" s="96"/>
      <c r="H40" s="96"/>
      <c r="I40" s="96"/>
      <c r="J40" s="96" t="s">
        <v>13</v>
      </c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259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L40" s="151">
        <f t="shared" si="0"/>
        <v>0</v>
      </c>
      <c r="AM40" s="35">
        <f t="shared" si="1"/>
        <v>0</v>
      </c>
      <c r="AN40" s="36">
        <f t="shared" si="2"/>
        <v>0</v>
      </c>
      <c r="AO40" s="36">
        <f t="shared" si="3"/>
        <v>1</v>
      </c>
      <c r="AP40" s="36">
        <f t="shared" si="4"/>
        <v>0</v>
      </c>
      <c r="AQ40" s="128">
        <f t="shared" si="5"/>
        <v>1</v>
      </c>
      <c r="AR40" s="52"/>
      <c r="AS40" s="38">
        <v>16</v>
      </c>
      <c r="AT40" s="72">
        <f t="shared" si="6"/>
        <v>0.0625</v>
      </c>
    </row>
    <row r="41" s="105" customFormat="1" ht="20.15" customHeight="1" spans="1:46">
      <c r="A41" s="68">
        <v>30</v>
      </c>
      <c r="B41" s="154" t="s">
        <v>51</v>
      </c>
      <c r="C41" s="150" t="s">
        <v>16</v>
      </c>
      <c r="D41" s="149" t="str">
        <f>VLOOKUP(B41,'[1]MASTER DATA 2025'!$C$3:$E$279,3,0)</f>
        <v>0Tahun9 Bulan</v>
      </c>
      <c r="E41" s="96"/>
      <c r="F41" s="96"/>
      <c r="G41" s="96"/>
      <c r="H41" s="96"/>
      <c r="I41" s="96"/>
      <c r="J41" s="96" t="s">
        <v>13</v>
      </c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259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L41" s="151">
        <f t="shared" si="0"/>
        <v>0</v>
      </c>
      <c r="AM41" s="35">
        <f t="shared" si="1"/>
        <v>0</v>
      </c>
      <c r="AN41" s="36">
        <f t="shared" si="2"/>
        <v>0</v>
      </c>
      <c r="AO41" s="36">
        <f t="shared" si="3"/>
        <v>1</v>
      </c>
      <c r="AP41" s="36">
        <f t="shared" si="4"/>
        <v>0</v>
      </c>
      <c r="AQ41" s="37">
        <f t="shared" si="5"/>
        <v>1</v>
      </c>
      <c r="AR41" s="37" t="s">
        <v>25</v>
      </c>
      <c r="AS41" s="38">
        <v>26</v>
      </c>
      <c r="AT41" s="39">
        <f t="shared" si="6"/>
        <v>0.0384615384615385</v>
      </c>
    </row>
    <row r="42" s="105" customFormat="1" ht="20.15" customHeight="1" spans="1:46">
      <c r="A42" s="68">
        <v>31</v>
      </c>
      <c r="B42" s="154" t="s">
        <v>52</v>
      </c>
      <c r="C42" s="150" t="s">
        <v>16</v>
      </c>
      <c r="D42" s="149" t="str">
        <f>VLOOKUP(B42,'[1]MASTER DATA 2025'!$C$3:$E$279,3,0)</f>
        <v>2Tahun3 Bulan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259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L42" s="151">
        <f t="shared" si="0"/>
        <v>0</v>
      </c>
      <c r="AM42" s="35">
        <f t="shared" si="1"/>
        <v>0</v>
      </c>
      <c r="AN42" s="36">
        <f t="shared" si="2"/>
        <v>0</v>
      </c>
      <c r="AO42" s="36">
        <f t="shared" si="3"/>
        <v>0</v>
      </c>
      <c r="AP42" s="36">
        <f t="shared" si="4"/>
        <v>0</v>
      </c>
      <c r="AQ42" s="37">
        <f t="shared" si="5"/>
        <v>0</v>
      </c>
      <c r="AR42" s="37"/>
      <c r="AS42" s="38">
        <v>26</v>
      </c>
      <c r="AT42" s="39">
        <f t="shared" si="6"/>
        <v>0</v>
      </c>
    </row>
    <row r="43" s="105" customFormat="1" ht="20.15" customHeight="1" spans="1:46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259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L43" s="151">
        <f t="shared" si="0"/>
        <v>0</v>
      </c>
      <c r="AM43" s="35">
        <f t="shared" si="1"/>
        <v>0</v>
      </c>
      <c r="AN43" s="36">
        <f t="shared" si="2"/>
        <v>0</v>
      </c>
      <c r="AO43" s="36">
        <f t="shared" si="3"/>
        <v>0</v>
      </c>
      <c r="AP43" s="36">
        <f t="shared" si="4"/>
        <v>0</v>
      </c>
      <c r="AQ43" s="37">
        <f t="shared" si="5"/>
        <v>0</v>
      </c>
      <c r="AR43" s="37" t="s">
        <v>25</v>
      </c>
      <c r="AS43" s="38">
        <v>26</v>
      </c>
      <c r="AT43" s="39">
        <f t="shared" si="6"/>
        <v>0</v>
      </c>
    </row>
    <row r="44" s="105" customFormat="1" ht="20.15" customHeight="1" spans="1:46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96"/>
      <c r="F44" s="96"/>
      <c r="G44" s="96" t="s">
        <v>13</v>
      </c>
      <c r="H44" s="96"/>
      <c r="I44" s="96" t="s">
        <v>12</v>
      </c>
      <c r="J44" s="96"/>
      <c r="K44" s="96"/>
      <c r="L44" s="96"/>
      <c r="M44" s="96"/>
      <c r="N44" s="96"/>
      <c r="O44" s="96" t="s">
        <v>11</v>
      </c>
      <c r="P44" s="96"/>
      <c r="Q44" s="96"/>
      <c r="R44" s="96" t="s">
        <v>13</v>
      </c>
      <c r="S44" s="96"/>
      <c r="T44" s="96"/>
      <c r="U44" s="259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L44" s="151">
        <f t="shared" si="0"/>
        <v>0</v>
      </c>
      <c r="AM44" s="35">
        <f t="shared" si="1"/>
        <v>1</v>
      </c>
      <c r="AN44" s="36">
        <f t="shared" si="2"/>
        <v>1</v>
      </c>
      <c r="AO44" s="36">
        <f t="shared" si="3"/>
        <v>2</v>
      </c>
      <c r="AP44" s="36">
        <f t="shared" si="4"/>
        <v>0</v>
      </c>
      <c r="AQ44" s="37">
        <f t="shared" si="5"/>
        <v>4</v>
      </c>
      <c r="AR44" s="37" t="s">
        <v>25</v>
      </c>
      <c r="AS44" s="38">
        <v>26</v>
      </c>
      <c r="AT44" s="39">
        <f t="shared" si="6"/>
        <v>0.153846153846154</v>
      </c>
    </row>
    <row r="45" s="105" customFormat="1" ht="20.15" customHeight="1" spans="1:46">
      <c r="A45" s="68">
        <v>34</v>
      </c>
      <c r="B45" s="158" t="s">
        <v>55</v>
      </c>
      <c r="C45" s="150" t="s">
        <v>16</v>
      </c>
      <c r="D45" s="149" t="str">
        <f>VLOOKUP(B45,'[1]MASTER DATA 2025'!$C$3:$E$279,3,0)</f>
        <v>2Tahun1 Bulan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259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L45" s="151">
        <f t="shared" si="0"/>
        <v>0</v>
      </c>
      <c r="AM45" s="35">
        <f t="shared" si="1"/>
        <v>0</v>
      </c>
      <c r="AN45" s="36">
        <f t="shared" si="2"/>
        <v>0</v>
      </c>
      <c r="AO45" s="36">
        <f t="shared" si="3"/>
        <v>0</v>
      </c>
      <c r="AP45" s="36">
        <f t="shared" si="4"/>
        <v>0</v>
      </c>
      <c r="AQ45" s="37">
        <f t="shared" si="5"/>
        <v>0</v>
      </c>
      <c r="AR45" s="37"/>
      <c r="AS45" s="38">
        <v>26</v>
      </c>
      <c r="AT45" s="39">
        <f t="shared" si="6"/>
        <v>0</v>
      </c>
    </row>
    <row r="46" s="105" customFormat="1" ht="20.15" customHeight="1" spans="1:46">
      <c r="A46" s="68">
        <v>35</v>
      </c>
      <c r="B46" s="154" t="s">
        <v>56</v>
      </c>
      <c r="C46" s="150" t="s">
        <v>16</v>
      </c>
      <c r="D46" s="149" t="str">
        <f>VLOOKUP(B46,'[1]MASTER DATA 2025'!$C$3:$E$279,3,0)</f>
        <v>0Tahun11 Bulan</v>
      </c>
      <c r="E46" s="96"/>
      <c r="F46" s="96" t="s">
        <v>13</v>
      </c>
      <c r="G46" s="96"/>
      <c r="H46" s="96"/>
      <c r="I46" s="96"/>
      <c r="J46" s="96"/>
      <c r="K46" s="96"/>
      <c r="L46" s="96" t="s">
        <v>11</v>
      </c>
      <c r="M46" s="96"/>
      <c r="N46" s="96"/>
      <c r="O46" s="96"/>
      <c r="P46" s="96"/>
      <c r="Q46" s="96"/>
      <c r="R46" s="96"/>
      <c r="S46" s="96"/>
      <c r="T46" s="96"/>
      <c r="U46" s="259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L46" s="151">
        <f t="shared" si="0"/>
        <v>0</v>
      </c>
      <c r="AM46" s="35">
        <f t="shared" si="1"/>
        <v>1</v>
      </c>
      <c r="AN46" s="36">
        <f t="shared" si="2"/>
        <v>0</v>
      </c>
      <c r="AO46" s="35">
        <f t="shared" si="3"/>
        <v>1</v>
      </c>
      <c r="AP46" s="36">
        <f t="shared" si="4"/>
        <v>0</v>
      </c>
      <c r="AQ46" s="37">
        <f t="shared" si="5"/>
        <v>2</v>
      </c>
      <c r="AR46" s="37" t="s">
        <v>25</v>
      </c>
      <c r="AS46" s="38">
        <v>26</v>
      </c>
      <c r="AT46" s="39">
        <f t="shared" si="6"/>
        <v>0.0769230769230769</v>
      </c>
    </row>
    <row r="47" s="105" customFormat="1" ht="20.15" customHeight="1" spans="1:46">
      <c r="A47" s="68">
        <v>36</v>
      </c>
      <c r="B47" s="159" t="s">
        <v>57</v>
      </c>
      <c r="C47" s="150" t="s">
        <v>16</v>
      </c>
      <c r="D47" s="149" t="str">
        <f>VLOOKUP(B47,'[1]MASTER DATA 2025'!$C$3:$E$279,3,0)</f>
        <v>0Tahun2 Bulan</v>
      </c>
      <c r="E47" s="96"/>
      <c r="F47" s="96"/>
      <c r="G47" s="96"/>
      <c r="H47" s="96" t="s">
        <v>13</v>
      </c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259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 t="s">
        <v>11</v>
      </c>
      <c r="AJ47" s="96"/>
      <c r="AL47" s="151">
        <f t="shared" si="0"/>
        <v>0</v>
      </c>
      <c r="AM47" s="35">
        <f t="shared" si="1"/>
        <v>1</v>
      </c>
      <c r="AN47" s="36">
        <f t="shared" si="2"/>
        <v>0</v>
      </c>
      <c r="AO47" s="36">
        <f t="shared" si="3"/>
        <v>1</v>
      </c>
      <c r="AP47" s="36">
        <f t="shared" si="4"/>
        <v>0</v>
      </c>
      <c r="AQ47" s="37">
        <f t="shared" si="5"/>
        <v>2</v>
      </c>
      <c r="AR47" s="52" t="s">
        <v>167</v>
      </c>
      <c r="AS47" s="38">
        <v>26</v>
      </c>
      <c r="AT47" s="39">
        <f t="shared" si="6"/>
        <v>0.0769230769230769</v>
      </c>
    </row>
    <row r="48" s="105" customFormat="1" ht="19.5" customHeight="1" spans="1:46">
      <c r="A48" s="68">
        <v>37</v>
      </c>
      <c r="B48" s="149" t="s">
        <v>58</v>
      </c>
      <c r="C48" s="150" t="s">
        <v>59</v>
      </c>
      <c r="D48" s="149" t="str">
        <f>VLOOKUP(B48,'[1]MASTER DATA 2025'!$C$3:$E$279,3,0)</f>
        <v>1Tahun3 Bulan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259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L48" s="151">
        <f t="shared" si="0"/>
        <v>0</v>
      </c>
      <c r="AM48" s="35">
        <f t="shared" si="1"/>
        <v>0</v>
      </c>
      <c r="AN48" s="36">
        <f t="shared" si="2"/>
        <v>0</v>
      </c>
      <c r="AO48" s="35">
        <f t="shared" si="3"/>
        <v>0</v>
      </c>
      <c r="AP48" s="36">
        <f t="shared" si="4"/>
        <v>0</v>
      </c>
      <c r="AQ48" s="37">
        <f t="shared" si="5"/>
        <v>0</v>
      </c>
      <c r="AR48" s="37" t="s">
        <v>25</v>
      </c>
      <c r="AS48" s="38">
        <v>26</v>
      </c>
      <c r="AT48" s="39">
        <f t="shared" si="6"/>
        <v>0</v>
      </c>
    </row>
    <row r="49" s="105" customFormat="1" ht="19.5" customHeight="1" spans="1:46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259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L49" s="151">
        <f t="shared" si="0"/>
        <v>0</v>
      </c>
      <c r="AM49" s="36">
        <f t="shared" si="1"/>
        <v>0</v>
      </c>
      <c r="AN49" s="36">
        <f t="shared" si="2"/>
        <v>0</v>
      </c>
      <c r="AO49" s="36">
        <f t="shared" si="3"/>
        <v>0</v>
      </c>
      <c r="AP49" s="36">
        <f t="shared" si="4"/>
        <v>0</v>
      </c>
      <c r="AQ49" s="37">
        <f t="shared" si="5"/>
        <v>0</v>
      </c>
      <c r="AR49" s="37"/>
      <c r="AS49" s="38">
        <v>26</v>
      </c>
      <c r="AT49" s="39">
        <f t="shared" si="6"/>
        <v>0</v>
      </c>
    </row>
    <row r="50" s="105" customFormat="1" ht="19.5" customHeight="1" spans="1:46">
      <c r="A50" s="68">
        <v>39</v>
      </c>
      <c r="B50" s="161" t="s">
        <v>62</v>
      </c>
      <c r="C50" s="150" t="s">
        <v>59</v>
      </c>
      <c r="D50" s="149" t="str">
        <f>VLOOKUP(B50,'[1]MASTER DATA 2025'!$C$3:$E$279,3,0)</f>
        <v>3Tahun8 Bulan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259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 t="s">
        <v>11</v>
      </c>
      <c r="AI50" s="96" t="s">
        <v>11</v>
      </c>
      <c r="AJ50" s="96" t="s">
        <v>11</v>
      </c>
      <c r="AL50" s="151">
        <f t="shared" si="0"/>
        <v>0</v>
      </c>
      <c r="AM50" s="35">
        <f t="shared" si="1"/>
        <v>3</v>
      </c>
      <c r="AN50" s="36">
        <f t="shared" si="2"/>
        <v>0</v>
      </c>
      <c r="AO50" s="36">
        <f t="shared" si="3"/>
        <v>0</v>
      </c>
      <c r="AP50" s="36">
        <f t="shared" si="4"/>
        <v>0</v>
      </c>
      <c r="AQ50" s="37">
        <f t="shared" si="5"/>
        <v>3</v>
      </c>
      <c r="AR50" s="38" t="s">
        <v>169</v>
      </c>
      <c r="AS50" s="38">
        <v>26</v>
      </c>
      <c r="AT50" s="39">
        <f t="shared" si="6"/>
        <v>0.115384615384615</v>
      </c>
    </row>
    <row r="51" s="105" customFormat="1" ht="19.5" customHeight="1" spans="1:46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259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L51" s="151">
        <f t="shared" si="0"/>
        <v>0</v>
      </c>
      <c r="AM51" s="35">
        <f t="shared" si="1"/>
        <v>0</v>
      </c>
      <c r="AN51" s="35">
        <f t="shared" si="2"/>
        <v>0</v>
      </c>
      <c r="AO51" s="36">
        <f t="shared" si="3"/>
        <v>0</v>
      </c>
      <c r="AP51" s="36">
        <f t="shared" si="4"/>
        <v>0</v>
      </c>
      <c r="AQ51" s="37">
        <f t="shared" si="5"/>
        <v>0</v>
      </c>
      <c r="AR51" s="37"/>
      <c r="AS51" s="38">
        <v>26</v>
      </c>
      <c r="AT51" s="39">
        <f t="shared" si="6"/>
        <v>0</v>
      </c>
    </row>
    <row r="52" s="105" customFormat="1" ht="19.5" customHeight="1" spans="1:46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259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L52" s="151">
        <f t="shared" si="0"/>
        <v>0</v>
      </c>
      <c r="AM52" s="35">
        <f t="shared" si="1"/>
        <v>0</v>
      </c>
      <c r="AN52" s="36">
        <f t="shared" si="2"/>
        <v>0</v>
      </c>
      <c r="AO52" s="36">
        <f t="shared" si="3"/>
        <v>0</v>
      </c>
      <c r="AP52" s="36">
        <f t="shared" si="4"/>
        <v>0</v>
      </c>
      <c r="AQ52" s="37">
        <f t="shared" si="5"/>
        <v>0</v>
      </c>
      <c r="AR52" s="37"/>
      <c r="AS52" s="38">
        <v>26</v>
      </c>
      <c r="AT52" s="39">
        <f t="shared" si="6"/>
        <v>0</v>
      </c>
    </row>
    <row r="53" s="105" customFormat="1" ht="19.5" customHeight="1" spans="1:46">
      <c r="A53" s="68">
        <v>42</v>
      </c>
      <c r="B53" s="219" t="s">
        <v>65</v>
      </c>
      <c r="C53" s="150" t="s">
        <v>16</v>
      </c>
      <c r="D53" s="149" t="str">
        <f>VLOOKUP(B53,'[1]MASTER DATA 2025'!$C$3:$E$279,3,0)</f>
        <v>0Tahun7 Bulan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259"/>
      <c r="V53" s="96"/>
      <c r="W53" s="96"/>
      <c r="X53" s="96"/>
      <c r="Y53" s="96"/>
      <c r="Z53" s="96"/>
      <c r="AA53" s="96"/>
      <c r="AB53" s="96" t="s">
        <v>11</v>
      </c>
      <c r="AC53" s="96" t="s">
        <v>13</v>
      </c>
      <c r="AD53" s="96"/>
      <c r="AE53" s="96"/>
      <c r="AF53" s="96"/>
      <c r="AG53" s="96"/>
      <c r="AH53" s="96"/>
      <c r="AI53" s="96"/>
      <c r="AJ53" s="96"/>
      <c r="AL53" s="151">
        <f t="shared" si="0"/>
        <v>0</v>
      </c>
      <c r="AM53" s="35">
        <f t="shared" si="1"/>
        <v>1</v>
      </c>
      <c r="AN53" s="36">
        <f t="shared" si="2"/>
        <v>0</v>
      </c>
      <c r="AO53" s="36">
        <f t="shared" si="3"/>
        <v>1</v>
      </c>
      <c r="AP53" s="36">
        <f t="shared" si="4"/>
        <v>0</v>
      </c>
      <c r="AQ53" s="37">
        <f t="shared" si="5"/>
        <v>2</v>
      </c>
      <c r="AR53" s="37" t="s">
        <v>170</v>
      </c>
      <c r="AS53" s="38">
        <v>26</v>
      </c>
      <c r="AT53" s="39">
        <f t="shared" si="6"/>
        <v>0.0769230769230769</v>
      </c>
    </row>
    <row r="54" s="105" customFormat="1" ht="19.5" customHeight="1" spans="1:46">
      <c r="A54" s="68">
        <v>43</v>
      </c>
      <c r="B54" s="163" t="s">
        <v>66</v>
      </c>
      <c r="C54" s="150" t="s">
        <v>16</v>
      </c>
      <c r="D54" s="149" t="str">
        <f>VLOOKUP(B54,'[1]MASTER DATA 2025'!$C$3:$E$279,3,0)</f>
        <v>0Tahun2 Bulan</v>
      </c>
      <c r="E54" s="96"/>
      <c r="F54" s="96"/>
      <c r="G54" s="96"/>
      <c r="H54" s="96" t="s">
        <v>12</v>
      </c>
      <c r="I54" s="96"/>
      <c r="J54" s="96"/>
      <c r="K54" s="96"/>
      <c r="L54" s="96"/>
      <c r="M54" s="96"/>
      <c r="N54" s="96"/>
      <c r="O54" s="96" t="s">
        <v>13</v>
      </c>
      <c r="P54" s="96"/>
      <c r="Q54" s="96"/>
      <c r="R54" s="96"/>
      <c r="S54" s="96"/>
      <c r="T54" s="96"/>
      <c r="U54" s="259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L54" s="151">
        <f t="shared" si="0"/>
        <v>0</v>
      </c>
      <c r="AM54" s="35">
        <f t="shared" si="1"/>
        <v>0</v>
      </c>
      <c r="AN54" s="35">
        <f t="shared" si="2"/>
        <v>1</v>
      </c>
      <c r="AO54" s="47">
        <f t="shared" si="3"/>
        <v>1</v>
      </c>
      <c r="AP54" s="36">
        <f t="shared" si="4"/>
        <v>0</v>
      </c>
      <c r="AQ54" s="37">
        <f t="shared" si="5"/>
        <v>2</v>
      </c>
      <c r="AR54" s="52" t="s">
        <v>18</v>
      </c>
      <c r="AS54" s="38">
        <v>26</v>
      </c>
      <c r="AT54" s="39">
        <f t="shared" si="6"/>
        <v>0.0769230769230769</v>
      </c>
    </row>
    <row r="55" s="105" customFormat="1" ht="19.5" customHeight="1" spans="1:46">
      <c r="A55" s="68">
        <v>44</v>
      </c>
      <c r="B55" s="219" t="s">
        <v>67</v>
      </c>
      <c r="C55" s="150" t="s">
        <v>16</v>
      </c>
      <c r="D55" s="149" t="str">
        <f>VLOOKUP(B55,'[1]MASTER DATA 2025'!$C$3:$E$279,3,0)</f>
        <v>1Tahun3 Bulan</v>
      </c>
      <c r="E55" s="96"/>
      <c r="F55" s="96"/>
      <c r="G55" s="96"/>
      <c r="H55" s="96"/>
      <c r="I55" s="96"/>
      <c r="J55" s="96"/>
      <c r="K55" s="96"/>
      <c r="L55" s="96"/>
      <c r="M55" s="96"/>
      <c r="N55" s="96" t="s">
        <v>13</v>
      </c>
      <c r="O55" s="96"/>
      <c r="P55" s="96"/>
      <c r="Q55" s="96"/>
      <c r="R55" s="96"/>
      <c r="S55" s="96"/>
      <c r="T55" s="96"/>
      <c r="U55" s="259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L55" s="151">
        <f t="shared" si="0"/>
        <v>0</v>
      </c>
      <c r="AM55" s="35">
        <f t="shared" si="1"/>
        <v>0</v>
      </c>
      <c r="AN55" s="36">
        <f t="shared" si="2"/>
        <v>0</v>
      </c>
      <c r="AO55" s="36">
        <f t="shared" si="3"/>
        <v>1</v>
      </c>
      <c r="AP55" s="36">
        <f t="shared" si="4"/>
        <v>0</v>
      </c>
      <c r="AQ55" s="37">
        <f t="shared" si="5"/>
        <v>1</v>
      </c>
      <c r="AR55" s="37" t="s">
        <v>25</v>
      </c>
      <c r="AS55" s="38">
        <v>26</v>
      </c>
      <c r="AT55" s="39">
        <f t="shared" si="6"/>
        <v>0.0384615384615385</v>
      </c>
    </row>
    <row r="56" s="105" customFormat="1" ht="19.5" customHeight="1" spans="1:46">
      <c r="A56" s="68">
        <v>45</v>
      </c>
      <c r="B56" s="219" t="s">
        <v>68</v>
      </c>
      <c r="C56" s="150" t="s">
        <v>16</v>
      </c>
      <c r="D56" s="149" t="str">
        <f>VLOOKUP(B56,'[1]MASTER DATA 2025'!$C$3:$E$279,3,0)</f>
        <v>0Tahun2 Bulan</v>
      </c>
      <c r="E56" s="96" t="s">
        <v>13</v>
      </c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259" t="s">
        <v>11</v>
      </c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L56" s="151">
        <f t="shared" si="0"/>
        <v>0</v>
      </c>
      <c r="AM56" s="35">
        <f t="shared" si="1"/>
        <v>1</v>
      </c>
      <c r="AN56" s="36">
        <f t="shared" si="2"/>
        <v>0</v>
      </c>
      <c r="AO56" s="35">
        <f t="shared" si="3"/>
        <v>1</v>
      </c>
      <c r="AP56" s="36">
        <f t="shared" si="4"/>
        <v>0</v>
      </c>
      <c r="AQ56" s="37">
        <f t="shared" si="5"/>
        <v>2</v>
      </c>
      <c r="AR56" s="37" t="s">
        <v>25</v>
      </c>
      <c r="AS56" s="38">
        <v>26</v>
      </c>
      <c r="AT56" s="39">
        <f t="shared" si="6"/>
        <v>0.0769230769230769</v>
      </c>
    </row>
    <row r="57" s="105" customFormat="1" ht="19.5" customHeight="1" spans="1:46">
      <c r="A57" s="68">
        <v>46</v>
      </c>
      <c r="B57" s="219" t="s">
        <v>69</v>
      </c>
      <c r="C57" s="150" t="s">
        <v>16</v>
      </c>
      <c r="D57" s="149" t="str">
        <f>VLOOKUP(B57,'[1]MASTER DATA 2025'!$C$3:$E$279,3,0)</f>
        <v>0Tahun11 Bulan</v>
      </c>
      <c r="E57" s="96"/>
      <c r="F57" s="96"/>
      <c r="G57" s="96"/>
      <c r="H57" s="96"/>
      <c r="I57" s="96"/>
      <c r="J57" s="96"/>
      <c r="K57" s="96"/>
      <c r="L57" s="96"/>
      <c r="M57" s="96"/>
      <c r="N57" s="96" t="s">
        <v>12</v>
      </c>
      <c r="O57" s="96"/>
      <c r="P57" s="96"/>
      <c r="Q57" s="96"/>
      <c r="R57" s="96"/>
      <c r="S57" s="96"/>
      <c r="T57" s="96"/>
      <c r="U57" s="259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L57" s="151">
        <f t="shared" si="0"/>
        <v>0</v>
      </c>
      <c r="AM57" s="35">
        <f t="shared" si="1"/>
        <v>0</v>
      </c>
      <c r="AN57" s="36">
        <f t="shared" si="2"/>
        <v>1</v>
      </c>
      <c r="AO57" s="36">
        <f t="shared" si="3"/>
        <v>0</v>
      </c>
      <c r="AP57" s="36">
        <f t="shared" si="4"/>
        <v>0</v>
      </c>
      <c r="AQ57" s="37">
        <f t="shared" si="5"/>
        <v>1</v>
      </c>
      <c r="AR57" s="37" t="s">
        <v>25</v>
      </c>
      <c r="AS57" s="38">
        <v>26</v>
      </c>
      <c r="AT57" s="39">
        <f t="shared" si="6"/>
        <v>0.0384615384615385</v>
      </c>
    </row>
    <row r="58" s="105" customFormat="1" ht="19.5" customHeight="1" spans="1:46">
      <c r="A58" s="68">
        <v>47</v>
      </c>
      <c r="B58" s="219" t="s">
        <v>70</v>
      </c>
      <c r="C58" s="150" t="s">
        <v>59</v>
      </c>
      <c r="D58" s="149" t="str">
        <f>VLOOKUP(B58,'[1]MASTER DATA 2025'!$C$3:$E$279,3,0)</f>
        <v>1Tahun2 Bulan</v>
      </c>
      <c r="E58" s="96"/>
      <c r="F58" s="96"/>
      <c r="G58" s="96"/>
      <c r="H58" s="96"/>
      <c r="I58" s="96"/>
      <c r="J58" s="96"/>
      <c r="K58" s="96"/>
      <c r="L58" s="96" t="s">
        <v>13</v>
      </c>
      <c r="M58" s="96"/>
      <c r="N58" s="96"/>
      <c r="O58" s="96"/>
      <c r="P58" s="96"/>
      <c r="Q58" s="96"/>
      <c r="R58" s="96"/>
      <c r="S58" s="96"/>
      <c r="T58" s="96"/>
      <c r="U58" s="259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L58" s="151">
        <f t="shared" si="0"/>
        <v>0</v>
      </c>
      <c r="AM58" s="35">
        <f t="shared" si="1"/>
        <v>0</v>
      </c>
      <c r="AN58" s="36">
        <f t="shared" si="2"/>
        <v>0</v>
      </c>
      <c r="AO58" s="36">
        <f t="shared" si="3"/>
        <v>1</v>
      </c>
      <c r="AP58" s="36">
        <f t="shared" si="4"/>
        <v>0</v>
      </c>
      <c r="AQ58" s="37">
        <f t="shared" si="5"/>
        <v>1</v>
      </c>
      <c r="AR58" s="37" t="s">
        <v>25</v>
      </c>
      <c r="AS58" s="38">
        <v>26</v>
      </c>
      <c r="AT58" s="39">
        <f t="shared" si="6"/>
        <v>0.0384615384615385</v>
      </c>
    </row>
    <row r="59" s="105" customFormat="1" ht="19.5" customHeight="1" spans="1:46">
      <c r="A59" s="68">
        <v>48</v>
      </c>
      <c r="B59" s="219" t="s">
        <v>71</v>
      </c>
      <c r="C59" s="150" t="s">
        <v>59</v>
      </c>
      <c r="D59" s="149" t="str">
        <f>VLOOKUP(B59,'[1]MASTER DATA 2025'!$C$3:$E$279,3,0)</f>
        <v>0Tahun5 Bulan</v>
      </c>
      <c r="E59" s="96"/>
      <c r="F59" s="96"/>
      <c r="G59" s="96"/>
      <c r="H59" s="96"/>
      <c r="I59" s="96"/>
      <c r="J59" s="96"/>
      <c r="K59" s="96" t="s">
        <v>13</v>
      </c>
      <c r="L59" s="96"/>
      <c r="M59" s="96"/>
      <c r="N59" s="96"/>
      <c r="O59" s="96"/>
      <c r="P59" s="96"/>
      <c r="Q59" s="96"/>
      <c r="R59" s="96"/>
      <c r="S59" s="96"/>
      <c r="T59" s="96"/>
      <c r="U59" s="259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L59" s="151">
        <f t="shared" si="0"/>
        <v>0</v>
      </c>
      <c r="AM59" s="35">
        <f t="shared" si="1"/>
        <v>0</v>
      </c>
      <c r="AN59" s="36">
        <f t="shared" si="2"/>
        <v>0</v>
      </c>
      <c r="AO59" s="36">
        <f t="shared" si="3"/>
        <v>1</v>
      </c>
      <c r="AP59" s="36">
        <f t="shared" si="4"/>
        <v>0</v>
      </c>
      <c r="AQ59" s="37">
        <f t="shared" si="5"/>
        <v>1</v>
      </c>
      <c r="AR59" s="37" t="s">
        <v>25</v>
      </c>
      <c r="AS59" s="38">
        <v>26</v>
      </c>
      <c r="AT59" s="39">
        <f t="shared" si="6"/>
        <v>0.0384615384615385</v>
      </c>
    </row>
    <row r="60" s="105" customFormat="1" ht="19.5" customHeight="1" spans="1:46">
      <c r="A60" s="68">
        <v>49</v>
      </c>
      <c r="B60" s="221" t="s">
        <v>72</v>
      </c>
      <c r="C60" s="163" t="s">
        <v>16</v>
      </c>
      <c r="D60" s="149" t="str">
        <f>VLOOKUP(B60,'[1]MASTER DATA 2025'!$C$3:$E$279,3,0)</f>
        <v>0Tahun3 Bulan</v>
      </c>
      <c r="E60" s="96"/>
      <c r="F60" s="96"/>
      <c r="G60" s="96"/>
      <c r="H60" s="96"/>
      <c r="I60" s="96"/>
      <c r="J60" s="96"/>
      <c r="K60" s="96"/>
      <c r="L60" s="96"/>
      <c r="M60" s="96"/>
      <c r="N60" s="96" t="s">
        <v>13</v>
      </c>
      <c r="O60" s="96"/>
      <c r="P60" s="96"/>
      <c r="Q60" s="96"/>
      <c r="R60" s="96"/>
      <c r="S60" s="96"/>
      <c r="T60" s="96"/>
      <c r="U60" s="259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L60" s="151">
        <f t="shared" si="0"/>
        <v>0</v>
      </c>
      <c r="AM60" s="35">
        <f t="shared" si="1"/>
        <v>0</v>
      </c>
      <c r="AN60" s="36">
        <f t="shared" si="2"/>
        <v>0</v>
      </c>
      <c r="AO60" s="36">
        <f t="shared" si="3"/>
        <v>1</v>
      </c>
      <c r="AP60" s="36">
        <f t="shared" si="4"/>
        <v>0</v>
      </c>
      <c r="AQ60" s="37">
        <f t="shared" si="5"/>
        <v>1</v>
      </c>
      <c r="AR60" s="37" t="s">
        <v>25</v>
      </c>
      <c r="AS60" s="38">
        <v>26</v>
      </c>
      <c r="AT60" s="39">
        <f t="shared" si="6"/>
        <v>0.0384615384615385</v>
      </c>
    </row>
    <row r="61" s="105" customFormat="1" ht="19.5" customHeight="1" spans="1:46">
      <c r="A61" s="68">
        <v>50</v>
      </c>
      <c r="B61" s="219" t="s">
        <v>73</v>
      </c>
      <c r="C61" s="150" t="s">
        <v>16</v>
      </c>
      <c r="D61" s="149" t="str">
        <f>VLOOKUP(B61,'[1]MASTER DATA 2025'!$C$3:$E$279,3,0)</f>
        <v>2Tahun1 Bulan</v>
      </c>
      <c r="E61" s="96"/>
      <c r="F61" s="96" t="s">
        <v>13</v>
      </c>
      <c r="G61" s="96"/>
      <c r="H61" s="96"/>
      <c r="I61" s="96"/>
      <c r="J61" s="96"/>
      <c r="K61" s="96"/>
      <c r="L61" s="96" t="s">
        <v>11</v>
      </c>
      <c r="M61" s="96" t="s">
        <v>11</v>
      </c>
      <c r="N61" s="96"/>
      <c r="O61" s="96"/>
      <c r="P61" s="96"/>
      <c r="Q61" s="96"/>
      <c r="R61" s="96"/>
      <c r="S61" s="96"/>
      <c r="T61" s="96"/>
      <c r="U61" s="259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L61" s="151">
        <f t="shared" si="0"/>
        <v>0</v>
      </c>
      <c r="AM61" s="35">
        <f t="shared" si="1"/>
        <v>2</v>
      </c>
      <c r="AN61" s="36">
        <f t="shared" si="2"/>
        <v>0</v>
      </c>
      <c r="AO61" s="35">
        <f t="shared" si="3"/>
        <v>1</v>
      </c>
      <c r="AP61" s="36">
        <f t="shared" si="4"/>
        <v>0</v>
      </c>
      <c r="AQ61" s="37">
        <f t="shared" si="5"/>
        <v>3</v>
      </c>
      <c r="AR61" s="37" t="s">
        <v>25</v>
      </c>
      <c r="AS61" s="38">
        <v>26</v>
      </c>
      <c r="AT61" s="39">
        <f t="shared" si="6"/>
        <v>0.115384615384615</v>
      </c>
    </row>
    <row r="62" s="105" customFormat="1" ht="19.5" customHeight="1" spans="1:46">
      <c r="A62" s="68">
        <v>51</v>
      </c>
      <c r="B62" s="219" t="s">
        <v>74</v>
      </c>
      <c r="C62" s="150" t="s">
        <v>16</v>
      </c>
      <c r="D62" s="149" t="str">
        <f>VLOOKUP(B62,'[1]MASTER DATA 2025'!$C$3:$E$279,3,0)</f>
        <v>0Tahun1 Bulan</v>
      </c>
      <c r="E62" s="96"/>
      <c r="F62" s="96"/>
      <c r="G62" s="96"/>
      <c r="H62" s="96"/>
      <c r="I62" s="96"/>
      <c r="J62" s="96"/>
      <c r="K62" s="96"/>
      <c r="L62" s="96"/>
      <c r="M62" s="96" t="s">
        <v>13</v>
      </c>
      <c r="N62" s="96"/>
      <c r="O62" s="96"/>
      <c r="P62" s="96"/>
      <c r="Q62" s="96"/>
      <c r="R62" s="96"/>
      <c r="S62" s="96"/>
      <c r="T62" s="96"/>
      <c r="U62" s="259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L62" s="151">
        <f t="shared" si="0"/>
        <v>0</v>
      </c>
      <c r="AM62" s="35">
        <f t="shared" si="1"/>
        <v>0</v>
      </c>
      <c r="AN62" s="36">
        <f t="shared" si="2"/>
        <v>0</v>
      </c>
      <c r="AO62" s="36">
        <f t="shared" si="3"/>
        <v>1</v>
      </c>
      <c r="AP62" s="36">
        <f t="shared" si="4"/>
        <v>0</v>
      </c>
      <c r="AQ62" s="37">
        <f t="shared" si="5"/>
        <v>1</v>
      </c>
      <c r="AR62" s="37" t="s">
        <v>25</v>
      </c>
      <c r="AS62" s="38">
        <v>26</v>
      </c>
      <c r="AT62" s="39">
        <f t="shared" si="6"/>
        <v>0.0384615384615385</v>
      </c>
    </row>
    <row r="63" s="105" customFormat="1" ht="19.5" customHeight="1" spans="1:46">
      <c r="A63" s="68">
        <v>52</v>
      </c>
      <c r="B63" s="219" t="s">
        <v>75</v>
      </c>
      <c r="C63" s="150" t="s">
        <v>16</v>
      </c>
      <c r="D63" s="149" t="str">
        <f>VLOOKUP(B63,'[1]MASTER DATA 2025'!$C$3:$E$279,3,0)</f>
        <v>0Tahun1 Bulan</v>
      </c>
      <c r="E63" s="96"/>
      <c r="F63" s="96"/>
      <c r="G63" s="96"/>
      <c r="H63" s="96"/>
      <c r="I63" s="96"/>
      <c r="J63" s="96"/>
      <c r="K63" s="96"/>
      <c r="L63" s="96"/>
      <c r="M63" s="96"/>
      <c r="N63" s="96" t="s">
        <v>12</v>
      </c>
      <c r="O63" s="96"/>
      <c r="P63" s="96"/>
      <c r="Q63" s="96"/>
      <c r="R63" s="96"/>
      <c r="S63" s="96"/>
      <c r="T63" s="96"/>
      <c r="U63" s="259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L63" s="151">
        <f t="shared" si="0"/>
        <v>0</v>
      </c>
      <c r="AM63" s="35">
        <f t="shared" si="1"/>
        <v>0</v>
      </c>
      <c r="AN63" s="36">
        <f t="shared" si="2"/>
        <v>1</v>
      </c>
      <c r="AO63" s="36">
        <f t="shared" si="3"/>
        <v>0</v>
      </c>
      <c r="AP63" s="36">
        <f t="shared" si="4"/>
        <v>0</v>
      </c>
      <c r="AQ63" s="37">
        <f t="shared" si="5"/>
        <v>1</v>
      </c>
      <c r="AR63" s="37" t="s">
        <v>25</v>
      </c>
      <c r="AS63" s="38">
        <v>26</v>
      </c>
      <c r="AT63" s="39">
        <f t="shared" si="6"/>
        <v>0.0384615384615385</v>
      </c>
    </row>
    <row r="64" s="105" customFormat="1" ht="19.5" customHeight="1" spans="1:46">
      <c r="A64" s="68">
        <v>53</v>
      </c>
      <c r="B64" s="219" t="s">
        <v>76</v>
      </c>
      <c r="C64" s="150" t="s">
        <v>59</v>
      </c>
      <c r="D64" s="149" t="str">
        <f>VLOOKUP(B64,'[1]MASTER DATA 2025'!$C$3:$E$279,3,0)</f>
        <v>0Tahun5 Bulan</v>
      </c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259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L64" s="151">
        <f t="shared" si="0"/>
        <v>0</v>
      </c>
      <c r="AM64" s="35">
        <f t="shared" si="1"/>
        <v>0</v>
      </c>
      <c r="AN64" s="36">
        <f t="shared" si="2"/>
        <v>0</v>
      </c>
      <c r="AO64" s="36">
        <f t="shared" si="3"/>
        <v>0</v>
      </c>
      <c r="AP64" s="36">
        <f t="shared" si="4"/>
        <v>0</v>
      </c>
      <c r="AQ64" s="37">
        <f t="shared" si="5"/>
        <v>0</v>
      </c>
      <c r="AR64" s="37"/>
      <c r="AS64" s="38">
        <v>26</v>
      </c>
      <c r="AT64" s="39">
        <f t="shared" si="6"/>
        <v>0</v>
      </c>
    </row>
    <row r="65" s="105" customFormat="1" ht="19.5" customHeight="1" spans="1:46">
      <c r="A65" s="68">
        <v>54</v>
      </c>
      <c r="B65" s="219" t="s">
        <v>77</v>
      </c>
      <c r="C65" s="150" t="s">
        <v>16</v>
      </c>
      <c r="D65" s="149" t="str">
        <f>VLOOKUP(B65,'[1]MASTER DATA 2025'!$C$3:$E$279,3,0)</f>
        <v>0Tahun8 Bulan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 t="s">
        <v>11</v>
      </c>
      <c r="P65" s="96"/>
      <c r="Q65" s="96"/>
      <c r="R65" s="96"/>
      <c r="S65" s="96"/>
      <c r="T65" s="96"/>
      <c r="U65" s="259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L65" s="151">
        <f t="shared" si="0"/>
        <v>0</v>
      </c>
      <c r="AM65" s="35">
        <f t="shared" si="1"/>
        <v>1</v>
      </c>
      <c r="AN65" s="36">
        <f t="shared" si="2"/>
        <v>0</v>
      </c>
      <c r="AO65" s="36">
        <f t="shared" si="3"/>
        <v>0</v>
      </c>
      <c r="AP65" s="36">
        <f t="shared" si="4"/>
        <v>0</v>
      </c>
      <c r="AQ65" s="37">
        <f t="shared" si="5"/>
        <v>1</v>
      </c>
      <c r="AR65" s="37"/>
      <c r="AS65" s="38">
        <v>26</v>
      </c>
      <c r="AT65" s="39">
        <f t="shared" si="6"/>
        <v>0.0384615384615385</v>
      </c>
    </row>
    <row r="66" s="105" customFormat="1" ht="19.5" customHeight="1" spans="1:46">
      <c r="A66" s="68">
        <v>55</v>
      </c>
      <c r="B66" s="219" t="s">
        <v>78</v>
      </c>
      <c r="C66" s="150" t="s">
        <v>16</v>
      </c>
      <c r="D66" s="149" t="str">
        <f>VLOOKUP(B66,'[1]MASTER DATA 2025'!$C$3:$E$279,3,0)</f>
        <v>3Tahun7 Bulan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259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L66" s="151">
        <f t="shared" si="0"/>
        <v>0</v>
      </c>
      <c r="AM66" s="35">
        <f t="shared" si="1"/>
        <v>0</v>
      </c>
      <c r="AN66" s="36">
        <f t="shared" si="2"/>
        <v>0</v>
      </c>
      <c r="AO66" s="36">
        <f t="shared" si="3"/>
        <v>0</v>
      </c>
      <c r="AP66" s="36">
        <f t="shared" si="4"/>
        <v>0</v>
      </c>
      <c r="AQ66" s="37">
        <f t="shared" si="5"/>
        <v>0</v>
      </c>
      <c r="AR66" s="37"/>
      <c r="AS66" s="38">
        <v>26</v>
      </c>
      <c r="AT66" s="39">
        <f t="shared" si="6"/>
        <v>0</v>
      </c>
    </row>
    <row r="67" s="105" customFormat="1" ht="19.5" customHeight="1" spans="1:46">
      <c r="A67" s="68">
        <v>56</v>
      </c>
      <c r="B67" s="219" t="s">
        <v>79</v>
      </c>
      <c r="C67" s="150" t="s">
        <v>16</v>
      </c>
      <c r="D67" s="149" t="str">
        <f>VLOOKUP(B67,'[1]MASTER DATA 2025'!$C$3:$E$279,3,0)</f>
        <v>1Tahun5 Bulan</v>
      </c>
      <c r="E67" s="96"/>
      <c r="F67" s="96"/>
      <c r="G67" s="96"/>
      <c r="H67" s="96"/>
      <c r="I67" s="96"/>
      <c r="J67" s="96" t="s">
        <v>13</v>
      </c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259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L67" s="151">
        <f t="shared" si="0"/>
        <v>0</v>
      </c>
      <c r="AM67" s="35">
        <f t="shared" si="1"/>
        <v>0</v>
      </c>
      <c r="AN67" s="36">
        <f t="shared" si="2"/>
        <v>0</v>
      </c>
      <c r="AO67" s="36">
        <f t="shared" si="3"/>
        <v>1</v>
      </c>
      <c r="AP67" s="36">
        <f t="shared" si="4"/>
        <v>0</v>
      </c>
      <c r="AQ67" s="37">
        <f t="shared" si="5"/>
        <v>1</v>
      </c>
      <c r="AR67" s="37"/>
      <c r="AS67" s="38">
        <v>26</v>
      </c>
      <c r="AT67" s="39">
        <f t="shared" si="6"/>
        <v>0.0384615384615385</v>
      </c>
    </row>
    <row r="68" s="105" customFormat="1" ht="19.5" customHeight="1" spans="1:46">
      <c r="A68" s="68">
        <v>57</v>
      </c>
      <c r="B68" s="219" t="s">
        <v>80</v>
      </c>
      <c r="C68" s="150" t="s">
        <v>16</v>
      </c>
      <c r="D68" s="149" t="str">
        <f>VLOOKUP(B68,'[1]MASTER DATA 2025'!$C$3:$E$279,3,0)</f>
        <v>0Tahun7 Bulan</v>
      </c>
      <c r="E68" s="96"/>
      <c r="F68" s="96"/>
      <c r="G68" s="96"/>
      <c r="H68" s="96"/>
      <c r="I68" s="96" t="s">
        <v>11</v>
      </c>
      <c r="J68" s="96"/>
      <c r="K68" s="96" t="s">
        <v>13</v>
      </c>
      <c r="L68" s="96"/>
      <c r="M68" s="96"/>
      <c r="N68" s="96"/>
      <c r="O68" s="96"/>
      <c r="P68" s="96" t="s">
        <v>13</v>
      </c>
      <c r="Q68" s="96"/>
      <c r="R68" s="96"/>
      <c r="S68" s="96" t="s">
        <v>13</v>
      </c>
      <c r="T68" s="96"/>
      <c r="U68" s="259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96"/>
      <c r="AL68" s="151">
        <f t="shared" si="0"/>
        <v>0</v>
      </c>
      <c r="AM68" s="35">
        <f t="shared" si="1"/>
        <v>1</v>
      </c>
      <c r="AN68" s="35">
        <f t="shared" si="2"/>
        <v>0</v>
      </c>
      <c r="AO68" s="47">
        <f t="shared" si="3"/>
        <v>3</v>
      </c>
      <c r="AP68" s="36">
        <f t="shared" si="4"/>
        <v>0</v>
      </c>
      <c r="AQ68" s="37">
        <f t="shared" si="5"/>
        <v>4</v>
      </c>
      <c r="AR68" s="49">
        <v>45967</v>
      </c>
      <c r="AS68" s="38">
        <v>26</v>
      </c>
      <c r="AT68" s="39">
        <f t="shared" si="6"/>
        <v>0.153846153846154</v>
      </c>
    </row>
    <row r="69" s="105" customFormat="1" ht="19.5" customHeight="1" spans="1:46">
      <c r="A69" s="68">
        <v>58</v>
      </c>
      <c r="B69" s="219" t="s">
        <v>81</v>
      </c>
      <c r="C69" s="150" t="s">
        <v>16</v>
      </c>
      <c r="D69" s="149" t="str">
        <f>VLOOKUP(B69,'[1]MASTER DATA 2025'!$C$3:$E$279,3,0)</f>
        <v>2Tahun1 Bulan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 t="s">
        <v>13</v>
      </c>
      <c r="P69" s="96"/>
      <c r="Q69" s="96"/>
      <c r="R69" s="96"/>
      <c r="S69" s="96"/>
      <c r="T69" s="96"/>
      <c r="U69" s="259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L69" s="151">
        <f t="shared" si="0"/>
        <v>0</v>
      </c>
      <c r="AM69" s="35">
        <f t="shared" si="1"/>
        <v>0</v>
      </c>
      <c r="AN69" s="36">
        <f t="shared" si="2"/>
        <v>0</v>
      </c>
      <c r="AO69" s="36">
        <f t="shared" si="3"/>
        <v>1</v>
      </c>
      <c r="AP69" s="36">
        <f t="shared" si="4"/>
        <v>0</v>
      </c>
      <c r="AQ69" s="37">
        <f t="shared" si="5"/>
        <v>1</v>
      </c>
      <c r="AR69" s="37"/>
      <c r="AS69" s="38">
        <v>26</v>
      </c>
      <c r="AT69" s="39">
        <f t="shared" si="6"/>
        <v>0.0384615384615385</v>
      </c>
    </row>
    <row r="70" s="105" customFormat="1" ht="19.5" customHeight="1" spans="1:46">
      <c r="A70" s="68">
        <v>59</v>
      </c>
      <c r="B70" s="219" t="s">
        <v>82</v>
      </c>
      <c r="C70" s="150" t="s">
        <v>16</v>
      </c>
      <c r="D70" s="149" t="str">
        <f>VLOOKUP(B70,'[1]MASTER DATA 2025'!$C$3:$E$279,3,0)</f>
        <v>0Tahun1 Bulan</v>
      </c>
      <c r="E70" s="96"/>
      <c r="F70" s="96"/>
      <c r="G70" s="96"/>
      <c r="H70" s="96"/>
      <c r="I70" s="96"/>
      <c r="J70" s="96" t="s">
        <v>13</v>
      </c>
      <c r="K70" s="96" t="s">
        <v>12</v>
      </c>
      <c r="L70" s="96" t="s">
        <v>12</v>
      </c>
      <c r="M70" s="96"/>
      <c r="N70" s="96"/>
      <c r="O70" s="96"/>
      <c r="P70" s="96"/>
      <c r="Q70" s="96"/>
      <c r="R70" s="96"/>
      <c r="S70" s="96"/>
      <c r="T70" s="96"/>
      <c r="U70" s="259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L70" s="151">
        <f t="shared" si="0"/>
        <v>0</v>
      </c>
      <c r="AM70" s="35">
        <f t="shared" si="1"/>
        <v>0</v>
      </c>
      <c r="AN70" s="35">
        <f t="shared" si="2"/>
        <v>2</v>
      </c>
      <c r="AO70" s="47">
        <f t="shared" si="3"/>
        <v>1</v>
      </c>
      <c r="AP70" s="36">
        <f t="shared" si="4"/>
        <v>0</v>
      </c>
      <c r="AQ70" s="37">
        <f t="shared" si="5"/>
        <v>3</v>
      </c>
      <c r="AR70" s="37" t="s">
        <v>25</v>
      </c>
      <c r="AS70" s="38">
        <v>26</v>
      </c>
      <c r="AT70" s="39">
        <f t="shared" si="6"/>
        <v>0.115384615384615</v>
      </c>
    </row>
    <row r="71" s="105" customFormat="1" ht="19.5" customHeight="1" spans="1:46">
      <c r="A71" s="68">
        <v>60</v>
      </c>
      <c r="B71" s="219" t="s">
        <v>83</v>
      </c>
      <c r="C71" s="150" t="s">
        <v>16</v>
      </c>
      <c r="D71" s="149" t="str">
        <f>VLOOKUP(B71,'[1]MASTER DATA 2025'!$C$3:$E$279,3,0)</f>
        <v>2Tahun1 Bulan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259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L71" s="151">
        <f t="shared" si="0"/>
        <v>0</v>
      </c>
      <c r="AM71" s="35">
        <f t="shared" si="1"/>
        <v>0</v>
      </c>
      <c r="AN71" s="36">
        <f t="shared" si="2"/>
        <v>0</v>
      </c>
      <c r="AO71" s="36">
        <f t="shared" si="3"/>
        <v>0</v>
      </c>
      <c r="AP71" s="36">
        <f t="shared" si="4"/>
        <v>0</v>
      </c>
      <c r="AQ71" s="37">
        <f t="shared" si="5"/>
        <v>0</v>
      </c>
      <c r="AR71" s="37"/>
      <c r="AS71" s="38">
        <v>26</v>
      </c>
      <c r="AT71" s="39">
        <f t="shared" si="6"/>
        <v>0</v>
      </c>
    </row>
    <row r="72" s="105" customFormat="1" ht="19.5" customHeight="1" spans="1:46">
      <c r="A72" s="68">
        <v>61</v>
      </c>
      <c r="B72" s="219" t="s">
        <v>84</v>
      </c>
      <c r="C72" s="150" t="s">
        <v>59</v>
      </c>
      <c r="D72" s="149" t="str">
        <f>VLOOKUP(B72,'[1]MASTER DATA 2025'!$C$3:$E$279,3,0)</f>
        <v>0Tahun7 Bulan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 t="s">
        <v>11</v>
      </c>
      <c r="Q72" s="96" t="s">
        <v>13</v>
      </c>
      <c r="R72" s="96"/>
      <c r="S72" s="96"/>
      <c r="T72" s="96"/>
      <c r="U72" s="259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L72" s="151">
        <f t="shared" si="0"/>
        <v>0</v>
      </c>
      <c r="AM72" s="35">
        <f t="shared" si="1"/>
        <v>1</v>
      </c>
      <c r="AN72" s="36">
        <f t="shared" si="2"/>
        <v>0</v>
      </c>
      <c r="AO72" s="36">
        <f t="shared" si="3"/>
        <v>1</v>
      </c>
      <c r="AP72" s="36">
        <f t="shared" si="4"/>
        <v>0</v>
      </c>
      <c r="AQ72" s="37">
        <f t="shared" si="5"/>
        <v>2</v>
      </c>
      <c r="AR72" s="37"/>
      <c r="AS72" s="38">
        <v>26</v>
      </c>
      <c r="AT72" s="39">
        <f t="shared" si="6"/>
        <v>0.0769230769230769</v>
      </c>
    </row>
    <row r="73" s="105" customFormat="1" ht="19.5" customHeight="1" spans="1:46">
      <c r="A73" s="68">
        <v>62</v>
      </c>
      <c r="B73" s="219" t="s">
        <v>85</v>
      </c>
      <c r="C73" s="150" t="s">
        <v>59</v>
      </c>
      <c r="D73" s="149" t="str">
        <f>VLOOKUP(B73,'[1]MASTER DATA 2025'!$C$3:$E$279,3,0)</f>
        <v>1Tahun3 Bulan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 t="s">
        <v>13</v>
      </c>
      <c r="Q73" s="96"/>
      <c r="R73" s="96"/>
      <c r="S73" s="96"/>
      <c r="T73" s="96"/>
      <c r="U73" s="259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L73" s="151">
        <f t="shared" si="0"/>
        <v>0</v>
      </c>
      <c r="AM73" s="35">
        <f t="shared" si="1"/>
        <v>0</v>
      </c>
      <c r="AN73" s="35">
        <f t="shared" si="2"/>
        <v>0</v>
      </c>
      <c r="AO73" s="47">
        <f t="shared" si="3"/>
        <v>1</v>
      </c>
      <c r="AP73" s="36">
        <f t="shared" si="4"/>
        <v>0</v>
      </c>
      <c r="AQ73" s="37">
        <f t="shared" si="5"/>
        <v>1</v>
      </c>
      <c r="AR73" s="37" t="s">
        <v>25</v>
      </c>
      <c r="AS73" s="38">
        <v>26</v>
      </c>
      <c r="AT73" s="39">
        <f t="shared" si="6"/>
        <v>0.0384615384615385</v>
      </c>
    </row>
    <row r="74" s="105" customFormat="1" ht="19.5" customHeight="1" spans="1:46">
      <c r="A74" s="68">
        <v>63</v>
      </c>
      <c r="B74" s="219" t="s">
        <v>86</v>
      </c>
      <c r="C74" s="150" t="s">
        <v>59</v>
      </c>
      <c r="D74" s="149" t="str">
        <f>VLOOKUP(B74,'[1]MASTER DATA 2025'!$C$3:$E$279,3,0)</f>
        <v>2Tahun7 Bulan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 t="s">
        <v>13</v>
      </c>
      <c r="Q74" s="96"/>
      <c r="R74" s="96"/>
      <c r="S74" s="96"/>
      <c r="T74" s="96"/>
      <c r="U74" s="259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L74" s="151">
        <f t="shared" si="0"/>
        <v>0</v>
      </c>
      <c r="AM74" s="35">
        <f t="shared" si="1"/>
        <v>0</v>
      </c>
      <c r="AN74" s="35">
        <f t="shared" si="2"/>
        <v>0</v>
      </c>
      <c r="AO74" s="36">
        <f t="shared" si="3"/>
        <v>1</v>
      </c>
      <c r="AP74" s="36">
        <f t="shared" si="4"/>
        <v>0</v>
      </c>
      <c r="AQ74" s="37">
        <f t="shared" si="5"/>
        <v>1</v>
      </c>
      <c r="AR74" s="37"/>
      <c r="AS74" s="38">
        <v>26</v>
      </c>
      <c r="AT74" s="39">
        <f t="shared" si="6"/>
        <v>0.0384615384615385</v>
      </c>
    </row>
    <row r="75" s="105" customFormat="1" ht="19.5" customHeight="1" spans="1:46">
      <c r="A75" s="68">
        <v>64</v>
      </c>
      <c r="B75" s="219" t="s">
        <v>119</v>
      </c>
      <c r="C75" s="150" t="s">
        <v>59</v>
      </c>
      <c r="D75" s="149" t="str">
        <f>VLOOKUP(B75,'[1]MASTER DATA 2025'!$C$3:$E$279,3,0)</f>
        <v>0Tahun7 Bulan</v>
      </c>
      <c r="E75" s="96"/>
      <c r="F75" s="96"/>
      <c r="G75" s="96"/>
      <c r="H75" s="96"/>
      <c r="I75" s="96"/>
      <c r="J75" s="96"/>
      <c r="K75" s="96"/>
      <c r="L75" s="96" t="s">
        <v>13</v>
      </c>
      <c r="M75" s="96"/>
      <c r="N75" s="96"/>
      <c r="O75" s="96"/>
      <c r="P75" s="96"/>
      <c r="Q75" s="96"/>
      <c r="R75" s="96"/>
      <c r="S75" s="96"/>
      <c r="T75" s="96"/>
      <c r="U75" s="259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L75" s="151">
        <f t="shared" si="0"/>
        <v>0</v>
      </c>
      <c r="AM75" s="35">
        <f t="shared" si="1"/>
        <v>0</v>
      </c>
      <c r="AN75" s="36">
        <f t="shared" si="2"/>
        <v>0</v>
      </c>
      <c r="AO75" s="35">
        <f t="shared" si="3"/>
        <v>1</v>
      </c>
      <c r="AP75" s="36">
        <f t="shared" si="4"/>
        <v>0</v>
      </c>
      <c r="AQ75" s="37">
        <f t="shared" si="5"/>
        <v>1</v>
      </c>
      <c r="AR75" s="37" t="s">
        <v>25</v>
      </c>
      <c r="AS75" s="38">
        <v>26</v>
      </c>
      <c r="AT75" s="39">
        <f t="shared" si="6"/>
        <v>0.0384615384615385</v>
      </c>
    </row>
    <row r="76" s="105" customFormat="1" ht="19.5" customHeight="1" spans="1:46">
      <c r="A76" s="68">
        <v>65</v>
      </c>
      <c r="B76" s="219" t="s">
        <v>88</v>
      </c>
      <c r="C76" s="150" t="s">
        <v>16</v>
      </c>
      <c r="D76" s="149" t="str">
        <f>VLOOKUP(B76,'[1]MASTER DATA 2025'!$C$3:$E$279,3,0)</f>
        <v>1Tahun2 Bulan</v>
      </c>
      <c r="E76" s="96"/>
      <c r="F76" s="96"/>
      <c r="G76" s="96"/>
      <c r="H76" s="96"/>
      <c r="I76" s="96"/>
      <c r="J76" s="96" t="s">
        <v>13</v>
      </c>
      <c r="K76" s="96"/>
      <c r="L76" s="96"/>
      <c r="M76" s="96"/>
      <c r="N76" s="96"/>
      <c r="O76" s="96"/>
      <c r="P76" s="96"/>
      <c r="Q76" s="96"/>
      <c r="R76" s="96"/>
      <c r="S76" s="96" t="s">
        <v>11</v>
      </c>
      <c r="T76" s="96" t="s">
        <v>11</v>
      </c>
      <c r="U76" s="259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L76" s="151">
        <f t="shared" ref="AL76:AL139" si="7">COUNTIF(E76:AJ76,"H")</f>
        <v>0</v>
      </c>
      <c r="AM76" s="35">
        <f t="shared" ref="AM76:AM139" si="8">COUNTIF(E76:AJ76,"S")</f>
        <v>2</v>
      </c>
      <c r="AN76" s="36">
        <f t="shared" ref="AN76:AN139" si="9">COUNTIF(E76:AJ76,"I")</f>
        <v>0</v>
      </c>
      <c r="AO76" s="35">
        <f t="shared" ref="AO76:AO139" si="10">COUNTIF(E76:AJ76,"A")</f>
        <v>1</v>
      </c>
      <c r="AP76" s="36">
        <f t="shared" ref="AP76:AP131" si="11">COUNTIF(E76:AJ76,"OFF")</f>
        <v>0</v>
      </c>
      <c r="AQ76" s="37">
        <f t="shared" ref="AQ76:AQ139" si="12">SUM(AL76:AO76)</f>
        <v>3</v>
      </c>
      <c r="AR76" s="49">
        <v>45967</v>
      </c>
      <c r="AS76" s="38">
        <v>26</v>
      </c>
      <c r="AT76" s="39">
        <f t="shared" ref="AT76:AT92" si="13">AQ76/AS76</f>
        <v>0.115384615384615</v>
      </c>
    </row>
    <row r="77" s="105" customFormat="1" ht="19.5" customHeight="1" spans="1:46">
      <c r="A77" s="68">
        <v>66</v>
      </c>
      <c r="B77" s="219" t="s">
        <v>89</v>
      </c>
      <c r="C77" s="150" t="s">
        <v>16</v>
      </c>
      <c r="D77" s="149" t="str">
        <f>VLOOKUP(B77,'[1]MASTER DATA 2025'!$C$3:$E$279,3,0)</f>
        <v>0Tahun2 Bulan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259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L77" s="151">
        <f t="shared" si="7"/>
        <v>0</v>
      </c>
      <c r="AM77" s="35">
        <f t="shared" si="8"/>
        <v>0</v>
      </c>
      <c r="AN77" s="36">
        <f t="shared" si="9"/>
        <v>0</v>
      </c>
      <c r="AO77" s="35">
        <f t="shared" si="10"/>
        <v>0</v>
      </c>
      <c r="AP77" s="36">
        <f t="shared" si="11"/>
        <v>0</v>
      </c>
      <c r="AQ77" s="37">
        <f t="shared" si="12"/>
        <v>0</v>
      </c>
      <c r="AR77" s="37" t="s">
        <v>25</v>
      </c>
      <c r="AS77" s="38">
        <v>26</v>
      </c>
      <c r="AT77" s="39">
        <f t="shared" si="13"/>
        <v>0</v>
      </c>
    </row>
    <row r="78" s="105" customFormat="1" ht="19.5" customHeight="1" spans="1:46">
      <c r="A78" s="68">
        <v>67</v>
      </c>
      <c r="B78" s="219" t="s">
        <v>90</v>
      </c>
      <c r="C78" s="150" t="s">
        <v>16</v>
      </c>
      <c r="D78" s="149" t="str">
        <f>VLOOKUP(B78,'[1]MASTER DATA 2025'!$C$3:$E$279,3,0)</f>
        <v>0Tahun7 Bulan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259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L78" s="151">
        <f t="shared" si="7"/>
        <v>0</v>
      </c>
      <c r="AM78" s="35">
        <f t="shared" si="8"/>
        <v>0</v>
      </c>
      <c r="AN78" s="36">
        <f t="shared" si="9"/>
        <v>0</v>
      </c>
      <c r="AO78" s="36">
        <f t="shared" si="10"/>
        <v>0</v>
      </c>
      <c r="AP78" s="36">
        <f t="shared" si="11"/>
        <v>0</v>
      </c>
      <c r="AQ78" s="37">
        <f t="shared" si="12"/>
        <v>0</v>
      </c>
      <c r="AR78" s="37"/>
      <c r="AS78" s="38">
        <v>26</v>
      </c>
      <c r="AT78" s="39">
        <f t="shared" si="13"/>
        <v>0</v>
      </c>
    </row>
    <row r="79" s="105" customFormat="1" ht="19.5" customHeight="1" spans="1:46">
      <c r="A79" s="68">
        <v>68</v>
      </c>
      <c r="B79" s="264" t="s">
        <v>91</v>
      </c>
      <c r="C79" s="150" t="s">
        <v>16</v>
      </c>
      <c r="D79" s="149" t="str">
        <f>VLOOKUP(B79,'[1]MASTER DATA 2025'!$C$3:$E$279,3,0)</f>
        <v>0Tahun7Bulan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259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L79" s="151">
        <f t="shared" si="7"/>
        <v>0</v>
      </c>
      <c r="AM79" s="35">
        <f t="shared" si="8"/>
        <v>0</v>
      </c>
      <c r="AN79" s="36">
        <f t="shared" si="9"/>
        <v>0</v>
      </c>
      <c r="AO79" s="36">
        <f t="shared" si="10"/>
        <v>0</v>
      </c>
      <c r="AP79" s="36">
        <f t="shared" si="11"/>
        <v>0</v>
      </c>
      <c r="AQ79" s="37">
        <f t="shared" si="12"/>
        <v>0</v>
      </c>
      <c r="AR79" s="37"/>
      <c r="AS79" s="38">
        <v>26</v>
      </c>
      <c r="AT79" s="39">
        <f t="shared" si="13"/>
        <v>0</v>
      </c>
    </row>
    <row r="80" s="105" customFormat="1" ht="19.5" customHeight="1" spans="1:46">
      <c r="A80" s="68">
        <v>69</v>
      </c>
      <c r="B80" s="219" t="s">
        <v>92</v>
      </c>
      <c r="C80" s="150" t="s">
        <v>16</v>
      </c>
      <c r="D80" s="149" t="str">
        <f>VLOOKUP(B80,'[1]MASTER DATA 2025'!$C$3:$E$279,3,0)</f>
        <v>0Tahun2 Bulan</v>
      </c>
      <c r="E80" s="96"/>
      <c r="F80" s="96"/>
      <c r="G80" s="96"/>
      <c r="H80" s="96" t="s">
        <v>13</v>
      </c>
      <c r="I80" s="96"/>
      <c r="J80" s="96"/>
      <c r="K80" s="96"/>
      <c r="L80" s="96"/>
      <c r="M80" s="96"/>
      <c r="N80" s="96"/>
      <c r="O80" s="96"/>
      <c r="P80" s="96"/>
      <c r="Q80" s="96"/>
      <c r="R80" s="96" t="s">
        <v>13</v>
      </c>
      <c r="S80" s="96"/>
      <c r="T80" s="96"/>
      <c r="U80" s="259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L80" s="151">
        <f t="shared" si="7"/>
        <v>0</v>
      </c>
      <c r="AM80" s="35">
        <f t="shared" si="8"/>
        <v>0</v>
      </c>
      <c r="AN80" s="36">
        <f t="shared" si="9"/>
        <v>0</v>
      </c>
      <c r="AO80" s="35">
        <f t="shared" si="10"/>
        <v>2</v>
      </c>
      <c r="AP80" s="36">
        <f t="shared" si="11"/>
        <v>0</v>
      </c>
      <c r="AQ80" s="37">
        <f t="shared" si="12"/>
        <v>2</v>
      </c>
      <c r="AR80" s="37" t="s">
        <v>25</v>
      </c>
      <c r="AS80" s="38">
        <v>26</v>
      </c>
      <c r="AT80" s="39">
        <f t="shared" si="13"/>
        <v>0.0769230769230769</v>
      </c>
    </row>
    <row r="81" s="105" customFormat="1" ht="19.5" customHeight="1" spans="1:46">
      <c r="A81" s="68">
        <v>70</v>
      </c>
      <c r="B81" s="219" t="s">
        <v>93</v>
      </c>
      <c r="C81" s="150" t="s">
        <v>16</v>
      </c>
      <c r="D81" s="149" t="str">
        <f>VLOOKUP(B81,'[1]MASTER DATA 2025'!$C$3:$E$279,3,0)</f>
        <v>0Tahun2 Bulan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259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L81" s="151">
        <f t="shared" si="7"/>
        <v>0</v>
      </c>
      <c r="AM81" s="35">
        <f t="shared" si="8"/>
        <v>0</v>
      </c>
      <c r="AN81" s="36">
        <f t="shared" si="9"/>
        <v>0</v>
      </c>
      <c r="AO81" s="35">
        <f t="shared" si="10"/>
        <v>0</v>
      </c>
      <c r="AP81" s="36">
        <f t="shared" si="11"/>
        <v>0</v>
      </c>
      <c r="AQ81" s="37">
        <f t="shared" si="12"/>
        <v>0</v>
      </c>
      <c r="AR81" s="37"/>
      <c r="AS81" s="38">
        <v>26</v>
      </c>
      <c r="AT81" s="39">
        <f t="shared" si="13"/>
        <v>0</v>
      </c>
    </row>
    <row r="82" s="105" customFormat="1" ht="19.5" customHeight="1" spans="1:46">
      <c r="A82" s="68">
        <v>71</v>
      </c>
      <c r="B82" s="219" t="s">
        <v>94</v>
      </c>
      <c r="C82" s="150" t="s">
        <v>16</v>
      </c>
      <c r="D82" s="149" t="str">
        <f>VLOOKUP(B82,'[1]MASTER DATA 2025'!$C$3:$E$279,3,0)</f>
        <v>0Tahun2 Bulan</v>
      </c>
      <c r="E82" s="96"/>
      <c r="F82" s="96"/>
      <c r="G82" s="96"/>
      <c r="H82" s="96"/>
      <c r="I82" s="96"/>
      <c r="J82" s="96"/>
      <c r="K82" s="96"/>
      <c r="L82" s="96"/>
      <c r="M82" s="96"/>
      <c r="N82" s="96" t="s">
        <v>11</v>
      </c>
      <c r="O82" s="96"/>
      <c r="P82" s="96"/>
      <c r="Q82" s="96"/>
      <c r="R82" s="96"/>
      <c r="S82" s="96"/>
      <c r="T82" s="96"/>
      <c r="U82" s="259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L82" s="151">
        <f t="shared" si="7"/>
        <v>0</v>
      </c>
      <c r="AM82" s="35">
        <f t="shared" si="8"/>
        <v>1</v>
      </c>
      <c r="AN82" s="36">
        <f t="shared" si="9"/>
        <v>0</v>
      </c>
      <c r="AO82" s="36">
        <f t="shared" si="10"/>
        <v>0</v>
      </c>
      <c r="AP82" s="36">
        <f t="shared" si="11"/>
        <v>0</v>
      </c>
      <c r="AQ82" s="37">
        <f t="shared" si="12"/>
        <v>1</v>
      </c>
      <c r="AR82" s="37" t="s">
        <v>25</v>
      </c>
      <c r="AS82" s="38">
        <v>26</v>
      </c>
      <c r="AT82" s="39">
        <f t="shared" si="13"/>
        <v>0.0384615384615385</v>
      </c>
    </row>
    <row r="83" s="105" customFormat="1" ht="19.5" customHeight="1" spans="1:46">
      <c r="A83" s="68">
        <v>72</v>
      </c>
      <c r="B83" s="219" t="s">
        <v>95</v>
      </c>
      <c r="C83" s="150" t="s">
        <v>59</v>
      </c>
      <c r="D83" s="149" t="str">
        <f>VLOOKUP(B83,'[1]MASTER DATA 2025'!$C$3:$E$279,3,0)</f>
        <v>1Tahun4 Bulan</v>
      </c>
      <c r="E83" s="96"/>
      <c r="F83" s="96"/>
      <c r="G83" s="96"/>
      <c r="H83" s="96"/>
      <c r="I83" s="96"/>
      <c r="J83" s="96"/>
      <c r="K83" s="96"/>
      <c r="L83" s="96"/>
      <c r="M83" s="96"/>
      <c r="N83" s="96" t="s">
        <v>13</v>
      </c>
      <c r="O83" s="96"/>
      <c r="P83" s="96"/>
      <c r="Q83" s="96" t="s">
        <v>11</v>
      </c>
      <c r="R83" s="96"/>
      <c r="S83" s="96"/>
      <c r="T83" s="96"/>
      <c r="U83" s="259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L83" s="151">
        <f t="shared" si="7"/>
        <v>0</v>
      </c>
      <c r="AM83" s="35">
        <f t="shared" si="8"/>
        <v>1</v>
      </c>
      <c r="AN83" s="36">
        <f t="shared" si="9"/>
        <v>0</v>
      </c>
      <c r="AO83" s="36">
        <f t="shared" si="10"/>
        <v>1</v>
      </c>
      <c r="AP83" s="36">
        <f t="shared" si="11"/>
        <v>0</v>
      </c>
      <c r="AQ83" s="37">
        <f t="shared" si="12"/>
        <v>2</v>
      </c>
      <c r="AR83" s="37" t="s">
        <v>25</v>
      </c>
      <c r="AS83" s="38">
        <v>26</v>
      </c>
      <c r="AT83" s="39">
        <f t="shared" si="13"/>
        <v>0.0769230769230769</v>
      </c>
    </row>
    <row r="84" s="105" customFormat="1" ht="19.5" customHeight="1" spans="1:46">
      <c r="A84" s="68">
        <v>73</v>
      </c>
      <c r="B84" s="219" t="s">
        <v>96</v>
      </c>
      <c r="C84" s="150" t="s">
        <v>59</v>
      </c>
      <c r="D84" s="149" t="str">
        <f>VLOOKUP(B84,'[1]MASTER DATA 2025'!$C$3:$E$279,3,0)</f>
        <v>2Tahun10 Bulan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259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L84" s="151">
        <f t="shared" si="7"/>
        <v>0</v>
      </c>
      <c r="AM84" s="35">
        <f t="shared" si="8"/>
        <v>0</v>
      </c>
      <c r="AN84" s="35">
        <f t="shared" si="9"/>
        <v>0</v>
      </c>
      <c r="AO84" s="47">
        <f t="shared" si="10"/>
        <v>0</v>
      </c>
      <c r="AP84" s="36">
        <f t="shared" si="11"/>
        <v>0</v>
      </c>
      <c r="AQ84" s="37">
        <f t="shared" si="12"/>
        <v>0</v>
      </c>
      <c r="AR84" s="37" t="s">
        <v>25</v>
      </c>
      <c r="AS84" s="38">
        <v>26</v>
      </c>
      <c r="AT84" s="39">
        <f t="shared" si="13"/>
        <v>0</v>
      </c>
    </row>
    <row r="85" s="105" customFormat="1" ht="19.5" customHeight="1" spans="1:46">
      <c r="A85" s="68">
        <v>74</v>
      </c>
      <c r="B85" s="219" t="s">
        <v>97</v>
      </c>
      <c r="C85" s="150" t="s">
        <v>59</v>
      </c>
      <c r="D85" s="149" t="str">
        <f>VLOOKUP(B85,'[1]MASTER DATA 2025'!$C$3:$E$279,3,0)</f>
        <v>1Tahun7 Bulan</v>
      </c>
      <c r="E85" s="96"/>
      <c r="F85" s="96"/>
      <c r="G85" s="96"/>
      <c r="H85" s="96"/>
      <c r="I85" s="96"/>
      <c r="J85" s="96"/>
      <c r="K85" s="96" t="s">
        <v>13</v>
      </c>
      <c r="L85" s="96"/>
      <c r="M85" s="96"/>
      <c r="N85" s="96"/>
      <c r="O85" s="96"/>
      <c r="P85" s="96"/>
      <c r="Q85" s="96"/>
      <c r="R85" s="96"/>
      <c r="S85" s="96"/>
      <c r="T85" s="96"/>
      <c r="U85" s="259" t="s">
        <v>12</v>
      </c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 t="s">
        <v>13</v>
      </c>
      <c r="AJ85" s="96" t="s">
        <v>13</v>
      </c>
      <c r="AL85" s="151">
        <f t="shared" si="7"/>
        <v>0</v>
      </c>
      <c r="AM85" s="35">
        <f t="shared" si="8"/>
        <v>0</v>
      </c>
      <c r="AN85" s="35">
        <f t="shared" si="9"/>
        <v>1</v>
      </c>
      <c r="AO85" s="47">
        <f t="shared" si="10"/>
        <v>3</v>
      </c>
      <c r="AP85" s="36">
        <f t="shared" si="11"/>
        <v>0</v>
      </c>
      <c r="AQ85" s="37">
        <f t="shared" si="12"/>
        <v>4</v>
      </c>
      <c r="AR85" s="37" t="s">
        <v>171</v>
      </c>
      <c r="AS85" s="38">
        <v>26</v>
      </c>
      <c r="AT85" s="39">
        <f t="shared" si="13"/>
        <v>0.153846153846154</v>
      </c>
    </row>
    <row r="86" s="105" customFormat="1" ht="19.5" customHeight="1" spans="1:46">
      <c r="A86" s="68">
        <v>75</v>
      </c>
      <c r="B86" s="219" t="s">
        <v>98</v>
      </c>
      <c r="C86" s="150" t="s">
        <v>59</v>
      </c>
      <c r="D86" s="149" t="str">
        <f>VLOOKUP(B86,'[1]MASTER DATA 2025'!$C$3:$E$279,3,0)</f>
        <v>1Tahun3 Bulan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 t="s">
        <v>11</v>
      </c>
      <c r="Q86" s="96"/>
      <c r="R86" s="96"/>
      <c r="S86" s="96"/>
      <c r="T86" s="96"/>
      <c r="U86" s="259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L86" s="151">
        <f t="shared" si="7"/>
        <v>0</v>
      </c>
      <c r="AM86" s="35">
        <f t="shared" si="8"/>
        <v>1</v>
      </c>
      <c r="AN86" s="36">
        <f t="shared" si="9"/>
        <v>0</v>
      </c>
      <c r="AO86" s="36">
        <f t="shared" si="10"/>
        <v>0</v>
      </c>
      <c r="AP86" s="36">
        <f t="shared" si="11"/>
        <v>0</v>
      </c>
      <c r="AQ86" s="37">
        <f t="shared" si="12"/>
        <v>1</v>
      </c>
      <c r="AR86" s="37"/>
      <c r="AS86" s="38">
        <v>26</v>
      </c>
      <c r="AT86" s="39">
        <f t="shared" si="13"/>
        <v>0.0384615384615385</v>
      </c>
    </row>
    <row r="87" s="105" customFormat="1" ht="19.5" customHeight="1" spans="1:46">
      <c r="A87" s="68">
        <v>76</v>
      </c>
      <c r="B87" s="219" t="s">
        <v>99</v>
      </c>
      <c r="C87" s="150" t="s">
        <v>16</v>
      </c>
      <c r="D87" s="149" t="str">
        <f>VLOOKUP(B87,'[1]MASTER DATA 2025'!$C$3:$E$279,3,0)</f>
        <v>1Tahun4 Bulan</v>
      </c>
      <c r="E87" s="96"/>
      <c r="F87" s="96" t="s">
        <v>13</v>
      </c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259"/>
      <c r="V87" s="96"/>
      <c r="W87" s="96" t="s">
        <v>13</v>
      </c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L87" s="151">
        <f t="shared" si="7"/>
        <v>0</v>
      </c>
      <c r="AM87" s="35">
        <f t="shared" si="8"/>
        <v>0</v>
      </c>
      <c r="AN87" s="36">
        <f t="shared" si="9"/>
        <v>0</v>
      </c>
      <c r="AO87" s="36">
        <f t="shared" si="10"/>
        <v>2</v>
      </c>
      <c r="AP87" s="36">
        <f t="shared" si="11"/>
        <v>0</v>
      </c>
      <c r="AQ87" s="37">
        <f t="shared" si="12"/>
        <v>2</v>
      </c>
      <c r="AR87" s="37" t="s">
        <v>25</v>
      </c>
      <c r="AS87" s="38">
        <v>26</v>
      </c>
      <c r="AT87" s="39">
        <f t="shared" si="13"/>
        <v>0.0769230769230769</v>
      </c>
    </row>
    <row r="88" s="105" customFormat="1" ht="19.5" customHeight="1" spans="1:46">
      <c r="A88" s="68">
        <v>77</v>
      </c>
      <c r="B88" s="219" t="s">
        <v>100</v>
      </c>
      <c r="C88" s="150" t="s">
        <v>101</v>
      </c>
      <c r="D88" s="149" t="str">
        <f>VLOOKUP(B88,'[1]MASTER DATA 2025'!$C$3:$E$279,3,0)</f>
        <v>1Tahun1 Bulan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 t="s">
        <v>13</v>
      </c>
      <c r="P88" s="96"/>
      <c r="Q88" s="96"/>
      <c r="R88" s="96"/>
      <c r="S88" s="96"/>
      <c r="T88" s="96"/>
      <c r="U88" s="259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 t="s">
        <v>13</v>
      </c>
      <c r="AJ88" s="96" t="s">
        <v>13</v>
      </c>
      <c r="AL88" s="151">
        <f t="shared" si="7"/>
        <v>0</v>
      </c>
      <c r="AM88" s="35">
        <f t="shared" si="8"/>
        <v>0</v>
      </c>
      <c r="AN88" s="35">
        <f t="shared" si="9"/>
        <v>0</v>
      </c>
      <c r="AO88" s="47">
        <f t="shared" si="10"/>
        <v>3</v>
      </c>
      <c r="AP88" s="36">
        <f t="shared" si="11"/>
        <v>0</v>
      </c>
      <c r="AQ88" s="37">
        <f t="shared" si="12"/>
        <v>3</v>
      </c>
      <c r="AR88" s="37" t="s">
        <v>172</v>
      </c>
      <c r="AS88" s="38">
        <v>26</v>
      </c>
      <c r="AT88" s="39">
        <f t="shared" si="13"/>
        <v>0.115384615384615</v>
      </c>
    </row>
    <row r="89" s="105" customFormat="1" ht="19.5" customHeight="1" spans="1:46">
      <c r="A89" s="68">
        <v>78</v>
      </c>
      <c r="B89" s="219" t="s">
        <v>102</v>
      </c>
      <c r="C89" s="150" t="s">
        <v>16</v>
      </c>
      <c r="D89" s="149" t="str">
        <f>VLOOKUP(B89,'[1]MASTER DATA 2025'!$C$3:$E$279,3,0)</f>
        <v>3Tahun9 Bulan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 t="s">
        <v>13</v>
      </c>
      <c r="P89" s="96"/>
      <c r="Q89" s="96"/>
      <c r="R89" s="96"/>
      <c r="S89" s="96"/>
      <c r="T89" s="96"/>
      <c r="U89" s="259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L89" s="151">
        <f t="shared" si="7"/>
        <v>0</v>
      </c>
      <c r="AM89" s="35">
        <f t="shared" si="8"/>
        <v>0</v>
      </c>
      <c r="AN89" s="36">
        <f t="shared" si="9"/>
        <v>0</v>
      </c>
      <c r="AO89" s="36">
        <f t="shared" si="10"/>
        <v>1</v>
      </c>
      <c r="AP89" s="36">
        <f t="shared" si="11"/>
        <v>0</v>
      </c>
      <c r="AQ89" s="37">
        <f t="shared" si="12"/>
        <v>1</v>
      </c>
      <c r="AR89" s="37"/>
      <c r="AS89" s="38">
        <v>26</v>
      </c>
      <c r="AT89" s="39">
        <f t="shared" si="13"/>
        <v>0.0384615384615385</v>
      </c>
    </row>
    <row r="90" s="105" customFormat="1" ht="19.5" customHeight="1" spans="1:46">
      <c r="A90" s="68">
        <v>79</v>
      </c>
      <c r="B90" s="219" t="s">
        <v>104</v>
      </c>
      <c r="C90" s="150" t="s">
        <v>16</v>
      </c>
      <c r="D90" s="149" t="str">
        <f>VLOOKUP(B90,'[1]MASTER DATA 2025'!$C$3:$E$279,3,0)</f>
        <v>2Tahun10 Bulan</v>
      </c>
      <c r="E90" s="96"/>
      <c r="F90" s="96" t="s">
        <v>11</v>
      </c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259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L90" s="151">
        <f t="shared" si="7"/>
        <v>0</v>
      </c>
      <c r="AM90" s="35">
        <f t="shared" si="8"/>
        <v>1</v>
      </c>
      <c r="AN90" s="36">
        <f t="shared" si="9"/>
        <v>0</v>
      </c>
      <c r="AO90" s="36">
        <f t="shared" si="10"/>
        <v>0</v>
      </c>
      <c r="AP90" s="36">
        <f t="shared" si="11"/>
        <v>0</v>
      </c>
      <c r="AQ90" s="37">
        <f t="shared" si="12"/>
        <v>1</v>
      </c>
      <c r="AR90" s="37" t="s">
        <v>25</v>
      </c>
      <c r="AS90" s="38">
        <v>26</v>
      </c>
      <c r="AT90" s="39">
        <f t="shared" si="13"/>
        <v>0.0384615384615385</v>
      </c>
    </row>
    <row r="91" s="105" customFormat="1" ht="19.5" customHeight="1" spans="1:46">
      <c r="A91" s="68">
        <v>80</v>
      </c>
      <c r="B91" s="219" t="s">
        <v>121</v>
      </c>
      <c r="C91" s="150" t="s">
        <v>16</v>
      </c>
      <c r="D91" s="149" t="str">
        <f>VLOOKUP(B91,'[1]MASTER DATA 2025'!$C$3:$E$279,3,0)</f>
        <v>0Tahun5 Bulan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259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L91" s="151">
        <f t="shared" si="7"/>
        <v>0</v>
      </c>
      <c r="AM91" s="35">
        <f t="shared" si="8"/>
        <v>0</v>
      </c>
      <c r="AN91" s="36">
        <f t="shared" si="9"/>
        <v>0</v>
      </c>
      <c r="AO91" s="35">
        <f t="shared" si="10"/>
        <v>0</v>
      </c>
      <c r="AP91" s="36">
        <f t="shared" si="11"/>
        <v>0</v>
      </c>
      <c r="AQ91" s="37">
        <f t="shared" si="12"/>
        <v>0</v>
      </c>
      <c r="AR91" s="37" t="s">
        <v>25</v>
      </c>
      <c r="AS91" s="38">
        <v>26</v>
      </c>
      <c r="AT91" s="39">
        <f t="shared" si="13"/>
        <v>0</v>
      </c>
    </row>
    <row r="92" s="105" customFormat="1" ht="19.5" customHeight="1" spans="1:46">
      <c r="A92" s="68">
        <v>81</v>
      </c>
      <c r="B92" s="219" t="s">
        <v>106</v>
      </c>
      <c r="C92" s="150" t="s">
        <v>59</v>
      </c>
      <c r="D92" s="149" t="str">
        <f>VLOOKUP(B92,'[1]MASTER DATA 2025'!$C$3:$E$279,3,0)</f>
        <v>0Tahun8 Bulan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259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L92" s="151">
        <f t="shared" si="7"/>
        <v>0</v>
      </c>
      <c r="AM92" s="35">
        <f t="shared" si="8"/>
        <v>0</v>
      </c>
      <c r="AN92" s="36">
        <f t="shared" si="9"/>
        <v>0</v>
      </c>
      <c r="AO92" s="35">
        <f t="shared" si="10"/>
        <v>0</v>
      </c>
      <c r="AP92" s="36">
        <f t="shared" si="11"/>
        <v>0</v>
      </c>
      <c r="AQ92" s="37">
        <f t="shared" si="12"/>
        <v>0</v>
      </c>
      <c r="AR92" s="49" t="s">
        <v>120</v>
      </c>
      <c r="AS92" s="38">
        <v>26</v>
      </c>
      <c r="AT92" s="39">
        <f t="shared" si="13"/>
        <v>0</v>
      </c>
    </row>
    <row r="93" s="105" customFormat="1" ht="19.5" customHeight="1" spans="1:46">
      <c r="A93" s="68">
        <v>82</v>
      </c>
      <c r="B93" s="219" t="s">
        <v>107</v>
      </c>
      <c r="C93" s="150" t="s">
        <v>108</v>
      </c>
      <c r="D93" s="149" t="str">
        <f>VLOOKUP(B93,'[1]MASTER DATA 2025'!$C$3:$E$279,3,0)</f>
        <v>1Tahun3 Bulan</v>
      </c>
      <c r="E93" s="96"/>
      <c r="F93" s="96"/>
      <c r="G93" s="96" t="s">
        <v>13</v>
      </c>
      <c r="H93" s="96"/>
      <c r="I93" s="96"/>
      <c r="J93" s="96"/>
      <c r="K93" s="96"/>
      <c r="L93" s="96"/>
      <c r="M93" s="96"/>
      <c r="N93" s="96"/>
      <c r="O93" s="96" t="s">
        <v>12</v>
      </c>
      <c r="P93" s="96"/>
      <c r="Q93" s="96"/>
      <c r="R93" s="96"/>
      <c r="S93" s="96"/>
      <c r="T93" s="96"/>
      <c r="U93" s="259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 t="s">
        <v>13</v>
      </c>
      <c r="AG93" s="96"/>
      <c r="AH93" s="96"/>
      <c r="AI93" s="96"/>
      <c r="AJ93" s="96"/>
      <c r="AL93" s="151">
        <f t="shared" si="7"/>
        <v>0</v>
      </c>
      <c r="AM93" s="47">
        <f t="shared" si="8"/>
        <v>0</v>
      </c>
      <c r="AN93" s="36">
        <f t="shared" si="9"/>
        <v>1</v>
      </c>
      <c r="AO93" s="35">
        <f t="shared" si="10"/>
        <v>2</v>
      </c>
      <c r="AP93" s="36">
        <f t="shared" si="11"/>
        <v>0</v>
      </c>
      <c r="AQ93" s="48">
        <f t="shared" si="12"/>
        <v>3</v>
      </c>
      <c r="AR93" s="37" t="s">
        <v>25</v>
      </c>
      <c r="AS93" s="38"/>
      <c r="AT93" s="39"/>
    </row>
    <row r="94" s="105" customFormat="1" ht="19.5" customHeight="1" spans="1:46">
      <c r="A94" s="68">
        <v>83</v>
      </c>
      <c r="B94" s="265" t="s">
        <v>109</v>
      </c>
      <c r="C94" s="150" t="s">
        <v>16</v>
      </c>
      <c r="D94" s="149" t="str">
        <f>VLOOKUP(B94,'[1]MASTER DATA 2025'!$C$3:$E$279,3,0)</f>
        <v>0Tahun1 Bulan</v>
      </c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 t="s">
        <v>13</v>
      </c>
      <c r="Q94" s="96"/>
      <c r="R94" s="96"/>
      <c r="S94" s="96"/>
      <c r="T94" s="96"/>
      <c r="U94" s="259" t="s">
        <v>13</v>
      </c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L94" s="151">
        <f t="shared" si="7"/>
        <v>0</v>
      </c>
      <c r="AM94" s="35">
        <f t="shared" si="8"/>
        <v>0</v>
      </c>
      <c r="AN94" s="35">
        <f t="shared" si="9"/>
        <v>0</v>
      </c>
      <c r="AO94" s="35">
        <f t="shared" si="10"/>
        <v>2</v>
      </c>
      <c r="AP94" s="36">
        <f t="shared" si="11"/>
        <v>0</v>
      </c>
      <c r="AQ94" s="37">
        <f t="shared" si="12"/>
        <v>2</v>
      </c>
      <c r="AR94" s="37" t="s">
        <v>25</v>
      </c>
      <c r="AS94" s="38"/>
      <c r="AT94" s="39"/>
    </row>
    <row r="95" s="105" customFormat="1" ht="19.5" customHeight="1" spans="1:46">
      <c r="A95" s="68">
        <v>84</v>
      </c>
      <c r="B95" s="249" t="s">
        <v>110</v>
      </c>
      <c r="C95" s="164" t="s">
        <v>111</v>
      </c>
      <c r="D95" s="149" t="s">
        <v>112</v>
      </c>
      <c r="E95" s="96"/>
      <c r="F95" s="96"/>
      <c r="G95" s="96"/>
      <c r="H95" s="96"/>
      <c r="I95" s="96"/>
      <c r="J95" s="96"/>
      <c r="K95" s="96"/>
      <c r="L95" s="96"/>
      <c r="M95" s="96"/>
      <c r="N95" s="96" t="s">
        <v>13</v>
      </c>
      <c r="O95" s="96"/>
      <c r="P95" s="96"/>
      <c r="Q95" s="96"/>
      <c r="R95" s="96"/>
      <c r="S95" s="96"/>
      <c r="T95" s="96"/>
      <c r="U95" s="259"/>
      <c r="V95" s="96"/>
      <c r="W95" s="96"/>
      <c r="X95" s="96"/>
      <c r="Y95" s="96"/>
      <c r="Z95" s="96"/>
      <c r="AA95" s="96"/>
      <c r="AB95" s="96"/>
      <c r="AC95" s="96" t="s">
        <v>11</v>
      </c>
      <c r="AD95" s="96"/>
      <c r="AE95" s="96"/>
      <c r="AF95" s="96"/>
      <c r="AG95" s="96"/>
      <c r="AH95" s="96"/>
      <c r="AI95" s="96"/>
      <c r="AJ95" s="96"/>
      <c r="AL95" s="151">
        <f t="shared" si="7"/>
        <v>0</v>
      </c>
      <c r="AM95" s="35">
        <f t="shared" si="8"/>
        <v>1</v>
      </c>
      <c r="AN95" s="36">
        <f t="shared" si="9"/>
        <v>0</v>
      </c>
      <c r="AO95" s="36">
        <f t="shared" si="10"/>
        <v>1</v>
      </c>
      <c r="AP95" s="36">
        <f t="shared" si="11"/>
        <v>0</v>
      </c>
      <c r="AQ95" s="37">
        <f t="shared" si="12"/>
        <v>2</v>
      </c>
      <c r="AR95" s="37" t="s">
        <v>25</v>
      </c>
      <c r="AS95" s="38"/>
      <c r="AT95" s="39"/>
    </row>
    <row r="96" s="105" customFormat="1" ht="19.5" customHeight="1" spans="1:46">
      <c r="A96" s="68">
        <v>85</v>
      </c>
      <c r="B96" s="249" t="s">
        <v>113</v>
      </c>
      <c r="C96" s="164" t="s">
        <v>16</v>
      </c>
      <c r="D96" s="149" t="str">
        <f>VLOOKUP(B96,'[1]MASTER DATA 2025'!$C$3:$E$279,3,0)</f>
        <v>0Tahun1 Bulan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259" t="s">
        <v>13</v>
      </c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L96" s="151">
        <f t="shared" si="7"/>
        <v>0</v>
      </c>
      <c r="AM96" s="35">
        <f t="shared" si="8"/>
        <v>0</v>
      </c>
      <c r="AN96" s="36">
        <f t="shared" si="9"/>
        <v>0</v>
      </c>
      <c r="AO96" s="35">
        <f t="shared" si="10"/>
        <v>1</v>
      </c>
      <c r="AP96" s="36">
        <f t="shared" si="11"/>
        <v>0</v>
      </c>
      <c r="AQ96" s="37">
        <f t="shared" si="12"/>
        <v>1</v>
      </c>
      <c r="AR96" s="37" t="s">
        <v>25</v>
      </c>
      <c r="AS96" s="38">
        <v>26</v>
      </c>
      <c r="AT96" s="39">
        <f t="shared" ref="AT96:AT102" si="14">AQ96/AS96</f>
        <v>0.0384615384615385</v>
      </c>
    </row>
    <row r="97" s="105" customFormat="1" ht="19.5" customHeight="1" spans="1:46">
      <c r="A97" s="68">
        <v>86</v>
      </c>
      <c r="B97" s="249" t="s">
        <v>114</v>
      </c>
      <c r="C97" s="164" t="s">
        <v>16</v>
      </c>
      <c r="D97" s="149" t="str">
        <f>VLOOKUP(B97,'[1]MASTER DATA 2025'!$C$3:$E$279,3,0)</f>
        <v>0Tahun1 Bulan</v>
      </c>
      <c r="E97" s="96" t="s">
        <v>11</v>
      </c>
      <c r="F97" s="96"/>
      <c r="G97" s="96"/>
      <c r="H97" s="96"/>
      <c r="I97" s="96"/>
      <c r="J97" s="96"/>
      <c r="K97" s="96"/>
      <c r="L97" s="96"/>
      <c r="M97" s="96"/>
      <c r="N97" s="96"/>
      <c r="O97" s="96" t="s">
        <v>11</v>
      </c>
      <c r="P97" s="96" t="s">
        <v>11</v>
      </c>
      <c r="Q97" s="96"/>
      <c r="R97" s="96"/>
      <c r="S97" s="96"/>
      <c r="T97" s="96"/>
      <c r="U97" s="259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L97" s="151">
        <f t="shared" si="7"/>
        <v>0</v>
      </c>
      <c r="AM97" s="35">
        <f t="shared" si="8"/>
        <v>3</v>
      </c>
      <c r="AN97" s="36">
        <f t="shared" si="9"/>
        <v>0</v>
      </c>
      <c r="AO97" s="36">
        <f t="shared" si="10"/>
        <v>0</v>
      </c>
      <c r="AP97" s="36">
        <f t="shared" si="11"/>
        <v>0</v>
      </c>
      <c r="AQ97" s="37">
        <f t="shared" si="12"/>
        <v>3</v>
      </c>
      <c r="AR97" s="37" t="s">
        <v>25</v>
      </c>
      <c r="AS97" s="38">
        <v>26</v>
      </c>
      <c r="AT97" s="39">
        <f t="shared" si="14"/>
        <v>0.115384615384615</v>
      </c>
    </row>
    <row r="98" s="105" customFormat="1" ht="19.5" customHeight="1" spans="1:46">
      <c r="A98" s="68">
        <v>87</v>
      </c>
      <c r="B98" s="249" t="s">
        <v>115</v>
      </c>
      <c r="C98" s="164" t="s">
        <v>16</v>
      </c>
      <c r="D98" s="149" t="str">
        <f>VLOOKUP(B98,'[1]MASTER DATA 2025'!$C$3:$E$279,3,0)</f>
        <v>0Tahun1 Bulan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259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L98" s="151">
        <f t="shared" si="7"/>
        <v>0</v>
      </c>
      <c r="AM98" s="35">
        <f t="shared" si="8"/>
        <v>0</v>
      </c>
      <c r="AN98" s="36">
        <f t="shared" si="9"/>
        <v>0</v>
      </c>
      <c r="AO98" s="36">
        <f t="shared" si="10"/>
        <v>0</v>
      </c>
      <c r="AP98" s="36">
        <f t="shared" si="11"/>
        <v>0</v>
      </c>
      <c r="AQ98" s="37">
        <f t="shared" si="12"/>
        <v>0</v>
      </c>
      <c r="AR98" s="37" t="s">
        <v>25</v>
      </c>
      <c r="AS98" s="38">
        <v>26</v>
      </c>
      <c r="AT98" s="39">
        <f t="shared" si="14"/>
        <v>0</v>
      </c>
    </row>
    <row r="99" s="105" customFormat="1" ht="19.5" customHeight="1" spans="1:46">
      <c r="A99" s="68">
        <v>88</v>
      </c>
      <c r="B99" s="249" t="s">
        <v>122</v>
      </c>
      <c r="C99" s="164" t="s">
        <v>20</v>
      </c>
      <c r="D99" s="149" t="str">
        <f>VLOOKUP(B99,'[1]MASTER DATA 2025'!$C$3:$E$279,3,0)</f>
        <v>0Tahun2 Bulan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259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L99" s="151">
        <f t="shared" si="7"/>
        <v>0</v>
      </c>
      <c r="AM99" s="35">
        <f t="shared" si="8"/>
        <v>0</v>
      </c>
      <c r="AN99" s="35">
        <f t="shared" si="9"/>
        <v>0</v>
      </c>
      <c r="AO99" s="47">
        <f t="shared" si="10"/>
        <v>0</v>
      </c>
      <c r="AP99" s="36">
        <f t="shared" si="11"/>
        <v>0</v>
      </c>
      <c r="AQ99" s="48">
        <f t="shared" si="12"/>
        <v>0</v>
      </c>
      <c r="AR99" s="49" t="s">
        <v>118</v>
      </c>
      <c r="AS99" s="38">
        <v>26</v>
      </c>
      <c r="AT99" s="39">
        <f t="shared" si="14"/>
        <v>0</v>
      </c>
    </row>
    <row r="100" s="105" customFormat="1" ht="19.5" customHeight="1" spans="1:46">
      <c r="A100" s="68">
        <v>89</v>
      </c>
      <c r="B100" s="265" t="s">
        <v>123</v>
      </c>
      <c r="C100" s="164" t="s">
        <v>124</v>
      </c>
      <c r="D100" s="149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259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L100" s="151">
        <f t="shared" si="7"/>
        <v>0</v>
      </c>
      <c r="AM100" s="47">
        <f t="shared" si="8"/>
        <v>0</v>
      </c>
      <c r="AN100" s="35">
        <f t="shared" si="9"/>
        <v>0</v>
      </c>
      <c r="AO100" s="35">
        <f t="shared" si="10"/>
        <v>0</v>
      </c>
      <c r="AP100" s="36">
        <f t="shared" si="11"/>
        <v>0</v>
      </c>
      <c r="AQ100" s="48">
        <f t="shared" si="12"/>
        <v>0</v>
      </c>
      <c r="AR100" s="49" t="s">
        <v>125</v>
      </c>
      <c r="AS100" s="38">
        <v>26</v>
      </c>
      <c r="AT100" s="39">
        <f t="shared" si="14"/>
        <v>0</v>
      </c>
    </row>
    <row r="101" s="105" customFormat="1" ht="19.5" customHeight="1" spans="1:46">
      <c r="A101" s="68">
        <v>90</v>
      </c>
      <c r="B101" s="265" t="s">
        <v>126</v>
      </c>
      <c r="C101" s="164" t="s">
        <v>16</v>
      </c>
      <c r="D101" s="149" t="str">
        <f>VLOOKUP(B101,'[1]MASTER DATA 2025'!$C$3:$E$279,3,0)</f>
        <v>0Tahun7 Bulan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259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L101" s="151">
        <f t="shared" si="7"/>
        <v>0</v>
      </c>
      <c r="AM101" s="35">
        <f t="shared" si="8"/>
        <v>0</v>
      </c>
      <c r="AN101" s="35">
        <f t="shared" si="9"/>
        <v>0</v>
      </c>
      <c r="AO101" s="47">
        <f t="shared" si="10"/>
        <v>0</v>
      </c>
      <c r="AP101" s="36">
        <f t="shared" si="11"/>
        <v>0</v>
      </c>
      <c r="AQ101" s="37">
        <f t="shared" si="12"/>
        <v>0</v>
      </c>
      <c r="AR101" s="49">
        <v>45946</v>
      </c>
      <c r="AS101" s="38">
        <v>26</v>
      </c>
      <c r="AT101" s="39">
        <f t="shared" si="14"/>
        <v>0</v>
      </c>
    </row>
    <row r="102" s="105" customFormat="1" ht="19.5" customHeight="1" spans="1:46">
      <c r="A102" s="68">
        <v>91</v>
      </c>
      <c r="B102" s="265" t="s">
        <v>127</v>
      </c>
      <c r="C102" s="164" t="s">
        <v>61</v>
      </c>
      <c r="D102" s="149" t="str">
        <f>VLOOKUP(B102,'[1]MASTER DATA 2025'!$C$3:$E$279,3,0)</f>
        <v>0Tahun8 Bulan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259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L102" s="151">
        <f t="shared" si="7"/>
        <v>0</v>
      </c>
      <c r="AM102" s="47">
        <f t="shared" si="8"/>
        <v>0</v>
      </c>
      <c r="AN102" s="35">
        <f t="shared" si="9"/>
        <v>0</v>
      </c>
      <c r="AO102" s="35">
        <f t="shared" si="10"/>
        <v>0</v>
      </c>
      <c r="AP102" s="36">
        <f t="shared" si="11"/>
        <v>0</v>
      </c>
      <c r="AQ102" s="48">
        <f t="shared" si="12"/>
        <v>0</v>
      </c>
      <c r="AR102" s="81" t="s">
        <v>128</v>
      </c>
      <c r="AS102" s="38">
        <v>26</v>
      </c>
      <c r="AT102" s="39">
        <f t="shared" si="14"/>
        <v>0</v>
      </c>
    </row>
    <row r="103" s="105" customFormat="1" ht="19.5" customHeight="1" spans="1:46">
      <c r="A103" s="68">
        <v>92</v>
      </c>
      <c r="B103" s="265" t="s">
        <v>129</v>
      </c>
      <c r="C103" s="164" t="s">
        <v>61</v>
      </c>
      <c r="D103" s="149" t="str">
        <f>VLOOKUP(B103,'[1]MASTER DATA 2025'!$C$3:$E$279,3,0)</f>
        <v>0Tahun9 Bulan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259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L103" s="151">
        <f t="shared" si="7"/>
        <v>0</v>
      </c>
      <c r="AM103" s="35">
        <f t="shared" si="8"/>
        <v>0</v>
      </c>
      <c r="AN103" s="36">
        <f t="shared" si="9"/>
        <v>0</v>
      </c>
      <c r="AO103" s="35">
        <f t="shared" si="10"/>
        <v>0</v>
      </c>
      <c r="AP103" s="36">
        <f t="shared" si="11"/>
        <v>0</v>
      </c>
      <c r="AQ103" s="37">
        <f t="shared" si="12"/>
        <v>0</v>
      </c>
      <c r="AR103" s="37" t="s">
        <v>25</v>
      </c>
      <c r="AS103" s="38"/>
      <c r="AT103" s="39"/>
    </row>
    <row r="104" s="105" customFormat="1" ht="19.5" customHeight="1" spans="1:46">
      <c r="A104" s="68">
        <v>93</v>
      </c>
      <c r="B104" s="265" t="s">
        <v>130</v>
      </c>
      <c r="C104" s="164" t="s">
        <v>131</v>
      </c>
      <c r="D104" s="149" t="str">
        <f>VLOOKUP(B104,'[1]MASTER DATA 2025'!$C$3:$E$279,3,0)</f>
        <v>3Tahun1 Bulan</v>
      </c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259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L104" s="151">
        <f t="shared" si="7"/>
        <v>0</v>
      </c>
      <c r="AM104" s="35">
        <f t="shared" si="8"/>
        <v>0</v>
      </c>
      <c r="AN104" s="35">
        <f t="shared" si="9"/>
        <v>0</v>
      </c>
      <c r="AO104" s="35">
        <f t="shared" si="10"/>
        <v>0</v>
      </c>
      <c r="AP104" s="36">
        <f t="shared" si="11"/>
        <v>0</v>
      </c>
      <c r="AQ104" s="37">
        <f t="shared" si="12"/>
        <v>0</v>
      </c>
      <c r="AR104" s="37"/>
      <c r="AS104" s="38"/>
      <c r="AT104" s="39"/>
    </row>
    <row r="105" s="105" customFormat="1" ht="19.5" customHeight="1" spans="1:46">
      <c r="A105" s="68">
        <v>94</v>
      </c>
      <c r="B105" s="265" t="s">
        <v>132</v>
      </c>
      <c r="C105" s="164" t="s">
        <v>16</v>
      </c>
      <c r="D105" s="149" t="str">
        <f>VLOOKUP(B105,'[1]MASTER DATA 2025'!$C$3:$E$279,3,0)</f>
        <v>0Tahun1 Bulan</v>
      </c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 t="s">
        <v>13</v>
      </c>
      <c r="P105" s="96"/>
      <c r="Q105" s="96"/>
      <c r="R105" s="96"/>
      <c r="S105" s="96"/>
      <c r="T105" s="96"/>
      <c r="U105" s="259" t="s">
        <v>12</v>
      </c>
      <c r="V105" s="96"/>
      <c r="W105" s="96" t="s">
        <v>13</v>
      </c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L105" s="151">
        <f t="shared" si="7"/>
        <v>0</v>
      </c>
      <c r="AM105" s="35">
        <f t="shared" si="8"/>
        <v>0</v>
      </c>
      <c r="AN105" s="36">
        <f t="shared" si="9"/>
        <v>1</v>
      </c>
      <c r="AO105" s="35">
        <f t="shared" si="10"/>
        <v>2</v>
      </c>
      <c r="AP105" s="36">
        <f t="shared" si="11"/>
        <v>0</v>
      </c>
      <c r="AQ105" s="37">
        <f t="shared" si="12"/>
        <v>3</v>
      </c>
      <c r="AR105" s="37" t="s">
        <v>25</v>
      </c>
      <c r="AS105" s="38">
        <v>26</v>
      </c>
      <c r="AT105" s="39">
        <f t="shared" ref="AT105:AT110" si="15">AQ105/AS105</f>
        <v>0.115384615384615</v>
      </c>
    </row>
    <row r="106" s="105" customFormat="1" ht="19.5" customHeight="1" spans="1:46">
      <c r="A106" s="68">
        <v>95</v>
      </c>
      <c r="B106" s="265" t="s">
        <v>133</v>
      </c>
      <c r="C106" s="164" t="s">
        <v>16</v>
      </c>
      <c r="D106" s="149" t="str">
        <f>VLOOKUP(B106,'[1]MASTER DATA 2025'!$C$3:$E$279,3,0)</f>
        <v>0Tahun2 Bulan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 t="s">
        <v>11</v>
      </c>
      <c r="R106" s="96" t="s">
        <v>11</v>
      </c>
      <c r="S106" s="96"/>
      <c r="T106" s="96"/>
      <c r="U106" s="259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L106" s="151">
        <f t="shared" si="7"/>
        <v>0</v>
      </c>
      <c r="AM106" s="35">
        <f t="shared" si="8"/>
        <v>2</v>
      </c>
      <c r="AN106" s="36">
        <f t="shared" si="9"/>
        <v>0</v>
      </c>
      <c r="AO106" s="36">
        <f t="shared" si="10"/>
        <v>0</v>
      </c>
      <c r="AP106" s="36">
        <f t="shared" si="11"/>
        <v>0</v>
      </c>
      <c r="AQ106" s="37">
        <f t="shared" si="12"/>
        <v>2</v>
      </c>
      <c r="AR106" s="37" t="s">
        <v>25</v>
      </c>
      <c r="AS106" s="38">
        <v>26</v>
      </c>
      <c r="AT106" s="39">
        <f t="shared" si="15"/>
        <v>0.0769230769230769</v>
      </c>
    </row>
    <row r="107" s="105" customFormat="1" ht="19.5" customHeight="1" spans="1:46">
      <c r="A107" s="68">
        <v>96</v>
      </c>
      <c r="B107" s="265" t="s">
        <v>134</v>
      </c>
      <c r="C107" s="164" t="s">
        <v>16</v>
      </c>
      <c r="D107" s="149" t="str">
        <f>VLOOKUP(B107,'[1]MASTER DATA 2025'!$C$3:$E$279,3,0)</f>
        <v>0Tahun1 Bulan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259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L107" s="151">
        <f t="shared" si="7"/>
        <v>0</v>
      </c>
      <c r="AM107" s="35">
        <f t="shared" si="8"/>
        <v>0</v>
      </c>
      <c r="AN107" s="36">
        <f t="shared" si="9"/>
        <v>0</v>
      </c>
      <c r="AO107" s="36">
        <f t="shared" si="10"/>
        <v>0</v>
      </c>
      <c r="AP107" s="36">
        <f t="shared" si="11"/>
        <v>0</v>
      </c>
      <c r="AQ107" s="37">
        <f t="shared" si="12"/>
        <v>0</v>
      </c>
      <c r="AR107" s="37" t="s">
        <v>25</v>
      </c>
      <c r="AS107" s="38">
        <v>26</v>
      </c>
      <c r="AT107" s="39">
        <f t="shared" si="15"/>
        <v>0</v>
      </c>
    </row>
    <row r="108" s="105" customFormat="1" ht="19.5" customHeight="1" spans="1:46">
      <c r="A108" s="68">
        <v>97</v>
      </c>
      <c r="B108" s="264" t="s">
        <v>135</v>
      </c>
      <c r="C108" s="164" t="s">
        <v>16</v>
      </c>
      <c r="D108" s="149" t="s">
        <v>136</v>
      </c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259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L108" s="151">
        <f t="shared" si="7"/>
        <v>0</v>
      </c>
      <c r="AM108" s="47">
        <f t="shared" si="8"/>
        <v>0</v>
      </c>
      <c r="AN108" s="35">
        <f t="shared" si="9"/>
        <v>0</v>
      </c>
      <c r="AO108" s="35">
        <f t="shared" si="10"/>
        <v>0</v>
      </c>
      <c r="AP108" s="36">
        <f t="shared" si="11"/>
        <v>0</v>
      </c>
      <c r="AQ108" s="48">
        <f t="shared" si="12"/>
        <v>0</v>
      </c>
      <c r="AR108" s="37" t="s">
        <v>25</v>
      </c>
      <c r="AS108" s="38">
        <v>26</v>
      </c>
      <c r="AT108" s="39">
        <f t="shared" si="15"/>
        <v>0</v>
      </c>
    </row>
    <row r="109" s="105" customFormat="1" ht="19.5" customHeight="1" spans="1:46">
      <c r="A109" s="68">
        <v>98</v>
      </c>
      <c r="B109" s="167" t="s">
        <v>137</v>
      </c>
      <c r="C109" s="164" t="s">
        <v>16</v>
      </c>
      <c r="D109" s="149" t="str">
        <f>VLOOKUP(B109,'[1]MASTER DATA 2025'!$C$3:$E$279,3,0)</f>
        <v>1Tahun7 Bulan</v>
      </c>
      <c r="E109" s="96"/>
      <c r="F109" s="96"/>
      <c r="G109" s="96"/>
      <c r="H109" s="96"/>
      <c r="I109" s="96"/>
      <c r="J109" s="96" t="s">
        <v>13</v>
      </c>
      <c r="K109" s="96"/>
      <c r="L109" s="96"/>
      <c r="M109" s="96"/>
      <c r="N109" s="96"/>
      <c r="O109" s="96"/>
      <c r="P109" s="96"/>
      <c r="Q109" s="96" t="s">
        <v>11</v>
      </c>
      <c r="R109" s="96"/>
      <c r="S109" s="96"/>
      <c r="T109" s="96"/>
      <c r="U109" s="259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L109" s="151">
        <f t="shared" si="7"/>
        <v>0</v>
      </c>
      <c r="AM109" s="35">
        <f t="shared" si="8"/>
        <v>1</v>
      </c>
      <c r="AN109" s="35">
        <f t="shared" si="9"/>
        <v>0</v>
      </c>
      <c r="AO109" s="36">
        <f t="shared" si="10"/>
        <v>1</v>
      </c>
      <c r="AP109" s="36">
        <f t="shared" si="11"/>
        <v>0</v>
      </c>
      <c r="AQ109" s="37">
        <f t="shared" si="12"/>
        <v>2</v>
      </c>
      <c r="AR109" s="37" t="s">
        <v>25</v>
      </c>
      <c r="AS109" s="38">
        <v>26</v>
      </c>
      <c r="AT109" s="39">
        <f t="shared" si="15"/>
        <v>0.0769230769230769</v>
      </c>
    </row>
    <row r="110" s="105" customFormat="1" ht="19.5" customHeight="1" spans="1:46">
      <c r="A110" s="68">
        <v>99</v>
      </c>
      <c r="B110" s="167" t="s">
        <v>138</v>
      </c>
      <c r="C110" s="150" t="s">
        <v>101</v>
      </c>
      <c r="D110" s="149" t="str">
        <f>VLOOKUP(B110,'[1]MASTER DATA 2025'!$C$3:$E$279,3,0)</f>
        <v>1Tahun1 Bulan</v>
      </c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259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 t="s">
        <v>13</v>
      </c>
      <c r="AJ110" s="96" t="s">
        <v>13</v>
      </c>
      <c r="AL110" s="151">
        <f t="shared" si="7"/>
        <v>0</v>
      </c>
      <c r="AM110" s="35">
        <f t="shared" si="8"/>
        <v>0</v>
      </c>
      <c r="AN110" s="36">
        <f t="shared" si="9"/>
        <v>0</v>
      </c>
      <c r="AO110" s="35">
        <f t="shared" si="10"/>
        <v>2</v>
      </c>
      <c r="AP110" s="36">
        <f t="shared" si="11"/>
        <v>0</v>
      </c>
      <c r="AQ110" s="37">
        <f t="shared" si="12"/>
        <v>2</v>
      </c>
      <c r="AR110" s="37" t="s">
        <v>172</v>
      </c>
      <c r="AS110" s="38">
        <v>26</v>
      </c>
      <c r="AT110" s="39">
        <f t="shared" si="15"/>
        <v>0.0769230769230769</v>
      </c>
    </row>
    <row r="111" s="105" customFormat="1" ht="19.5" customHeight="1" spans="1:46">
      <c r="A111" s="68">
        <v>100</v>
      </c>
      <c r="B111" s="167" t="s">
        <v>139</v>
      </c>
      <c r="C111" s="164" t="s">
        <v>16</v>
      </c>
      <c r="D111" s="149" t="str">
        <f>VLOOKUP(B111,'[1]MASTER DATA 2025'!$C$3:$E$279,3,0)</f>
        <v>0Tahun5 Bulan</v>
      </c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259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L111" s="151">
        <f t="shared" si="7"/>
        <v>0</v>
      </c>
      <c r="AM111" s="35">
        <f t="shared" si="8"/>
        <v>0</v>
      </c>
      <c r="AN111" s="36">
        <f t="shared" si="9"/>
        <v>0</v>
      </c>
      <c r="AO111" s="35">
        <f t="shared" si="10"/>
        <v>0</v>
      </c>
      <c r="AP111" s="36">
        <f t="shared" si="11"/>
        <v>0</v>
      </c>
      <c r="AQ111" s="37">
        <f t="shared" si="12"/>
        <v>0</v>
      </c>
      <c r="AR111" s="37"/>
      <c r="AS111" s="38"/>
      <c r="AT111" s="39"/>
    </row>
    <row r="112" s="105" customFormat="1" ht="19.5" customHeight="1" spans="1:46">
      <c r="A112" s="68">
        <v>101</v>
      </c>
      <c r="B112" s="265" t="s">
        <v>140</v>
      </c>
      <c r="C112" s="164" t="s">
        <v>16</v>
      </c>
      <c r="D112" s="149" t="str">
        <f>VLOOKUP(B112,'[1]MASTER DATA 2025'!$C$3:$E$279,3,0)</f>
        <v>2Tahun2 Bulan</v>
      </c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259" t="s">
        <v>11</v>
      </c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L112" s="151">
        <f t="shared" si="7"/>
        <v>0</v>
      </c>
      <c r="AM112" s="35">
        <f t="shared" si="8"/>
        <v>1</v>
      </c>
      <c r="AN112" s="36">
        <f t="shared" si="9"/>
        <v>0</v>
      </c>
      <c r="AO112" s="35">
        <f t="shared" si="10"/>
        <v>0</v>
      </c>
      <c r="AP112" s="36">
        <f t="shared" si="11"/>
        <v>0</v>
      </c>
      <c r="AQ112" s="37">
        <f t="shared" si="12"/>
        <v>1</v>
      </c>
      <c r="AR112" s="37" t="s">
        <v>25</v>
      </c>
      <c r="AS112" s="38"/>
      <c r="AT112" s="39"/>
    </row>
    <row r="113" s="105" customFormat="1" ht="19.5" customHeight="1" spans="1:46">
      <c r="A113" s="68">
        <v>102</v>
      </c>
      <c r="B113" s="265" t="s">
        <v>141</v>
      </c>
      <c r="C113" s="164" t="s">
        <v>20</v>
      </c>
      <c r="D113" s="149" t="str">
        <f>VLOOKUP(B113,'[1]MASTER DATA 2025'!$C$3:$E$279,3,0)</f>
        <v>0Tahun1 Bulan</v>
      </c>
      <c r="E113" s="96"/>
      <c r="F113" s="96"/>
      <c r="G113" s="96"/>
      <c r="H113" s="96" t="s">
        <v>13</v>
      </c>
      <c r="I113" s="96"/>
      <c r="J113" s="96"/>
      <c r="K113" s="96"/>
      <c r="L113" s="96"/>
      <c r="M113" s="96"/>
      <c r="N113" s="96"/>
      <c r="O113" s="96"/>
      <c r="P113" s="96"/>
      <c r="Q113" s="96"/>
      <c r="R113" s="96" t="s">
        <v>13</v>
      </c>
      <c r="S113" s="96"/>
      <c r="T113" s="96" t="s">
        <v>13</v>
      </c>
      <c r="U113" s="259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L113" s="151">
        <f t="shared" si="7"/>
        <v>0</v>
      </c>
      <c r="AM113" s="35">
        <f t="shared" si="8"/>
        <v>0</v>
      </c>
      <c r="AN113" s="36">
        <f t="shared" si="9"/>
        <v>0</v>
      </c>
      <c r="AO113" s="35">
        <f t="shared" si="10"/>
        <v>3</v>
      </c>
      <c r="AP113" s="36">
        <f t="shared" si="11"/>
        <v>0</v>
      </c>
      <c r="AQ113" s="37">
        <f t="shared" si="12"/>
        <v>3</v>
      </c>
      <c r="AR113" s="49">
        <v>45967</v>
      </c>
      <c r="AS113" s="38">
        <v>26</v>
      </c>
      <c r="AT113" s="39">
        <f t="shared" ref="AT113:AT118" si="16">AQ113/AS113</f>
        <v>0.115384615384615</v>
      </c>
    </row>
    <row r="114" s="105" customFormat="1" ht="19.5" customHeight="1" spans="1:46">
      <c r="A114" s="68">
        <v>103</v>
      </c>
      <c r="B114" s="265" t="s">
        <v>142</v>
      </c>
      <c r="C114" s="164" t="s">
        <v>20</v>
      </c>
      <c r="D114" s="149" t="str">
        <f>VLOOKUP(B114,'[1]MASTER DATA 2025'!$C$3:$E$279,3,0)</f>
        <v>0Tahun2 Bulan</v>
      </c>
      <c r="E114" s="96"/>
      <c r="F114" s="96" t="s">
        <v>13</v>
      </c>
      <c r="G114" s="96"/>
      <c r="H114" s="96"/>
      <c r="I114" s="96"/>
      <c r="J114" s="96"/>
      <c r="K114" s="96" t="s">
        <v>13</v>
      </c>
      <c r="L114" s="96"/>
      <c r="M114" s="96"/>
      <c r="N114" s="96"/>
      <c r="O114" s="96" t="s">
        <v>13</v>
      </c>
      <c r="P114" s="96"/>
      <c r="Q114" s="96"/>
      <c r="R114" s="96"/>
      <c r="S114" s="96" t="s">
        <v>13</v>
      </c>
      <c r="T114" s="96"/>
      <c r="U114" s="259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L114" s="151">
        <f t="shared" si="7"/>
        <v>0</v>
      </c>
      <c r="AM114" s="35">
        <f t="shared" si="8"/>
        <v>0</v>
      </c>
      <c r="AN114" s="35">
        <f t="shared" si="9"/>
        <v>0</v>
      </c>
      <c r="AO114" s="47">
        <f t="shared" si="10"/>
        <v>4</v>
      </c>
      <c r="AP114" s="36">
        <f t="shared" si="11"/>
        <v>0</v>
      </c>
      <c r="AQ114" s="37">
        <f t="shared" si="12"/>
        <v>4</v>
      </c>
      <c r="AR114" s="37" t="s">
        <v>173</v>
      </c>
      <c r="AS114" s="38">
        <v>26</v>
      </c>
      <c r="AT114" s="39">
        <f t="shared" si="16"/>
        <v>0.153846153846154</v>
      </c>
    </row>
    <row r="115" s="105" customFormat="1" ht="19.5" customHeight="1" spans="1:46">
      <c r="A115" s="68">
        <v>104</v>
      </c>
      <c r="B115" s="265" t="s">
        <v>143</v>
      </c>
      <c r="C115" s="164" t="s">
        <v>61</v>
      </c>
      <c r="D115" s="149" t="str">
        <f>VLOOKUP(B115,'[1]MASTER DATA 2025'!$C$3:$E$279,3,0)</f>
        <v>0Tahun9 Bulan</v>
      </c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 t="s">
        <v>12</v>
      </c>
      <c r="U115" s="259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L115" s="151">
        <f t="shared" si="7"/>
        <v>0</v>
      </c>
      <c r="AM115" s="47">
        <f t="shared" si="8"/>
        <v>0</v>
      </c>
      <c r="AN115" s="35">
        <f t="shared" si="9"/>
        <v>1</v>
      </c>
      <c r="AO115" s="35">
        <f t="shared" si="10"/>
        <v>0</v>
      </c>
      <c r="AP115" s="36">
        <f t="shared" si="11"/>
        <v>0</v>
      </c>
      <c r="AQ115" s="48">
        <f t="shared" si="12"/>
        <v>1</v>
      </c>
      <c r="AR115" s="37" t="s">
        <v>25</v>
      </c>
      <c r="AS115" s="38">
        <v>26</v>
      </c>
      <c r="AT115" s="39">
        <f t="shared" si="16"/>
        <v>0.0384615384615385</v>
      </c>
    </row>
    <row r="116" s="105" customFormat="1" ht="19.5" customHeight="1" spans="1:46">
      <c r="A116" s="68">
        <v>105</v>
      </c>
      <c r="B116" s="265" t="s">
        <v>144</v>
      </c>
      <c r="C116" s="164" t="s">
        <v>61</v>
      </c>
      <c r="D116" s="149" t="str">
        <f>VLOOKUP(B116,'[1]MASTER DATA 2025'!$C$3:$E$279,3,0)</f>
        <v>0Tahun7 Bulan</v>
      </c>
      <c r="E116" s="96"/>
      <c r="F116" s="96"/>
      <c r="G116" s="96" t="s">
        <v>12</v>
      </c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259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L116" s="151">
        <f t="shared" si="7"/>
        <v>0</v>
      </c>
      <c r="AM116" s="47">
        <f t="shared" si="8"/>
        <v>0</v>
      </c>
      <c r="AN116" s="35">
        <f t="shared" si="9"/>
        <v>1</v>
      </c>
      <c r="AO116" s="35">
        <f t="shared" si="10"/>
        <v>0</v>
      </c>
      <c r="AP116" s="36">
        <f t="shared" si="11"/>
        <v>0</v>
      </c>
      <c r="AQ116" s="48">
        <f t="shared" si="12"/>
        <v>1</v>
      </c>
      <c r="AR116" s="37" t="s">
        <v>25</v>
      </c>
      <c r="AS116" s="38">
        <v>26</v>
      </c>
      <c r="AT116" s="39">
        <f t="shared" si="16"/>
        <v>0.0384615384615385</v>
      </c>
    </row>
    <row r="117" s="105" customFormat="1" ht="19.5" customHeight="1" spans="1:46">
      <c r="A117" s="68">
        <v>106</v>
      </c>
      <c r="B117" s="265" t="s">
        <v>145</v>
      </c>
      <c r="C117" s="164" t="s">
        <v>16</v>
      </c>
      <c r="D117" s="149" t="str">
        <f>VLOOKUP(B117,'[1]MASTER DATA 2025'!$C$3:$E$279,3,0)</f>
        <v>0Tahun2 Bulan</v>
      </c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259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L117" s="151">
        <f t="shared" si="7"/>
        <v>0</v>
      </c>
      <c r="AM117" s="47">
        <f t="shared" si="8"/>
        <v>0</v>
      </c>
      <c r="AN117" s="35">
        <f t="shared" si="9"/>
        <v>0</v>
      </c>
      <c r="AO117" s="35">
        <f t="shared" si="10"/>
        <v>0</v>
      </c>
      <c r="AP117" s="36">
        <f t="shared" si="11"/>
        <v>0</v>
      </c>
      <c r="AQ117" s="48">
        <f t="shared" si="12"/>
        <v>0</v>
      </c>
      <c r="AR117" s="37" t="s">
        <v>25</v>
      </c>
      <c r="AS117" s="38">
        <v>26</v>
      </c>
      <c r="AT117" s="39">
        <f t="shared" si="16"/>
        <v>0</v>
      </c>
    </row>
    <row r="118" s="105" customFormat="1" ht="19.5" customHeight="1" spans="1:46">
      <c r="A118" s="68">
        <v>107</v>
      </c>
      <c r="B118" s="265" t="s">
        <v>146</v>
      </c>
      <c r="C118" s="164" t="s">
        <v>16</v>
      </c>
      <c r="D118" s="149" t="str">
        <f>VLOOKUP(B118,'[1]MASTER DATA 2025'!$C$3:$E$279,3,0)</f>
        <v>1Tahun1 Bulan</v>
      </c>
      <c r="E118" s="96"/>
      <c r="F118" s="96"/>
      <c r="G118" s="96"/>
      <c r="H118" s="96"/>
      <c r="I118" s="96"/>
      <c r="J118" s="96"/>
      <c r="K118" s="96"/>
      <c r="L118" s="96"/>
      <c r="M118" s="96" t="s">
        <v>11</v>
      </c>
      <c r="N118" s="96" t="s">
        <v>13</v>
      </c>
      <c r="O118" s="96" t="s">
        <v>13</v>
      </c>
      <c r="P118" s="96"/>
      <c r="Q118" s="96"/>
      <c r="R118" s="96"/>
      <c r="S118" s="96"/>
      <c r="T118" s="96"/>
      <c r="U118" s="259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L118" s="151">
        <f t="shared" si="7"/>
        <v>0</v>
      </c>
      <c r="AM118" s="47">
        <f t="shared" si="8"/>
        <v>1</v>
      </c>
      <c r="AN118" s="35">
        <f t="shared" si="9"/>
        <v>0</v>
      </c>
      <c r="AO118" s="35">
        <f t="shared" si="10"/>
        <v>2</v>
      </c>
      <c r="AP118" s="36">
        <f t="shared" si="11"/>
        <v>0</v>
      </c>
      <c r="AQ118" s="48">
        <f t="shared" si="12"/>
        <v>3</v>
      </c>
      <c r="AR118" s="37" t="s">
        <v>25</v>
      </c>
      <c r="AS118" s="38">
        <v>26</v>
      </c>
      <c r="AT118" s="39">
        <f t="shared" si="16"/>
        <v>0.115384615384615</v>
      </c>
    </row>
    <row r="119" s="105" customFormat="1" ht="19.5" customHeight="1" spans="1:46">
      <c r="A119" s="68">
        <v>108</v>
      </c>
      <c r="B119" s="265" t="s">
        <v>147</v>
      </c>
      <c r="C119" s="164" t="s">
        <v>61</v>
      </c>
      <c r="D119" s="149" t="str">
        <f>VLOOKUP(B119,'[1]MASTER DATA 2025'!$C$3:$E$279,3,0)</f>
        <v>0Tahun1 Bulan</v>
      </c>
      <c r="E119" s="96"/>
      <c r="F119" s="96"/>
      <c r="G119" s="96"/>
      <c r="H119" s="96"/>
      <c r="I119" s="96"/>
      <c r="J119" s="96"/>
      <c r="K119" s="96"/>
      <c r="L119" s="96"/>
      <c r="M119" s="96"/>
      <c r="N119" s="96" t="s">
        <v>13</v>
      </c>
      <c r="O119" s="96"/>
      <c r="P119" s="96"/>
      <c r="Q119" s="96"/>
      <c r="R119" s="96" t="s">
        <v>12</v>
      </c>
      <c r="S119" s="96"/>
      <c r="T119" s="96"/>
      <c r="U119" s="259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L119" s="151">
        <f t="shared" si="7"/>
        <v>0</v>
      </c>
      <c r="AM119" s="47">
        <f t="shared" si="8"/>
        <v>0</v>
      </c>
      <c r="AN119" s="35">
        <f t="shared" si="9"/>
        <v>1</v>
      </c>
      <c r="AO119" s="35">
        <f t="shared" si="10"/>
        <v>1</v>
      </c>
      <c r="AP119" s="36">
        <f t="shared" si="11"/>
        <v>0</v>
      </c>
      <c r="AQ119" s="48">
        <f t="shared" si="12"/>
        <v>2</v>
      </c>
      <c r="AR119" s="37" t="s">
        <v>25</v>
      </c>
      <c r="AS119" s="38"/>
      <c r="AT119" s="39"/>
    </row>
    <row r="120" s="105" customFormat="1" ht="19.5" customHeight="1" spans="1:46">
      <c r="A120" s="68">
        <v>109</v>
      </c>
      <c r="B120" s="249" t="s">
        <v>148</v>
      </c>
      <c r="C120" s="164" t="s">
        <v>16</v>
      </c>
      <c r="D120" s="149" t="str">
        <f>VLOOKUP(B120,'[1]MASTER DATA 2025'!$C$3:$E$279,3,0)</f>
        <v>0Tahun1 Bulan</v>
      </c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259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L120" s="151">
        <f t="shared" si="7"/>
        <v>0</v>
      </c>
      <c r="AM120" s="35">
        <f t="shared" si="8"/>
        <v>0</v>
      </c>
      <c r="AN120" s="36">
        <f t="shared" si="9"/>
        <v>0</v>
      </c>
      <c r="AO120" s="35">
        <f t="shared" si="10"/>
        <v>0</v>
      </c>
      <c r="AP120" s="36">
        <f t="shared" si="11"/>
        <v>0</v>
      </c>
      <c r="AQ120" s="37">
        <f t="shared" si="12"/>
        <v>0</v>
      </c>
      <c r="AR120" s="37" t="s">
        <v>25</v>
      </c>
      <c r="AS120" s="38"/>
      <c r="AT120" s="39"/>
    </row>
    <row r="121" s="105" customFormat="1" ht="19.5" customHeight="1" spans="1:46">
      <c r="A121" s="68">
        <v>110</v>
      </c>
      <c r="B121" s="265" t="s">
        <v>149</v>
      </c>
      <c r="C121" s="164" t="s">
        <v>16</v>
      </c>
      <c r="D121" s="149" t="str">
        <f>VLOOKUP(B121,'[1]MASTER DATA 2025'!$C$3:$E$279,3,0)</f>
        <v>0Tahun1 Bulan</v>
      </c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 t="s">
        <v>11</v>
      </c>
      <c r="P121" s="96"/>
      <c r="Q121" s="96"/>
      <c r="R121" s="96"/>
      <c r="S121" s="96"/>
      <c r="T121" s="96"/>
      <c r="U121" s="259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L121" s="151">
        <f t="shared" si="7"/>
        <v>0</v>
      </c>
      <c r="AM121" s="35">
        <f t="shared" si="8"/>
        <v>1</v>
      </c>
      <c r="AN121" s="36">
        <f t="shared" si="9"/>
        <v>0</v>
      </c>
      <c r="AO121" s="35">
        <f t="shared" si="10"/>
        <v>0</v>
      </c>
      <c r="AP121" s="36">
        <f t="shared" si="11"/>
        <v>0</v>
      </c>
      <c r="AQ121" s="37">
        <f t="shared" si="12"/>
        <v>1</v>
      </c>
      <c r="AR121" s="37" t="s">
        <v>25</v>
      </c>
      <c r="AS121" s="38"/>
      <c r="AT121" s="39"/>
    </row>
    <row r="122" s="105" customFormat="1" ht="19.5" customHeight="1" spans="1:46">
      <c r="A122" s="68">
        <v>111</v>
      </c>
      <c r="B122" s="265" t="s">
        <v>150</v>
      </c>
      <c r="C122" s="164" t="s">
        <v>16</v>
      </c>
      <c r="D122" s="149" t="str">
        <f>VLOOKUP(B122,'[1]MASTER DATA 2025'!$C$3:$E$279,3,0)</f>
        <v>1Tahun7 Bulan</v>
      </c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259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L122" s="151">
        <f t="shared" si="7"/>
        <v>0</v>
      </c>
      <c r="AM122" s="35">
        <f t="shared" si="8"/>
        <v>0</v>
      </c>
      <c r="AN122" s="36">
        <f t="shared" si="9"/>
        <v>0</v>
      </c>
      <c r="AO122" s="35">
        <f t="shared" si="10"/>
        <v>0</v>
      </c>
      <c r="AP122" s="36">
        <f t="shared" si="11"/>
        <v>0</v>
      </c>
      <c r="AQ122" s="37">
        <f t="shared" si="12"/>
        <v>0</v>
      </c>
      <c r="AR122" s="37" t="s">
        <v>25</v>
      </c>
      <c r="AS122" s="38"/>
      <c r="AT122" s="39"/>
    </row>
    <row r="123" s="105" customFormat="1" ht="19.5" customHeight="1" spans="1:46">
      <c r="A123" s="68">
        <v>112</v>
      </c>
      <c r="B123" s="265" t="s">
        <v>151</v>
      </c>
      <c r="C123" s="164" t="s">
        <v>61</v>
      </c>
      <c r="D123" s="149" t="str">
        <f>VLOOKUP(B123,'[1]MASTER DATA 2025'!$C$3:$E$279,3,0)</f>
        <v>0Tahun9 Bulan</v>
      </c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 t="s">
        <v>13</v>
      </c>
      <c r="P123" s="96"/>
      <c r="Q123" s="96"/>
      <c r="R123" s="96"/>
      <c r="S123" s="96"/>
      <c r="T123" s="96"/>
      <c r="U123" s="259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L123" s="151">
        <f t="shared" si="7"/>
        <v>0</v>
      </c>
      <c r="AM123" s="35">
        <f t="shared" si="8"/>
        <v>0</v>
      </c>
      <c r="AN123" s="36">
        <f t="shared" si="9"/>
        <v>0</v>
      </c>
      <c r="AO123" s="35">
        <f t="shared" si="10"/>
        <v>1</v>
      </c>
      <c r="AP123" s="36">
        <f t="shared" si="11"/>
        <v>0</v>
      </c>
      <c r="AQ123" s="37">
        <f t="shared" si="12"/>
        <v>1</v>
      </c>
      <c r="AR123" s="37" t="s">
        <v>25</v>
      </c>
      <c r="AS123" s="38"/>
      <c r="AT123" s="39"/>
    </row>
    <row r="124" s="105" customFormat="1" ht="19.5" customHeight="1" spans="1:46">
      <c r="A124" s="68">
        <v>113</v>
      </c>
      <c r="B124" s="264" t="s">
        <v>152</v>
      </c>
      <c r="C124" s="164" t="s">
        <v>20</v>
      </c>
      <c r="D124" s="149" t="s">
        <v>153</v>
      </c>
      <c r="E124" s="96"/>
      <c r="F124" s="96"/>
      <c r="G124" s="96"/>
      <c r="H124" s="96"/>
      <c r="I124" s="96"/>
      <c r="J124" s="96"/>
      <c r="K124" s="96"/>
      <c r="L124" s="96" t="s">
        <v>11</v>
      </c>
      <c r="M124" s="96"/>
      <c r="N124" s="96"/>
      <c r="O124" s="96"/>
      <c r="P124" s="96"/>
      <c r="Q124" s="96"/>
      <c r="R124" s="96"/>
      <c r="S124" s="96"/>
      <c r="T124" s="96"/>
      <c r="U124" s="259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 t="s">
        <v>13</v>
      </c>
      <c r="AG124" s="96"/>
      <c r="AH124" s="96"/>
      <c r="AI124" s="96"/>
      <c r="AJ124" s="96"/>
      <c r="AL124" s="151">
        <f t="shared" si="7"/>
        <v>0</v>
      </c>
      <c r="AM124" s="47">
        <f t="shared" si="8"/>
        <v>1</v>
      </c>
      <c r="AN124" s="35">
        <f t="shared" si="9"/>
        <v>0</v>
      </c>
      <c r="AO124" s="35">
        <f t="shared" si="10"/>
        <v>1</v>
      </c>
      <c r="AP124" s="36">
        <f t="shared" si="11"/>
        <v>0</v>
      </c>
      <c r="AQ124" s="48">
        <f t="shared" si="12"/>
        <v>2</v>
      </c>
      <c r="AR124" s="37" t="s">
        <v>25</v>
      </c>
      <c r="AS124" s="38"/>
      <c r="AT124" s="39"/>
    </row>
    <row r="125" s="105" customFormat="1" ht="19.5" customHeight="1" spans="1:46">
      <c r="A125" s="68">
        <v>114</v>
      </c>
      <c r="B125" s="265" t="s">
        <v>154</v>
      </c>
      <c r="C125" s="164" t="s">
        <v>59</v>
      </c>
      <c r="D125" s="149" t="str">
        <f>VLOOKUP(B125,'[1]MASTER DATA 2025'!$C$3:$E$279,3,0)</f>
        <v>1Tahun2 Bulan</v>
      </c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259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L125" s="151">
        <f t="shared" si="7"/>
        <v>0</v>
      </c>
      <c r="AM125" s="47">
        <f t="shared" si="8"/>
        <v>0</v>
      </c>
      <c r="AN125" s="35">
        <f t="shared" si="9"/>
        <v>0</v>
      </c>
      <c r="AO125" s="35">
        <f t="shared" si="10"/>
        <v>0</v>
      </c>
      <c r="AP125" s="36">
        <f t="shared" si="11"/>
        <v>0</v>
      </c>
      <c r="AQ125" s="48">
        <f t="shared" si="12"/>
        <v>0</v>
      </c>
      <c r="AR125" s="37" t="s">
        <v>25</v>
      </c>
      <c r="AS125" s="38">
        <v>26</v>
      </c>
      <c r="AT125" s="39">
        <f>AQ125/AS125</f>
        <v>0</v>
      </c>
    </row>
    <row r="126" s="105" customFormat="1" ht="19.5" customHeight="1" spans="1:46">
      <c r="A126" s="68">
        <v>115</v>
      </c>
      <c r="B126" s="265" t="s">
        <v>155</v>
      </c>
      <c r="C126" s="164" t="s">
        <v>59</v>
      </c>
      <c r="D126" s="149" t="str">
        <f>VLOOKUP(B126,'[1]MASTER DATA 2025'!$C$3:$E$279,3,0)</f>
        <v>0Tahun1 Bulan</v>
      </c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259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L126" s="151">
        <f t="shared" si="7"/>
        <v>0</v>
      </c>
      <c r="AM126" s="35">
        <f t="shared" si="8"/>
        <v>0</v>
      </c>
      <c r="AN126" s="35">
        <f t="shared" si="9"/>
        <v>0</v>
      </c>
      <c r="AO126" s="35">
        <f t="shared" si="10"/>
        <v>0</v>
      </c>
      <c r="AP126" s="36">
        <f t="shared" si="11"/>
        <v>0</v>
      </c>
      <c r="AQ126" s="37">
        <f t="shared" si="12"/>
        <v>0</v>
      </c>
      <c r="AR126" s="37" t="s">
        <v>156</v>
      </c>
      <c r="AS126" s="38"/>
      <c r="AT126" s="39"/>
    </row>
    <row r="127" s="105" customFormat="1" ht="19.5" customHeight="1" spans="1:46">
      <c r="A127" s="68">
        <v>116</v>
      </c>
      <c r="B127" s="265" t="s">
        <v>157</v>
      </c>
      <c r="C127" s="164" t="s">
        <v>61</v>
      </c>
      <c r="D127" s="149" t="str">
        <f>VLOOKUP(B127,'[1]MASTER DATA 2025'!$C$3:$E$279,3,0)</f>
        <v>0Tahun1 Bulan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259"/>
      <c r="V127" s="96"/>
      <c r="W127" s="96"/>
      <c r="X127" s="96"/>
      <c r="Y127" s="96"/>
      <c r="Z127" s="96"/>
      <c r="AA127" s="96" t="s">
        <v>11</v>
      </c>
      <c r="AB127" s="96"/>
      <c r="AC127" s="96"/>
      <c r="AD127" s="96"/>
      <c r="AE127" s="96"/>
      <c r="AF127" s="96"/>
      <c r="AG127" s="96"/>
      <c r="AH127" s="96"/>
      <c r="AI127" s="96"/>
      <c r="AJ127" s="96"/>
      <c r="AL127" s="151">
        <f t="shared" si="7"/>
        <v>0</v>
      </c>
      <c r="AM127" s="35">
        <f t="shared" si="8"/>
        <v>1</v>
      </c>
      <c r="AN127" s="35">
        <f t="shared" si="9"/>
        <v>0</v>
      </c>
      <c r="AO127" s="35">
        <f t="shared" si="10"/>
        <v>0</v>
      </c>
      <c r="AP127" s="36">
        <f t="shared" si="11"/>
        <v>0</v>
      </c>
      <c r="AQ127" s="37">
        <f t="shared" si="12"/>
        <v>1</v>
      </c>
      <c r="AR127" s="37" t="s">
        <v>174</v>
      </c>
      <c r="AS127" s="38"/>
      <c r="AT127" s="39"/>
    </row>
    <row r="128" s="105" customFormat="1" ht="19.5" customHeight="1" spans="1:46">
      <c r="A128" s="68">
        <v>117</v>
      </c>
      <c r="B128" s="265" t="s">
        <v>158</v>
      </c>
      <c r="C128" s="164" t="s">
        <v>20</v>
      </c>
      <c r="D128" s="149" t="str">
        <f>VLOOKUP(B128,'[1]MASTER DATA 2025'!$C$3:$E$279,3,0)</f>
        <v>0Tahun1 Bulan</v>
      </c>
      <c r="E128" s="96"/>
      <c r="F128" s="96"/>
      <c r="G128" s="96"/>
      <c r="H128" s="96"/>
      <c r="I128" s="96"/>
      <c r="J128" s="96"/>
      <c r="K128" s="96"/>
      <c r="L128" s="96"/>
      <c r="M128" s="96"/>
      <c r="N128" s="96" t="s">
        <v>13</v>
      </c>
      <c r="O128" s="96"/>
      <c r="P128" s="96"/>
      <c r="Q128" s="96"/>
      <c r="R128" s="96"/>
      <c r="S128" s="96"/>
      <c r="T128" s="96"/>
      <c r="U128" s="259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L128" s="151">
        <f t="shared" si="7"/>
        <v>0</v>
      </c>
      <c r="AM128" s="35">
        <f t="shared" si="8"/>
        <v>0</v>
      </c>
      <c r="AN128" s="36">
        <f t="shared" si="9"/>
        <v>0</v>
      </c>
      <c r="AO128" s="35">
        <f t="shared" si="10"/>
        <v>1</v>
      </c>
      <c r="AP128" s="36">
        <f t="shared" si="11"/>
        <v>0</v>
      </c>
      <c r="AQ128" s="37">
        <f t="shared" si="12"/>
        <v>1</v>
      </c>
      <c r="AR128" s="37" t="s">
        <v>25</v>
      </c>
      <c r="AS128" s="38"/>
      <c r="AT128" s="39"/>
    </row>
    <row r="129" s="105" customFormat="1" ht="19.5" customHeight="1" spans="1:46">
      <c r="A129" s="68">
        <v>118</v>
      </c>
      <c r="B129" s="265" t="s">
        <v>159</v>
      </c>
      <c r="C129" s="164" t="s">
        <v>59</v>
      </c>
      <c r="D129" s="149" t="str">
        <f>VLOOKUP(B129,'[1]MASTER DATA 2025'!$C$3:$E$279,3,0)</f>
        <v>0Tahun2 Bulan</v>
      </c>
      <c r="E129" s="96"/>
      <c r="F129" s="96"/>
      <c r="G129" s="96"/>
      <c r="H129" s="96"/>
      <c r="I129" s="96"/>
      <c r="J129" s="96"/>
      <c r="K129" s="96"/>
      <c r="L129" s="96"/>
      <c r="M129" s="96" t="s">
        <v>13</v>
      </c>
      <c r="N129" s="96"/>
      <c r="O129" s="96"/>
      <c r="P129" s="96"/>
      <c r="Q129" s="96"/>
      <c r="R129" s="96"/>
      <c r="S129" s="96"/>
      <c r="T129" s="96"/>
      <c r="U129" s="259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L129" s="151">
        <f t="shared" si="7"/>
        <v>0</v>
      </c>
      <c r="AM129" s="35">
        <f t="shared" si="8"/>
        <v>0</v>
      </c>
      <c r="AN129" s="36">
        <f t="shared" si="9"/>
        <v>0</v>
      </c>
      <c r="AO129" s="35">
        <f t="shared" si="10"/>
        <v>1</v>
      </c>
      <c r="AP129" s="36">
        <f t="shared" si="11"/>
        <v>0</v>
      </c>
      <c r="AQ129" s="37">
        <f t="shared" si="12"/>
        <v>1</v>
      </c>
      <c r="AR129" s="37" t="s">
        <v>25</v>
      </c>
      <c r="AS129" s="38"/>
      <c r="AT129" s="39"/>
    </row>
    <row r="130" s="105" customFormat="1" ht="19.5" customHeight="1" spans="1:46">
      <c r="A130" s="68">
        <v>119</v>
      </c>
      <c r="B130" s="265" t="s">
        <v>160</v>
      </c>
      <c r="C130" s="164" t="s">
        <v>20</v>
      </c>
      <c r="D130" s="149" t="str">
        <f>VLOOKUP(B130,'[1]MASTER DATA 2025'!$C$3:$E$279,3,0)</f>
        <v>0Tahun1 Bulan</v>
      </c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259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L130" s="151">
        <f t="shared" si="7"/>
        <v>0</v>
      </c>
      <c r="AM130" s="47">
        <f t="shared" si="8"/>
        <v>0</v>
      </c>
      <c r="AN130" s="35">
        <f t="shared" si="9"/>
        <v>0</v>
      </c>
      <c r="AO130" s="35">
        <f t="shared" si="10"/>
        <v>0</v>
      </c>
      <c r="AP130" s="36">
        <f t="shared" si="11"/>
        <v>0</v>
      </c>
      <c r="AQ130" s="48">
        <f t="shared" si="12"/>
        <v>0</v>
      </c>
      <c r="AR130" s="37" t="s">
        <v>25</v>
      </c>
      <c r="AS130" s="38"/>
      <c r="AT130" s="39"/>
    </row>
    <row r="131" s="105" customFormat="1" ht="19.5" customHeight="1" spans="1:46">
      <c r="A131" s="68">
        <v>120</v>
      </c>
      <c r="B131" s="265" t="s">
        <v>161</v>
      </c>
      <c r="C131" s="164" t="s">
        <v>20</v>
      </c>
      <c r="D131" s="149" t="str">
        <f>VLOOKUP(B131,'[1]MASTER DATA 2025'!$C$3:$E$279,3,0)</f>
        <v>1Tahun2 Bulan</v>
      </c>
      <c r="E131" s="96"/>
      <c r="F131" s="96"/>
      <c r="G131" s="96"/>
      <c r="H131" s="96"/>
      <c r="I131" s="96"/>
      <c r="J131" s="96"/>
      <c r="K131" s="96"/>
      <c r="L131" s="96"/>
      <c r="M131" s="96" t="s">
        <v>11</v>
      </c>
      <c r="N131" s="96" t="s">
        <v>11</v>
      </c>
      <c r="O131" s="96"/>
      <c r="P131" s="96" t="s">
        <v>11</v>
      </c>
      <c r="Q131" s="96" t="s">
        <v>11</v>
      </c>
      <c r="R131" s="96"/>
      <c r="S131" s="96"/>
      <c r="T131" s="96"/>
      <c r="U131" s="259"/>
      <c r="V131" s="96"/>
      <c r="W131" s="96" t="s">
        <v>11</v>
      </c>
      <c r="X131" s="96"/>
      <c r="Y131" s="96"/>
      <c r="Z131" s="96"/>
      <c r="AA131" s="96" t="s">
        <v>13</v>
      </c>
      <c r="AB131" s="96"/>
      <c r="AC131" s="96"/>
      <c r="AD131" s="96"/>
      <c r="AE131" s="96"/>
      <c r="AF131" s="96"/>
      <c r="AG131" s="96"/>
      <c r="AH131" s="96"/>
      <c r="AI131" s="96"/>
      <c r="AJ131" s="96"/>
      <c r="AL131" s="151">
        <f t="shared" si="7"/>
        <v>0</v>
      </c>
      <c r="AM131" s="35">
        <f t="shared" si="8"/>
        <v>5</v>
      </c>
      <c r="AN131" s="35">
        <f t="shared" si="9"/>
        <v>0</v>
      </c>
      <c r="AO131" s="47">
        <f t="shared" si="10"/>
        <v>1</v>
      </c>
      <c r="AP131" s="36">
        <f t="shared" si="11"/>
        <v>0</v>
      </c>
      <c r="AQ131" s="48">
        <f t="shared" si="12"/>
        <v>6</v>
      </c>
      <c r="AR131" s="37" t="s">
        <v>175</v>
      </c>
      <c r="AS131" s="38"/>
      <c r="AT131" s="39"/>
    </row>
    <row r="132" s="105" customFormat="1" ht="19.5" customHeight="1" spans="1:46">
      <c r="A132" s="68">
        <v>121</v>
      </c>
      <c r="B132" s="265" t="s">
        <v>162</v>
      </c>
      <c r="C132" s="164" t="s">
        <v>20</v>
      </c>
      <c r="D132" s="149" t="s">
        <v>163</v>
      </c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259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L132" s="151">
        <f t="shared" si="7"/>
        <v>0</v>
      </c>
      <c r="AM132" s="35">
        <f t="shared" si="8"/>
        <v>0</v>
      </c>
      <c r="AN132" s="35">
        <f t="shared" si="9"/>
        <v>0</v>
      </c>
      <c r="AO132" s="47">
        <f t="shared" si="10"/>
        <v>0</v>
      </c>
      <c r="AP132" s="36"/>
      <c r="AQ132" s="37">
        <f t="shared" si="12"/>
        <v>0</v>
      </c>
      <c r="AR132" s="37" t="s">
        <v>25</v>
      </c>
      <c r="AS132" s="38"/>
      <c r="AT132" s="39"/>
    </row>
    <row r="133" s="105" customFormat="1" ht="19.5" customHeight="1" spans="1:46">
      <c r="A133" s="68">
        <v>122</v>
      </c>
      <c r="B133" s="265" t="s">
        <v>164</v>
      </c>
      <c r="C133" s="164" t="s">
        <v>101</v>
      </c>
      <c r="D133" s="149" t="str">
        <f>VLOOKUP(B133,'[1]MASTER DATA 2025'!$C$3:$E$279,3,0)</f>
        <v>2Tahun0 Bulan</v>
      </c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259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L133" s="151">
        <f t="shared" si="7"/>
        <v>0</v>
      </c>
      <c r="AM133" s="35">
        <f t="shared" si="8"/>
        <v>0</v>
      </c>
      <c r="AN133" s="35">
        <f t="shared" si="9"/>
        <v>0</v>
      </c>
      <c r="AO133" s="47">
        <f t="shared" si="10"/>
        <v>0</v>
      </c>
      <c r="AP133" s="36">
        <f t="shared" ref="AP133:AP150" si="17">COUNTIF(E133:AJ133,"OFF")</f>
        <v>0</v>
      </c>
      <c r="AQ133" s="48">
        <f t="shared" si="12"/>
        <v>0</v>
      </c>
      <c r="AR133" s="37" t="s">
        <v>25</v>
      </c>
      <c r="AS133" s="38"/>
      <c r="AT133" s="39"/>
    </row>
    <row r="134" s="105" customFormat="1" ht="19.5" customHeight="1" spans="1:46">
      <c r="A134" s="68">
        <v>123</v>
      </c>
      <c r="B134" s="265" t="s">
        <v>176</v>
      </c>
      <c r="C134" s="164" t="s">
        <v>20</v>
      </c>
      <c r="D134" s="149" t="str">
        <f>VLOOKUP(B134,'[1]MASTER DATA 2025'!$C$3:$E$279,3,0)</f>
        <v>0Tahun2 Bulan</v>
      </c>
      <c r="E134" s="96"/>
      <c r="F134" s="96"/>
      <c r="G134" s="96"/>
      <c r="H134" s="96"/>
      <c r="I134" s="96"/>
      <c r="J134" s="96"/>
      <c r="K134" s="96" t="s">
        <v>11</v>
      </c>
      <c r="L134" s="96"/>
      <c r="M134" s="96"/>
      <c r="N134" s="96"/>
      <c r="O134" s="96"/>
      <c r="P134" s="96"/>
      <c r="Q134" s="96"/>
      <c r="R134" s="96"/>
      <c r="S134" s="96"/>
      <c r="T134" s="96"/>
      <c r="U134" s="259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L134" s="151">
        <f t="shared" si="7"/>
        <v>0</v>
      </c>
      <c r="AM134" s="35">
        <f t="shared" si="8"/>
        <v>1</v>
      </c>
      <c r="AN134" s="35">
        <f t="shared" si="9"/>
        <v>0</v>
      </c>
      <c r="AO134" s="47">
        <f t="shared" si="10"/>
        <v>0</v>
      </c>
      <c r="AP134" s="36">
        <f t="shared" si="17"/>
        <v>0</v>
      </c>
      <c r="AQ134" s="48">
        <f t="shared" si="12"/>
        <v>1</v>
      </c>
      <c r="AR134" s="37"/>
      <c r="AS134" s="38"/>
      <c r="AT134" s="39"/>
    </row>
    <row r="135" s="105" customFormat="1" ht="19.5" customHeight="1" spans="1:46">
      <c r="A135" s="68">
        <v>124</v>
      </c>
      <c r="B135" s="268" t="s">
        <v>177</v>
      </c>
      <c r="C135" s="164" t="s">
        <v>16</v>
      </c>
      <c r="D135" s="149" t="s">
        <v>178</v>
      </c>
      <c r="E135" s="96"/>
      <c r="F135" s="96"/>
      <c r="G135" s="96"/>
      <c r="H135" s="96"/>
      <c r="I135" s="96"/>
      <c r="J135" s="96"/>
      <c r="K135" s="96"/>
      <c r="L135" s="96" t="s">
        <v>13</v>
      </c>
      <c r="M135" s="96"/>
      <c r="N135" s="96"/>
      <c r="O135" s="96"/>
      <c r="P135" s="96"/>
      <c r="Q135" s="96"/>
      <c r="R135" s="96"/>
      <c r="S135" s="96"/>
      <c r="T135" s="96"/>
      <c r="U135" s="259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L135" s="151">
        <f t="shared" si="7"/>
        <v>0</v>
      </c>
      <c r="AM135" s="35">
        <f t="shared" si="8"/>
        <v>0</v>
      </c>
      <c r="AN135" s="36">
        <f t="shared" si="9"/>
        <v>0</v>
      </c>
      <c r="AO135" s="35">
        <f t="shared" si="10"/>
        <v>1</v>
      </c>
      <c r="AP135" s="36">
        <f t="shared" si="17"/>
        <v>0</v>
      </c>
      <c r="AQ135" s="37">
        <f t="shared" si="12"/>
        <v>1</v>
      </c>
      <c r="AR135" s="37" t="s">
        <v>25</v>
      </c>
      <c r="AS135" s="38"/>
      <c r="AT135" s="39"/>
    </row>
    <row r="136" s="105" customFormat="1" ht="19.5" customHeight="1" spans="1:46">
      <c r="A136" s="68">
        <v>125</v>
      </c>
      <c r="B136" s="268" t="s">
        <v>179</v>
      </c>
      <c r="C136" s="164" t="s">
        <v>16</v>
      </c>
      <c r="D136" s="149" t="s">
        <v>112</v>
      </c>
      <c r="E136" s="96"/>
      <c r="F136" s="96"/>
      <c r="G136" s="96"/>
      <c r="H136" s="96"/>
      <c r="I136" s="96"/>
      <c r="J136" s="96"/>
      <c r="K136" s="96"/>
      <c r="L136" s="96"/>
      <c r="M136" s="96"/>
      <c r="N136" s="96" t="s">
        <v>11</v>
      </c>
      <c r="O136" s="96"/>
      <c r="P136" s="96"/>
      <c r="Q136" s="96"/>
      <c r="R136" s="96"/>
      <c r="S136" s="96"/>
      <c r="T136" s="96"/>
      <c r="U136" s="259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L136" s="151">
        <f t="shared" si="7"/>
        <v>0</v>
      </c>
      <c r="AM136" s="35">
        <f t="shared" si="8"/>
        <v>1</v>
      </c>
      <c r="AN136" s="35">
        <f t="shared" si="9"/>
        <v>0</v>
      </c>
      <c r="AO136" s="47">
        <f t="shared" si="10"/>
        <v>0</v>
      </c>
      <c r="AP136" s="36">
        <f t="shared" si="17"/>
        <v>0</v>
      </c>
      <c r="AQ136" s="48">
        <f t="shared" si="12"/>
        <v>1</v>
      </c>
      <c r="AR136" s="37" t="s">
        <v>25</v>
      </c>
      <c r="AS136" s="38"/>
      <c r="AT136" s="39"/>
    </row>
    <row r="137" s="105" customFormat="1" ht="19.5" customHeight="1" spans="1:46">
      <c r="A137" s="68">
        <v>126</v>
      </c>
      <c r="B137" s="268" t="s">
        <v>158</v>
      </c>
      <c r="C137" s="164" t="s">
        <v>20</v>
      </c>
      <c r="D137" s="149" t="s">
        <v>180</v>
      </c>
      <c r="E137" s="96"/>
      <c r="F137" s="96"/>
      <c r="G137" s="96"/>
      <c r="H137" s="96"/>
      <c r="I137" s="96"/>
      <c r="J137" s="96"/>
      <c r="K137" s="96"/>
      <c r="L137" s="96"/>
      <c r="M137" s="96"/>
      <c r="N137" s="96" t="s">
        <v>13</v>
      </c>
      <c r="O137" s="96"/>
      <c r="P137" s="96"/>
      <c r="Q137" s="96"/>
      <c r="R137" s="96"/>
      <c r="S137" s="96"/>
      <c r="T137" s="96"/>
      <c r="U137" s="259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L137" s="151">
        <f t="shared" si="7"/>
        <v>0</v>
      </c>
      <c r="AM137" s="35">
        <f t="shared" si="8"/>
        <v>0</v>
      </c>
      <c r="AN137" s="35">
        <f t="shared" si="9"/>
        <v>0</v>
      </c>
      <c r="AO137" s="47">
        <f t="shared" si="10"/>
        <v>1</v>
      </c>
      <c r="AP137" s="36">
        <f t="shared" si="17"/>
        <v>0</v>
      </c>
      <c r="AQ137" s="48">
        <f t="shared" si="12"/>
        <v>1</v>
      </c>
      <c r="AR137" s="37" t="s">
        <v>25</v>
      </c>
      <c r="AS137" s="38"/>
      <c r="AT137" s="39"/>
    </row>
    <row r="138" s="105" customFormat="1" ht="19.5" customHeight="1" spans="1:46">
      <c r="A138" s="68">
        <v>127</v>
      </c>
      <c r="B138" s="269" t="s">
        <v>181</v>
      </c>
      <c r="C138" s="165" t="s">
        <v>59</v>
      </c>
      <c r="D138" s="149" t="str">
        <f>VLOOKUP(B138,'[1]MASTER DATA 2025'!$C$3:$E$279,3,0)</f>
        <v>2Tahun1 Bulan</v>
      </c>
      <c r="E138" s="96"/>
      <c r="F138" s="96"/>
      <c r="G138" s="96"/>
      <c r="H138" s="96"/>
      <c r="I138" s="96"/>
      <c r="J138" s="96"/>
      <c r="K138" s="96"/>
      <c r="L138" s="96"/>
      <c r="M138" s="96"/>
      <c r="N138" s="96" t="s">
        <v>11</v>
      </c>
      <c r="O138" s="96"/>
      <c r="P138" s="96"/>
      <c r="Q138" s="96"/>
      <c r="R138" s="96"/>
      <c r="S138" s="96"/>
      <c r="T138" s="96"/>
      <c r="U138" s="259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L138" s="151">
        <f t="shared" si="7"/>
        <v>0</v>
      </c>
      <c r="AM138" s="35">
        <f t="shared" si="8"/>
        <v>1</v>
      </c>
      <c r="AN138" s="36">
        <f t="shared" si="9"/>
        <v>0</v>
      </c>
      <c r="AO138" s="35">
        <f t="shared" si="10"/>
        <v>0</v>
      </c>
      <c r="AP138" s="36">
        <f t="shared" si="17"/>
        <v>0</v>
      </c>
      <c r="AQ138" s="37">
        <f t="shared" si="12"/>
        <v>1</v>
      </c>
      <c r="AR138" s="37" t="s">
        <v>25</v>
      </c>
      <c r="AS138" s="38"/>
      <c r="AT138" s="39"/>
    </row>
    <row r="139" s="105" customFormat="1" ht="19.5" customHeight="1" spans="1:46">
      <c r="A139" s="68">
        <v>128</v>
      </c>
      <c r="B139" s="249" t="s">
        <v>182</v>
      </c>
      <c r="C139" s="166" t="s">
        <v>59</v>
      </c>
      <c r="D139" s="152" t="s">
        <v>178</v>
      </c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 t="s">
        <v>11</v>
      </c>
      <c r="Q139" s="96"/>
      <c r="R139" s="96"/>
      <c r="S139" s="96"/>
      <c r="T139" s="96"/>
      <c r="U139" s="259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 t="s">
        <v>13</v>
      </c>
      <c r="AG139" s="96"/>
      <c r="AH139" s="96"/>
      <c r="AI139" s="96"/>
      <c r="AJ139" s="96"/>
      <c r="AL139" s="151">
        <f t="shared" si="7"/>
        <v>0</v>
      </c>
      <c r="AM139" s="35">
        <f t="shared" si="8"/>
        <v>1</v>
      </c>
      <c r="AN139" s="36">
        <f t="shared" si="9"/>
        <v>0</v>
      </c>
      <c r="AO139" s="35">
        <f t="shared" si="10"/>
        <v>1</v>
      </c>
      <c r="AP139" s="36">
        <f t="shared" si="17"/>
        <v>0</v>
      </c>
      <c r="AQ139" s="37">
        <f t="shared" si="12"/>
        <v>2</v>
      </c>
      <c r="AR139" s="37" t="s">
        <v>25</v>
      </c>
      <c r="AS139" s="38"/>
      <c r="AT139" s="39"/>
    </row>
    <row r="140" s="105" customFormat="1" ht="19.5" customHeight="1" spans="1:46">
      <c r="A140" s="68">
        <v>129</v>
      </c>
      <c r="B140" s="249" t="s">
        <v>183</v>
      </c>
      <c r="C140" s="166" t="s">
        <v>16</v>
      </c>
      <c r="D140" s="152" t="str">
        <f>VLOOKUP(B140,'[1]MASTER DATA 2025'!$C$3:$E$279,3,0)</f>
        <v>0Tahun1 Bulan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 t="s">
        <v>11</v>
      </c>
      <c r="R140" s="96"/>
      <c r="S140" s="96"/>
      <c r="T140" s="96"/>
      <c r="U140" s="259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L140" s="151">
        <f t="shared" ref="AL140:AL150" si="18">COUNTIF(E140:AJ140,"H")</f>
        <v>0</v>
      </c>
      <c r="AM140" s="35">
        <f t="shared" ref="AM140:AM150" si="19">COUNTIF(E140:AJ140,"S")</f>
        <v>1</v>
      </c>
      <c r="AN140" s="36">
        <f t="shared" ref="AN140:AN150" si="20">COUNTIF(E140:AJ140,"I")</f>
        <v>0</v>
      </c>
      <c r="AO140" s="35">
        <f t="shared" ref="AO140:AO150" si="21">COUNTIF(E140:AJ140,"A")</f>
        <v>0</v>
      </c>
      <c r="AP140" s="36">
        <f t="shared" si="17"/>
        <v>0</v>
      </c>
      <c r="AQ140" s="37">
        <f t="shared" ref="AQ140:AQ150" si="22">SUM(AL140:AO140)</f>
        <v>1</v>
      </c>
      <c r="AR140" s="37"/>
      <c r="AS140" s="38"/>
      <c r="AT140" s="39"/>
    </row>
    <row r="141" s="105" customFormat="1" ht="19.5" customHeight="1" spans="1:46">
      <c r="A141" s="68">
        <v>130</v>
      </c>
      <c r="B141" s="249" t="s">
        <v>184</v>
      </c>
      <c r="C141" s="166" t="s">
        <v>16</v>
      </c>
      <c r="D141" s="152" t="s">
        <v>178</v>
      </c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 t="s">
        <v>13</v>
      </c>
      <c r="Q141" s="96"/>
      <c r="R141" s="96"/>
      <c r="S141" s="96"/>
      <c r="T141" s="96"/>
      <c r="U141" s="259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L141" s="151">
        <f t="shared" si="18"/>
        <v>0</v>
      </c>
      <c r="AM141" s="35">
        <f t="shared" si="19"/>
        <v>0</v>
      </c>
      <c r="AN141" s="36">
        <f t="shared" si="20"/>
        <v>0</v>
      </c>
      <c r="AO141" s="35">
        <f t="shared" si="21"/>
        <v>1</v>
      </c>
      <c r="AP141" s="36">
        <f t="shared" si="17"/>
        <v>0</v>
      </c>
      <c r="AQ141" s="37">
        <f t="shared" si="22"/>
        <v>1</v>
      </c>
      <c r="AR141" s="37"/>
      <c r="AS141" s="38"/>
      <c r="AT141" s="39"/>
    </row>
    <row r="142" s="105" customFormat="1" ht="19.5" customHeight="1" spans="1:46">
      <c r="A142" s="68">
        <v>131</v>
      </c>
      <c r="B142" s="249" t="s">
        <v>185</v>
      </c>
      <c r="C142" s="166" t="s">
        <v>16</v>
      </c>
      <c r="D142" s="152" t="s">
        <v>112</v>
      </c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 t="s">
        <v>13</v>
      </c>
      <c r="Q142" s="96"/>
      <c r="R142" s="96"/>
      <c r="S142" s="96"/>
      <c r="T142" s="96"/>
      <c r="U142" s="259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L142" s="151">
        <f t="shared" si="18"/>
        <v>0</v>
      </c>
      <c r="AM142" s="35">
        <f t="shared" si="19"/>
        <v>0</v>
      </c>
      <c r="AN142" s="36">
        <f t="shared" si="20"/>
        <v>0</v>
      </c>
      <c r="AO142" s="35">
        <f t="shared" si="21"/>
        <v>1</v>
      </c>
      <c r="AP142" s="36">
        <f t="shared" si="17"/>
        <v>0</v>
      </c>
      <c r="AQ142" s="37">
        <f t="shared" si="22"/>
        <v>1</v>
      </c>
      <c r="AR142" s="37"/>
      <c r="AS142" s="38"/>
      <c r="AT142" s="39"/>
    </row>
    <row r="143" s="105" customFormat="1" ht="19.5" customHeight="1" spans="1:46">
      <c r="A143" s="68">
        <v>132</v>
      </c>
      <c r="B143" s="249" t="s">
        <v>186</v>
      </c>
      <c r="C143" s="166" t="s">
        <v>16</v>
      </c>
      <c r="D143" s="152" t="s">
        <v>178</v>
      </c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 t="s">
        <v>13</v>
      </c>
      <c r="Q143" s="96"/>
      <c r="R143" s="96"/>
      <c r="S143" s="96"/>
      <c r="T143" s="96"/>
      <c r="U143" s="259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L143" s="151">
        <f t="shared" si="18"/>
        <v>0</v>
      </c>
      <c r="AM143" s="35">
        <f t="shared" si="19"/>
        <v>0</v>
      </c>
      <c r="AN143" s="36">
        <f t="shared" si="20"/>
        <v>0</v>
      </c>
      <c r="AO143" s="35">
        <f t="shared" si="21"/>
        <v>1</v>
      </c>
      <c r="AP143" s="36">
        <f t="shared" si="17"/>
        <v>0</v>
      </c>
      <c r="AQ143" s="37">
        <f t="shared" si="22"/>
        <v>1</v>
      </c>
      <c r="AR143" s="37"/>
      <c r="AS143" s="38"/>
      <c r="AT143" s="39"/>
    </row>
    <row r="144" s="105" customFormat="1" ht="19.5" customHeight="1" spans="1:46">
      <c r="A144" s="68">
        <v>133</v>
      </c>
      <c r="B144" s="249" t="s">
        <v>187</v>
      </c>
      <c r="C144" s="166" t="s">
        <v>16</v>
      </c>
      <c r="D144" s="152" t="str">
        <f>VLOOKUP(B144,'[1]MASTER DATA 2025'!$C$3:$E$279,3,0)</f>
        <v>0Tahun1 Bulan</v>
      </c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 t="s">
        <v>11</v>
      </c>
      <c r="Q144" s="96"/>
      <c r="R144" s="96"/>
      <c r="S144" s="96"/>
      <c r="T144" s="96"/>
      <c r="U144" s="259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L144" s="151">
        <f t="shared" si="18"/>
        <v>0</v>
      </c>
      <c r="AM144" s="35">
        <f t="shared" si="19"/>
        <v>1</v>
      </c>
      <c r="AN144" s="36">
        <f t="shared" si="20"/>
        <v>0</v>
      </c>
      <c r="AO144" s="35">
        <f t="shared" si="21"/>
        <v>0</v>
      </c>
      <c r="AP144" s="36">
        <f t="shared" si="17"/>
        <v>0</v>
      </c>
      <c r="AQ144" s="37">
        <f t="shared" si="22"/>
        <v>1</v>
      </c>
      <c r="AR144" s="37"/>
      <c r="AS144" s="38"/>
      <c r="AT144" s="39"/>
    </row>
    <row r="145" s="105" customFormat="1" ht="19.5" customHeight="1" spans="1:46">
      <c r="A145" s="68">
        <v>134</v>
      </c>
      <c r="B145" s="249" t="s">
        <v>188</v>
      </c>
      <c r="C145" s="166" t="s">
        <v>16</v>
      </c>
      <c r="D145" s="152" t="str">
        <f>VLOOKUP(B145,'[1]MASTER DATA 2025'!$C$3:$E$279,3,0)</f>
        <v>1Tahun5 Bulan</v>
      </c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 t="s">
        <v>103</v>
      </c>
      <c r="Q145" s="96"/>
      <c r="R145" s="96"/>
      <c r="S145" s="96"/>
      <c r="T145" s="96"/>
      <c r="U145" s="259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L145" s="151">
        <f t="shared" si="18"/>
        <v>0</v>
      </c>
      <c r="AM145" s="35">
        <f t="shared" si="19"/>
        <v>0</v>
      </c>
      <c r="AN145" s="36">
        <f t="shared" si="20"/>
        <v>1</v>
      </c>
      <c r="AO145" s="35">
        <f t="shared" si="21"/>
        <v>0</v>
      </c>
      <c r="AP145" s="36">
        <f t="shared" si="17"/>
        <v>0</v>
      </c>
      <c r="AQ145" s="37">
        <f t="shared" si="22"/>
        <v>1</v>
      </c>
      <c r="AR145" s="37"/>
      <c r="AS145" s="38"/>
      <c r="AT145" s="39"/>
    </row>
    <row r="146" s="105" customFormat="1" ht="19.5" customHeight="1" spans="1:46">
      <c r="A146" s="68">
        <v>135</v>
      </c>
      <c r="B146" s="249" t="s">
        <v>189</v>
      </c>
      <c r="C146" s="166" t="s">
        <v>16</v>
      </c>
      <c r="D146" s="152" t="s">
        <v>178</v>
      </c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 t="s">
        <v>11</v>
      </c>
      <c r="S146" s="96" t="s">
        <v>11</v>
      </c>
      <c r="T146" s="96" t="s">
        <v>11</v>
      </c>
      <c r="U146" s="259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L146" s="151">
        <f t="shared" si="18"/>
        <v>0</v>
      </c>
      <c r="AM146" s="35">
        <f t="shared" si="19"/>
        <v>3</v>
      </c>
      <c r="AN146" s="36">
        <f t="shared" si="20"/>
        <v>0</v>
      </c>
      <c r="AO146" s="35">
        <f t="shared" si="21"/>
        <v>0</v>
      </c>
      <c r="AP146" s="36">
        <f t="shared" si="17"/>
        <v>0</v>
      </c>
      <c r="AQ146" s="37">
        <f t="shared" si="22"/>
        <v>3</v>
      </c>
      <c r="AR146" s="37" t="s">
        <v>25</v>
      </c>
      <c r="AS146" s="38"/>
      <c r="AT146" s="39"/>
    </row>
    <row r="147" s="105" customFormat="1" ht="19.5" customHeight="1" spans="1:46">
      <c r="A147" s="68">
        <v>136</v>
      </c>
      <c r="B147" s="265" t="s">
        <v>190</v>
      </c>
      <c r="C147" s="166" t="s">
        <v>16</v>
      </c>
      <c r="D147" s="152" t="s">
        <v>178</v>
      </c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 t="s">
        <v>11</v>
      </c>
      <c r="T147" s="96"/>
      <c r="U147" s="259" t="s">
        <v>13</v>
      </c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L147" s="151">
        <f t="shared" si="18"/>
        <v>0</v>
      </c>
      <c r="AM147" s="35">
        <f t="shared" si="19"/>
        <v>1</v>
      </c>
      <c r="AN147" s="36">
        <f t="shared" si="20"/>
        <v>0</v>
      </c>
      <c r="AO147" s="35">
        <f t="shared" si="21"/>
        <v>1</v>
      </c>
      <c r="AP147" s="36">
        <f t="shared" si="17"/>
        <v>0</v>
      </c>
      <c r="AQ147" s="37">
        <f t="shared" si="22"/>
        <v>2</v>
      </c>
      <c r="AR147" s="37" t="s">
        <v>25</v>
      </c>
      <c r="AS147" s="38"/>
      <c r="AT147" s="39"/>
    </row>
    <row r="148" s="105" customFormat="1" ht="19.5" customHeight="1" spans="1:46">
      <c r="A148" s="68">
        <v>137</v>
      </c>
      <c r="B148" s="265" t="s">
        <v>191</v>
      </c>
      <c r="C148" s="150" t="s">
        <v>16</v>
      </c>
      <c r="D148" s="152" t="s">
        <v>178</v>
      </c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259"/>
      <c r="V148" s="96"/>
      <c r="W148" s="96" t="s">
        <v>11</v>
      </c>
      <c r="X148" s="96"/>
      <c r="Y148" s="96" t="s">
        <v>12</v>
      </c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L148" s="151">
        <f t="shared" si="18"/>
        <v>0</v>
      </c>
      <c r="AM148" s="35">
        <f t="shared" si="19"/>
        <v>1</v>
      </c>
      <c r="AN148" s="35">
        <f t="shared" si="20"/>
        <v>1</v>
      </c>
      <c r="AO148" s="36">
        <f t="shared" si="21"/>
        <v>0</v>
      </c>
      <c r="AP148" s="36">
        <f t="shared" si="17"/>
        <v>0</v>
      </c>
      <c r="AQ148" s="37">
        <f t="shared" si="22"/>
        <v>2</v>
      </c>
      <c r="AR148" s="37" t="s">
        <v>192</v>
      </c>
      <c r="AS148" s="38">
        <v>16</v>
      </c>
      <c r="AT148" s="39">
        <f>AQ148/AS148</f>
        <v>0.125</v>
      </c>
    </row>
    <row r="149" s="105" customFormat="1" ht="19.5" customHeight="1" spans="1:46">
      <c r="A149" s="68"/>
      <c r="B149" s="265"/>
      <c r="C149" s="150"/>
      <c r="D149" s="152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259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L149" s="151">
        <f t="shared" si="18"/>
        <v>0</v>
      </c>
      <c r="AM149" s="35">
        <f t="shared" si="19"/>
        <v>0</v>
      </c>
      <c r="AN149" s="35">
        <f t="shared" si="20"/>
        <v>0</v>
      </c>
      <c r="AO149" s="36">
        <f t="shared" si="21"/>
        <v>0</v>
      </c>
      <c r="AP149" s="36">
        <f t="shared" si="17"/>
        <v>0</v>
      </c>
      <c r="AQ149" s="37">
        <f t="shared" si="22"/>
        <v>0</v>
      </c>
      <c r="AR149" s="37"/>
      <c r="AS149" s="38"/>
      <c r="AT149" s="39"/>
    </row>
    <row r="150" s="105" customFormat="1" ht="20.15" customHeight="1" spans="1:46">
      <c r="A150" s="68"/>
      <c r="B150" s="167"/>
      <c r="C150" s="167"/>
      <c r="D150" s="149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259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L150" s="151">
        <f t="shared" si="18"/>
        <v>0</v>
      </c>
      <c r="AM150" s="47">
        <f t="shared" si="19"/>
        <v>0</v>
      </c>
      <c r="AN150" s="35">
        <f t="shared" si="20"/>
        <v>0</v>
      </c>
      <c r="AO150" s="35">
        <f t="shared" si="21"/>
        <v>0</v>
      </c>
      <c r="AP150" s="36">
        <f t="shared" si="17"/>
        <v>0</v>
      </c>
      <c r="AQ150" s="48">
        <f t="shared" si="22"/>
        <v>0</v>
      </c>
      <c r="AR150" s="37"/>
      <c r="AS150" s="38">
        <v>26</v>
      </c>
      <c r="AT150" s="39">
        <f>AQ150/AS150</f>
        <v>0</v>
      </c>
    </row>
    <row r="151" s="20" customFormat="1" ht="19.5" customHeight="1" spans="1:46">
      <c r="A151" s="290" t="s">
        <v>6</v>
      </c>
      <c r="B151" s="291"/>
      <c r="C151" s="291"/>
      <c r="D151" s="291"/>
      <c r="E151" s="292">
        <f t="shared" ref="E151:AJ151" si="23">COUNTIF(E14:E86,"H")</f>
        <v>0</v>
      </c>
      <c r="F151" s="292">
        <f t="shared" si="23"/>
        <v>0</v>
      </c>
      <c r="G151" s="292">
        <f t="shared" si="23"/>
        <v>0</v>
      </c>
      <c r="H151" s="292">
        <f t="shared" si="23"/>
        <v>0</v>
      </c>
      <c r="I151" s="292">
        <f t="shared" si="23"/>
        <v>0</v>
      </c>
      <c r="J151" s="292">
        <f t="shared" si="23"/>
        <v>0</v>
      </c>
      <c r="K151" s="292">
        <f t="shared" si="23"/>
        <v>0</v>
      </c>
      <c r="L151" s="292">
        <f t="shared" si="23"/>
        <v>0</v>
      </c>
      <c r="M151" s="292">
        <f t="shared" si="23"/>
        <v>0</v>
      </c>
      <c r="N151" s="292">
        <f t="shared" si="23"/>
        <v>0</v>
      </c>
      <c r="O151" s="292">
        <f t="shared" si="23"/>
        <v>0</v>
      </c>
      <c r="P151" s="292">
        <f t="shared" si="23"/>
        <v>0</v>
      </c>
      <c r="Q151" s="292">
        <f t="shared" si="23"/>
        <v>0</v>
      </c>
      <c r="R151" s="292">
        <f t="shared" si="23"/>
        <v>0</v>
      </c>
      <c r="S151" s="292">
        <f t="shared" si="23"/>
        <v>0</v>
      </c>
      <c r="T151" s="292">
        <f t="shared" si="23"/>
        <v>0</v>
      </c>
      <c r="U151" s="292">
        <f t="shared" si="23"/>
        <v>0</v>
      </c>
      <c r="V151" s="292">
        <f t="shared" si="23"/>
        <v>0</v>
      </c>
      <c r="W151" s="292">
        <f t="shared" si="23"/>
        <v>0</v>
      </c>
      <c r="X151" s="292">
        <f t="shared" si="23"/>
        <v>0</v>
      </c>
      <c r="Y151" s="292">
        <f t="shared" si="23"/>
        <v>0</v>
      </c>
      <c r="Z151" s="292">
        <f t="shared" si="23"/>
        <v>0</v>
      </c>
      <c r="AA151" s="292">
        <f t="shared" si="23"/>
        <v>0</v>
      </c>
      <c r="AB151" s="292">
        <f t="shared" si="23"/>
        <v>0</v>
      </c>
      <c r="AC151" s="292">
        <f t="shared" si="23"/>
        <v>0</v>
      </c>
      <c r="AD151" s="292">
        <f t="shared" si="23"/>
        <v>0</v>
      </c>
      <c r="AE151" s="292">
        <f t="shared" si="23"/>
        <v>0</v>
      </c>
      <c r="AF151" s="292">
        <f t="shared" si="23"/>
        <v>0</v>
      </c>
      <c r="AG151" s="292">
        <f t="shared" si="23"/>
        <v>0</v>
      </c>
      <c r="AH151" s="292">
        <f t="shared" si="23"/>
        <v>0</v>
      </c>
      <c r="AI151" s="292">
        <f t="shared" si="23"/>
        <v>0</v>
      </c>
      <c r="AJ151" s="292">
        <f t="shared" si="23"/>
        <v>0</v>
      </c>
      <c r="AK151" s="293">
        <f>SUM(E151:AJ151)</f>
        <v>0</v>
      </c>
      <c r="AM151" s="105" t="s">
        <v>193</v>
      </c>
      <c r="AN151" s="105" t="s">
        <v>194</v>
      </c>
      <c r="AO151" s="105" t="s">
        <v>195</v>
      </c>
    </row>
    <row r="152" ht="20.15" customHeight="1" spans="1:46">
      <c r="E152" s="294"/>
      <c r="F152" s="295"/>
      <c r="G152" s="295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  <c r="AJ152" s="295"/>
      <c r="AK152" s="296"/>
      <c r="AL152">
        <f t="shared" ref="AL152:AQ152" si="24">SUM(AL12:AL150)</f>
        <v>0</v>
      </c>
      <c r="AM152">
        <f t="shared" si="24"/>
        <v>58</v>
      </c>
      <c r="AN152">
        <f t="shared" si="24"/>
        <v>15</v>
      </c>
      <c r="AO152">
        <f t="shared" si="24"/>
        <v>96</v>
      </c>
      <c r="AP152">
        <f t="shared" si="24"/>
        <v>0</v>
      </c>
      <c r="AQ152">
        <f t="shared" si="24"/>
        <v>169</v>
      </c>
    </row>
    <row r="153" ht="20.15" customHeight="1" spans="1:46">
      <c r="E153" s="297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  <c r="AA153" s="298"/>
      <c r="AB153" s="298"/>
      <c r="AC153" s="298"/>
      <c r="AD153" s="298"/>
      <c r="AE153" s="298"/>
      <c r="AF153" s="298"/>
      <c r="AG153" s="298"/>
      <c r="AH153" s="295"/>
      <c r="AI153" s="295"/>
      <c r="AJ153" s="295"/>
    </row>
    <row r="154" ht="20.15" customHeight="1" spans="1:46">
      <c r="E154" s="297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298"/>
      <c r="T154" s="298"/>
      <c r="U154" s="298"/>
      <c r="V154" s="298"/>
      <c r="W154" s="298"/>
      <c r="X154" s="298"/>
      <c r="Y154" s="298"/>
      <c r="Z154" s="298"/>
      <c r="AA154" s="298"/>
      <c r="AB154" s="298"/>
      <c r="AC154" s="298"/>
      <c r="AD154" s="298"/>
      <c r="AE154" s="298"/>
      <c r="AF154" s="298"/>
      <c r="AG154" s="298"/>
    </row>
  </sheetData>
  <autoFilter xmlns:etc="http://www.wps.cn/officeDocument/2017/etCustomData" ref="A11:AT152" etc:filterBottomFollowUsedRange="0">
    <extLst/>
  </autoFilter>
  <mergeCells count="15">
    <mergeCell ref="E10:AJ10"/>
    <mergeCell ref="AM10:AP10"/>
    <mergeCell ref="A151:B151"/>
    <mergeCell ref="A10:A11"/>
    <mergeCell ref="B10:B11"/>
    <mergeCell ref="C10:C11"/>
    <mergeCell ref="D10:D11"/>
    <mergeCell ref="AL10:AL11"/>
    <mergeCell ref="AQ10:AQ11"/>
    <mergeCell ref="AR10:AR11"/>
    <mergeCell ref="AS10:AS11"/>
    <mergeCell ref="AT10:AT11"/>
    <mergeCell ref="E153:AG154"/>
    <mergeCell ref="E4:AJ6"/>
    <mergeCell ref="E7:AJ8"/>
  </mergeCells>
  <conditionalFormatting sqref="B54">
    <cfRule type="cellIs" dxfId="0" priority="11" operator="equal">
      <formula>"ALPA"</formula>
    </cfRule>
    <cfRule type="cellIs" dxfId="1" priority="12" operator="equal">
      <formula>"IZIN"</formula>
    </cfRule>
    <cfRule type="cellIs" dxfId="2" priority="13" operator="equal">
      <formula>"SAKIT"</formula>
    </cfRule>
  </conditionalFormatting>
  <conditionalFormatting sqref="E12:AJ150">
    <cfRule type="containsText" dxfId="3" priority="1" operator="between" text="OFF">
      <formula>NOT(ISERROR(SEARCH("OFF",E12)))</formula>
    </cfRule>
    <cfRule type="containsText" dxfId="4" priority="2" operator="between" text="OFF">
      <formula>NOT(ISERROR(SEARCH("OFF",E12)))</formula>
    </cfRule>
    <cfRule type="containsText" dxfId="5" priority="3" operator="between" text="S">
      <formula>NOT(ISERROR(SEARCH("S",E12)))</formula>
    </cfRule>
    <cfRule type="containsText" dxfId="6" priority="4" operator="between" text="I">
      <formula>NOT(ISERROR(SEARCH("I",E12)))</formula>
    </cfRule>
    <cfRule type="containsText" dxfId="7" priority="5" operator="between" text="A">
      <formula>NOT(ISERROR(SEARCH("A",E12)))</formula>
    </cfRule>
    <cfRule type="containsText" dxfId="8" priority="6" operator="between" text="L">
      <formula>NOT(ISERROR(SEARCH("L",E12)))</formula>
    </cfRule>
    <cfRule type="containsText" dxfId="6" priority="7" operator="between" text="A">
      <formula>NOT(ISERROR(SEARCH("A",E12)))</formula>
    </cfRule>
    <cfRule type="containsText" dxfId="7" priority="8" operator="between" text="S">
      <formula>NOT(ISERROR(SEARCH("S",E12)))</formula>
    </cfRule>
    <cfRule type="containsText" dxfId="5" priority="9" operator="between" text="OFF">
      <formula>NOT(ISERROR(SEARCH("OFF",E12)))</formula>
    </cfRule>
    <cfRule type="containsText" dxfId="7" priority="10" operator="between" text="OFF">
      <formula>NOT(ISERROR(SEARCH("OFF",E12)))</formula>
    </cfRule>
  </conditionalFormatting>
  <printOptions horizontalCentered="1"/>
  <pageMargins left="0" right="0" top="0" bottom="0" header="0" footer="0"/>
  <pageSetup paperSize="9" scale="30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R163"/>
  <sheetViews>
    <sheetView zoomScale="70" zoomScaleNormal="70" topLeftCell="A10" workbookViewId="0">
      <pane xSplit="2" ySplit="2" topLeftCell="AG145" activePane="bottomRight" state="frozen"/>
      <selection/>
      <selection pane="topRight"/>
      <selection pane="bottomLeft"/>
      <selection pane="bottomRight" activeCell="AH162" sqref="AH162"/>
    </sheetView>
  </sheetViews>
  <sheetFormatPr defaultColWidth="9" defaultRowHeight="14.5"/>
  <cols>
    <col min="1" max="1" width="10.3636363636364" customWidth="1"/>
    <col min="2" max="2" width="25.3636363636364" customWidth="1"/>
    <col min="3" max="3" width="20.9090909090909" customWidth="1"/>
    <col min="4" max="4" width="17.4545454545455" customWidth="1"/>
    <col min="5" max="11" width="7.63636363636364" customWidth="1"/>
    <col min="12" max="12" width="7.90909090909091" customWidth="1"/>
    <col min="13" max="14" width="7.63636363636364" customWidth="1"/>
    <col min="15" max="15" width="11.4545454545455" customWidth="1"/>
    <col min="16" max="19" width="7.63636363636364" customWidth="1"/>
    <col min="20" max="20" width="7.45454545454545" customWidth="1"/>
    <col min="21" max="25" width="7.63636363636364" customWidth="1"/>
    <col min="26" max="26" width="8.45454545454546" customWidth="1"/>
    <col min="27" max="27" width="7.63636363636364" customWidth="1"/>
    <col min="28" max="28" width="12.9090909090909" customWidth="1"/>
    <col min="29" max="29" width="13.0909090909091" customWidth="1"/>
    <col min="30" max="30" width="7.63636363636364" customWidth="1"/>
    <col min="31" max="31" width="7.45454545454545" customWidth="1"/>
    <col min="32" max="32" width="11.0909090909091" customWidth="1"/>
    <col min="33" max="33" width="9.36363636363636" customWidth="1"/>
    <col min="34" max="34" width="8.36363636363636" customWidth="1"/>
    <col min="35" max="35" width="8.90909090909091" customWidth="1"/>
    <col min="36" max="36" width="5.45454545454545" customWidth="1"/>
    <col min="37" max="40" width="9" customWidth="1"/>
    <col min="41" max="41" width="11" customWidth="1"/>
    <col min="42" max="42" width="43.3636363636364" customWidth="1"/>
    <col min="43" max="44" width="15.6363636363636" customWidth="1"/>
    <col min="45" max="45" width="9" customWidth="1"/>
  </cols>
  <sheetData>
    <row r="2" ht="20.15" customHeight="1" spans="1:4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ht="20.15" customHeight="1" spans="1:44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20.15" customHeight="1" spans="1:44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</row>
    <row r="5" ht="20.15" customHeight="1" spans="1:44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ht="20.15" customHeight="1" spans="1:44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</row>
    <row r="7" ht="20.15" customHeight="1" spans="1:44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</row>
    <row r="8" ht="20.15" customHeight="1" spans="1:44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</row>
    <row r="9" ht="20.15" customHeight="1" spans="1:4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289"/>
      <c r="AF9" s="289"/>
      <c r="AG9" s="289"/>
      <c r="AH9" s="289"/>
    </row>
    <row r="10" s="20" customFormat="1" ht="16.5" spans="1:44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J10" s="56"/>
      <c r="AK10" s="23" t="s">
        <v>5</v>
      </c>
      <c r="AL10" s="24"/>
      <c r="AM10" s="24"/>
      <c r="AN10" s="25"/>
      <c r="AO10" s="2" t="s">
        <v>6</v>
      </c>
      <c r="AP10" s="2" t="s">
        <v>5</v>
      </c>
      <c r="AQ10" s="26" t="s">
        <v>8</v>
      </c>
      <c r="AR10" s="27" t="s">
        <v>9</v>
      </c>
    </row>
    <row r="11" s="21" customFormat="1" ht="23.15" customHeight="1" spans="1:44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58">
        <v>24</v>
      </c>
      <c r="I11" s="58">
        <v>25</v>
      </c>
      <c r="J11" s="235">
        <v>26</v>
      </c>
      <c r="K11" s="58">
        <v>27</v>
      </c>
      <c r="L11" s="58">
        <v>28</v>
      </c>
      <c r="M11" s="58">
        <v>29</v>
      </c>
      <c r="N11" s="58">
        <v>30</v>
      </c>
      <c r="O11" s="58">
        <v>1</v>
      </c>
      <c r="P11" s="58">
        <v>2</v>
      </c>
      <c r="Q11" s="58">
        <v>3</v>
      </c>
      <c r="R11" s="58">
        <v>4</v>
      </c>
      <c r="S11" s="58">
        <v>5</v>
      </c>
      <c r="T11" s="58">
        <v>6</v>
      </c>
      <c r="U11" s="258">
        <v>7</v>
      </c>
      <c r="V11" s="58">
        <v>8</v>
      </c>
      <c r="W11" s="58">
        <v>9</v>
      </c>
      <c r="X11" s="58">
        <v>10</v>
      </c>
      <c r="Y11" s="58">
        <v>11</v>
      </c>
      <c r="Z11" s="58">
        <v>12</v>
      </c>
      <c r="AA11" s="58">
        <v>13</v>
      </c>
      <c r="AB11" s="58">
        <v>14</v>
      </c>
      <c r="AC11" s="58">
        <v>15</v>
      </c>
      <c r="AD11" s="58">
        <v>16</v>
      </c>
      <c r="AE11" s="58">
        <v>17</v>
      </c>
      <c r="AF11" s="58">
        <v>18</v>
      </c>
      <c r="AG11" s="58">
        <v>19</v>
      </c>
      <c r="AH11" s="58">
        <v>20</v>
      </c>
      <c r="AJ11" s="148" t="s">
        <v>10</v>
      </c>
      <c r="AK11" s="11" t="s">
        <v>11</v>
      </c>
      <c r="AL11" s="11" t="s">
        <v>12</v>
      </c>
      <c r="AM11" s="11" t="s">
        <v>13</v>
      </c>
      <c r="AN11" s="11" t="s">
        <v>14</v>
      </c>
      <c r="AO11" s="32"/>
      <c r="AP11" s="32"/>
      <c r="AQ11" s="33"/>
      <c r="AR11" s="34"/>
    </row>
    <row r="12" s="105" customFormat="1" ht="20.15" customHeight="1" spans="1:44">
      <c r="A12" s="68">
        <v>1</v>
      </c>
      <c r="B12" s="149" t="s">
        <v>15</v>
      </c>
      <c r="C12" s="164" t="s">
        <v>20</v>
      </c>
      <c r="D12" s="149" t="s">
        <v>196</v>
      </c>
      <c r="E12" s="96"/>
      <c r="F12" s="96"/>
      <c r="G12" s="96"/>
      <c r="H12" s="96"/>
      <c r="I12" s="96" t="s">
        <v>11</v>
      </c>
      <c r="J12" s="96"/>
      <c r="K12" s="96"/>
      <c r="L12" s="96"/>
      <c r="M12" s="96"/>
      <c r="N12" s="96"/>
      <c r="O12" s="96" t="s">
        <v>13</v>
      </c>
      <c r="P12" s="96"/>
      <c r="Q12" s="96"/>
      <c r="R12" s="96"/>
      <c r="S12" s="96"/>
      <c r="T12" s="259"/>
      <c r="U12" s="96"/>
      <c r="V12" s="96"/>
      <c r="W12" s="96"/>
      <c r="X12" s="96"/>
      <c r="Y12" s="96"/>
      <c r="Z12" s="96" t="s">
        <v>103</v>
      </c>
      <c r="AA12" s="96"/>
      <c r="AB12" s="96"/>
      <c r="AC12" s="96"/>
      <c r="AD12" s="96"/>
      <c r="AE12" s="96" t="s">
        <v>12</v>
      </c>
      <c r="AF12" s="96"/>
      <c r="AG12" s="96"/>
      <c r="AH12" s="96"/>
      <c r="AJ12" s="151">
        <f t="shared" ref="AJ12:AJ75" si="0">COUNTIF(E12:AH12,"H")</f>
        <v>0</v>
      </c>
      <c r="AK12" s="47">
        <f t="shared" ref="AK12:AK75" si="1">COUNTIF(E12:AH12,"S")</f>
        <v>1</v>
      </c>
      <c r="AL12" s="36">
        <f t="shared" ref="AL12:AL75" si="2">COUNTIF(E12:AH12,"I")</f>
        <v>2</v>
      </c>
      <c r="AM12" s="35">
        <f t="shared" ref="AM12:AM75" si="3">COUNTIF(E12:AH12,"A")</f>
        <v>1</v>
      </c>
      <c r="AN12" s="36">
        <f t="shared" ref="AN12:AN75" si="4">COUNTIF(E12:AH12,"OFF")</f>
        <v>0</v>
      </c>
      <c r="AO12" s="48">
        <f t="shared" ref="AO12:AO75" si="5">SUM(AJ12:AM12)</f>
        <v>4</v>
      </c>
      <c r="AP12" s="38" t="s">
        <v>197</v>
      </c>
      <c r="AQ12" s="38">
        <v>16</v>
      </c>
      <c r="AR12" s="39">
        <f t="shared" ref="AR12:AR75" si="6">AO12/AQ12</f>
        <v>0.25</v>
      </c>
    </row>
    <row r="13" s="105" customFormat="1" ht="20.15" customHeight="1" spans="1:44">
      <c r="A13" s="68">
        <v>2</v>
      </c>
      <c r="B13" s="149" t="s">
        <v>17</v>
      </c>
      <c r="C13" s="149" t="s">
        <v>16</v>
      </c>
      <c r="D13" s="149" t="str">
        <f>VLOOKUP(B13,'[1]MASTER DATA 2025'!$C$3:$E$279,3,0)</f>
        <v>0Tahun9 Bulan</v>
      </c>
      <c r="E13" s="96"/>
      <c r="F13" s="96"/>
      <c r="G13" s="96"/>
      <c r="H13" s="96"/>
      <c r="I13" s="96"/>
      <c r="J13" s="96"/>
      <c r="K13" s="96"/>
      <c r="L13" s="96"/>
      <c r="M13" s="96"/>
      <c r="N13" s="96" t="s">
        <v>11</v>
      </c>
      <c r="O13" s="96" t="s">
        <v>11</v>
      </c>
      <c r="P13" s="96"/>
      <c r="Q13" s="96"/>
      <c r="R13" s="96"/>
      <c r="S13" s="96"/>
      <c r="T13" s="259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J13" s="151">
        <f t="shared" si="0"/>
        <v>0</v>
      </c>
      <c r="AK13" s="35">
        <f t="shared" si="1"/>
        <v>2</v>
      </c>
      <c r="AL13" s="36">
        <f t="shared" si="2"/>
        <v>0</v>
      </c>
      <c r="AM13" s="35">
        <f t="shared" si="3"/>
        <v>0</v>
      </c>
      <c r="AN13" s="36">
        <f t="shared" si="4"/>
        <v>0</v>
      </c>
      <c r="AO13" s="37">
        <f t="shared" si="5"/>
        <v>2</v>
      </c>
      <c r="AP13" s="37" t="s">
        <v>198</v>
      </c>
      <c r="AQ13" s="38">
        <v>16</v>
      </c>
      <c r="AR13" s="39">
        <f t="shared" si="6"/>
        <v>0.125</v>
      </c>
    </row>
    <row r="14" s="105" customFormat="1" ht="20.15" customHeight="1" spans="1:44">
      <c r="A14" s="68">
        <v>3</v>
      </c>
      <c r="B14" s="149" t="s">
        <v>116</v>
      </c>
      <c r="C14" s="150" t="s">
        <v>59</v>
      </c>
      <c r="D14" s="152" t="s">
        <v>199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259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J14" s="151">
        <f t="shared" si="0"/>
        <v>0</v>
      </c>
      <c r="AK14" s="35">
        <f t="shared" si="1"/>
        <v>0</v>
      </c>
      <c r="AL14" s="35">
        <f t="shared" si="2"/>
        <v>0</v>
      </c>
      <c r="AM14" s="47">
        <f t="shared" si="3"/>
        <v>0</v>
      </c>
      <c r="AN14" s="36">
        <f t="shared" si="4"/>
        <v>0</v>
      </c>
      <c r="AO14" s="48">
        <f t="shared" si="5"/>
        <v>0</v>
      </c>
      <c r="AP14" s="49" t="s">
        <v>200</v>
      </c>
      <c r="AQ14" s="38">
        <v>16</v>
      </c>
      <c r="AR14" s="39">
        <f t="shared" si="6"/>
        <v>0</v>
      </c>
    </row>
    <row r="15" s="105" customFormat="1" ht="20.15" customHeight="1" spans="1:44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259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J15" s="151">
        <f t="shared" si="0"/>
        <v>0</v>
      </c>
      <c r="AK15" s="35">
        <f t="shared" si="1"/>
        <v>0</v>
      </c>
      <c r="AL15" s="36">
        <f t="shared" si="2"/>
        <v>0</v>
      </c>
      <c r="AM15" s="36">
        <f t="shared" si="3"/>
        <v>0</v>
      </c>
      <c r="AN15" s="36">
        <f t="shared" si="4"/>
        <v>0</v>
      </c>
      <c r="AO15" s="37">
        <f t="shared" si="5"/>
        <v>0</v>
      </c>
      <c r="AP15" s="37"/>
      <c r="AQ15" s="38">
        <v>16</v>
      </c>
      <c r="AR15" s="39">
        <f t="shared" si="6"/>
        <v>0</v>
      </c>
    </row>
    <row r="16" s="105" customFormat="1" ht="20.15" customHeight="1" spans="1:44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 t="s">
        <v>11</v>
      </c>
      <c r="T16" s="259"/>
      <c r="U16" s="96" t="s">
        <v>13</v>
      </c>
      <c r="V16" s="96"/>
      <c r="W16" s="96"/>
      <c r="X16" s="96"/>
      <c r="Y16" s="96"/>
      <c r="Z16" s="96"/>
      <c r="AA16" s="96"/>
      <c r="AB16" s="96"/>
      <c r="AC16" s="96" t="s">
        <v>11</v>
      </c>
      <c r="AD16" s="96"/>
      <c r="AE16" s="96"/>
      <c r="AF16" s="96"/>
      <c r="AG16" s="96"/>
      <c r="AH16" s="96"/>
      <c r="AJ16" s="151">
        <f t="shared" si="0"/>
        <v>0</v>
      </c>
      <c r="AK16" s="35">
        <f t="shared" si="1"/>
        <v>2</v>
      </c>
      <c r="AL16" s="36">
        <f t="shared" si="2"/>
        <v>0</v>
      </c>
      <c r="AM16" s="36">
        <f t="shared" si="3"/>
        <v>1</v>
      </c>
      <c r="AN16" s="36">
        <f t="shared" si="4"/>
        <v>0</v>
      </c>
      <c r="AO16" s="37">
        <f t="shared" si="5"/>
        <v>3</v>
      </c>
      <c r="AP16" s="52"/>
      <c r="AQ16" s="38">
        <v>16</v>
      </c>
      <c r="AR16" s="39">
        <f t="shared" si="6"/>
        <v>0.1875</v>
      </c>
    </row>
    <row r="17" s="105" customFormat="1" ht="20.15" customHeight="1" spans="1:44">
      <c r="A17" s="68">
        <v>6</v>
      </c>
      <c r="B17" s="154" t="s">
        <v>23</v>
      </c>
      <c r="C17" s="154" t="s">
        <v>16</v>
      </c>
      <c r="D17" s="149" t="str">
        <f>VLOOKUP(B17,'[1]MASTER DATA 2025'!$C$3:$E$279,3,0)</f>
        <v>1Tahun4 Bulan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259"/>
      <c r="U17" s="96"/>
      <c r="V17" s="96"/>
      <c r="W17" s="96"/>
      <c r="X17" s="96"/>
      <c r="Y17" s="96"/>
      <c r="Z17" s="96"/>
      <c r="AA17" s="96"/>
      <c r="AB17" s="96"/>
      <c r="AC17" s="96" t="s">
        <v>13</v>
      </c>
      <c r="AD17" s="96"/>
      <c r="AE17" s="96"/>
      <c r="AF17" s="96"/>
      <c r="AG17" s="96"/>
      <c r="AH17" s="96"/>
      <c r="AJ17" s="151">
        <f t="shared" si="0"/>
        <v>0</v>
      </c>
      <c r="AK17" s="35">
        <f t="shared" si="1"/>
        <v>0</v>
      </c>
      <c r="AL17" s="36">
        <f t="shared" si="2"/>
        <v>0</v>
      </c>
      <c r="AM17" s="35">
        <f t="shared" si="3"/>
        <v>1</v>
      </c>
      <c r="AN17" s="36">
        <f t="shared" si="4"/>
        <v>0</v>
      </c>
      <c r="AO17" s="37">
        <f t="shared" si="5"/>
        <v>1</v>
      </c>
      <c r="AP17" s="37" t="s">
        <v>25</v>
      </c>
      <c r="AQ17" s="38">
        <v>16</v>
      </c>
      <c r="AR17" s="39">
        <f t="shared" si="6"/>
        <v>0.0625</v>
      </c>
    </row>
    <row r="18" s="105" customFormat="1" ht="20.15" customHeight="1" spans="1:44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259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J18" s="151">
        <f t="shared" si="0"/>
        <v>0</v>
      </c>
      <c r="AK18" s="36">
        <f t="shared" si="1"/>
        <v>0</v>
      </c>
      <c r="AL18" s="35">
        <f t="shared" si="2"/>
        <v>0</v>
      </c>
      <c r="AM18" s="36">
        <f t="shared" si="3"/>
        <v>0</v>
      </c>
      <c r="AN18" s="36">
        <f t="shared" si="4"/>
        <v>0</v>
      </c>
      <c r="AO18" s="37">
        <f t="shared" si="5"/>
        <v>0</v>
      </c>
      <c r="AP18" s="37"/>
      <c r="AQ18" s="38">
        <v>16</v>
      </c>
      <c r="AR18" s="39">
        <f t="shared" si="6"/>
        <v>0</v>
      </c>
    </row>
    <row r="19" s="105" customFormat="1" ht="20.15" customHeight="1" spans="1:44">
      <c r="A19" s="68">
        <v>8</v>
      </c>
      <c r="B19" s="154" t="s">
        <v>26</v>
      </c>
      <c r="C19" s="150" t="s">
        <v>16</v>
      </c>
      <c r="D19" s="149" t="str">
        <f>VLOOKUP(B19,'[1]MASTER DATA 2025'!$C$3:$E$279,3,0)</f>
        <v>0Tahun3 Bulan</v>
      </c>
      <c r="E19" s="260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259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J19" s="151">
        <f t="shared" si="0"/>
        <v>0</v>
      </c>
      <c r="AK19" s="35">
        <f t="shared" si="1"/>
        <v>0</v>
      </c>
      <c r="AL19" s="36">
        <f t="shared" si="2"/>
        <v>0</v>
      </c>
      <c r="AM19" s="36">
        <f t="shared" si="3"/>
        <v>0</v>
      </c>
      <c r="AN19" s="36">
        <f t="shared" si="4"/>
        <v>0</v>
      </c>
      <c r="AO19" s="37">
        <f t="shared" si="5"/>
        <v>0</v>
      </c>
      <c r="AP19" s="37" t="s">
        <v>25</v>
      </c>
      <c r="AQ19" s="38">
        <v>16</v>
      </c>
      <c r="AR19" s="39">
        <f t="shared" si="6"/>
        <v>0</v>
      </c>
    </row>
    <row r="20" s="105" customFormat="1" ht="20.25" customHeight="1" spans="1:44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260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259" t="s">
        <v>13</v>
      </c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J20" s="151">
        <f t="shared" si="0"/>
        <v>0</v>
      </c>
      <c r="AK20" s="35">
        <f t="shared" si="1"/>
        <v>0</v>
      </c>
      <c r="AL20" s="36">
        <f t="shared" si="2"/>
        <v>0</v>
      </c>
      <c r="AM20" s="36">
        <f t="shared" si="3"/>
        <v>1</v>
      </c>
      <c r="AN20" s="36">
        <f t="shared" si="4"/>
        <v>0</v>
      </c>
      <c r="AO20" s="37">
        <f t="shared" si="5"/>
        <v>1</v>
      </c>
      <c r="AP20" s="52" t="s">
        <v>201</v>
      </c>
      <c r="AQ20" s="38">
        <v>16</v>
      </c>
      <c r="AR20" s="39">
        <f t="shared" si="6"/>
        <v>0.0625</v>
      </c>
    </row>
    <row r="21" s="105" customFormat="1" ht="20.15" customHeight="1" spans="1:44">
      <c r="A21" s="68">
        <v>10</v>
      </c>
      <c r="B21" s="154" t="s">
        <v>28</v>
      </c>
      <c r="C21" s="150" t="s">
        <v>16</v>
      </c>
      <c r="D21" s="149" t="str">
        <f>VLOOKUP(B21,'[1]MASTER DATA 2025'!$C$3:$E$279,3,0)</f>
        <v>0Tahun7 Bulan</v>
      </c>
      <c r="E21" s="260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259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J21" s="151">
        <f t="shared" si="0"/>
        <v>0</v>
      </c>
      <c r="AK21" s="35">
        <f t="shared" si="1"/>
        <v>0</v>
      </c>
      <c r="AL21" s="36">
        <f t="shared" si="2"/>
        <v>0</v>
      </c>
      <c r="AM21" s="36">
        <f t="shared" si="3"/>
        <v>0</v>
      </c>
      <c r="AN21" s="36">
        <f t="shared" si="4"/>
        <v>0</v>
      </c>
      <c r="AO21" s="37">
        <f t="shared" si="5"/>
        <v>0</v>
      </c>
      <c r="AP21" s="37" t="s">
        <v>25</v>
      </c>
      <c r="AQ21" s="38">
        <v>16</v>
      </c>
      <c r="AR21" s="39">
        <f t="shared" si="6"/>
        <v>0</v>
      </c>
    </row>
    <row r="22" s="105" customFormat="1" ht="20.15" customHeight="1" spans="1:44">
      <c r="A22" s="68">
        <v>11</v>
      </c>
      <c r="B22" s="155" t="s">
        <v>29</v>
      </c>
      <c r="C22" s="150" t="s">
        <v>16</v>
      </c>
      <c r="D22" s="149" t="s">
        <v>163</v>
      </c>
      <c r="E22" s="260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 t="s">
        <v>11</v>
      </c>
      <c r="S22" s="96"/>
      <c r="T22" s="259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J22" s="151">
        <f t="shared" si="0"/>
        <v>0</v>
      </c>
      <c r="AK22" s="35">
        <f t="shared" si="1"/>
        <v>1</v>
      </c>
      <c r="AL22" s="36">
        <f t="shared" si="2"/>
        <v>0</v>
      </c>
      <c r="AM22" s="36">
        <f t="shared" si="3"/>
        <v>0</v>
      </c>
      <c r="AN22" s="36">
        <f t="shared" si="4"/>
        <v>0</v>
      </c>
      <c r="AO22" s="37">
        <f t="shared" si="5"/>
        <v>1</v>
      </c>
      <c r="AP22" s="37" t="s">
        <v>202</v>
      </c>
      <c r="AQ22" s="38">
        <v>16</v>
      </c>
      <c r="AR22" s="39">
        <f t="shared" si="6"/>
        <v>0.0625</v>
      </c>
    </row>
    <row r="23" s="105" customFormat="1" ht="20.15" customHeight="1" spans="1:44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260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259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J23" s="151">
        <f t="shared" si="0"/>
        <v>0</v>
      </c>
      <c r="AK23" s="35">
        <f t="shared" si="1"/>
        <v>0</v>
      </c>
      <c r="AL23" s="35">
        <f t="shared" si="2"/>
        <v>0</v>
      </c>
      <c r="AM23" s="35">
        <f t="shared" si="3"/>
        <v>0</v>
      </c>
      <c r="AN23" s="36">
        <f t="shared" si="4"/>
        <v>0</v>
      </c>
      <c r="AO23" s="37">
        <f t="shared" si="5"/>
        <v>0</v>
      </c>
      <c r="AP23" s="37" t="s">
        <v>25</v>
      </c>
      <c r="AQ23" s="38">
        <v>16</v>
      </c>
      <c r="AR23" s="39">
        <f t="shared" si="6"/>
        <v>0</v>
      </c>
    </row>
    <row r="24" s="105" customFormat="1" ht="20.15" customHeight="1" spans="1:44">
      <c r="A24" s="68">
        <v>13</v>
      </c>
      <c r="B24" s="155" t="s">
        <v>31</v>
      </c>
      <c r="C24" s="150" t="s">
        <v>16</v>
      </c>
      <c r="D24" s="152" t="s">
        <v>203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259"/>
      <c r="U24" s="96"/>
      <c r="V24" s="96"/>
      <c r="W24" s="96"/>
      <c r="X24" s="96"/>
      <c r="Y24" s="96" t="s">
        <v>13</v>
      </c>
      <c r="Z24" s="96"/>
      <c r="AA24" s="96"/>
      <c r="AB24" s="96"/>
      <c r="AC24" s="96"/>
      <c r="AD24" s="96"/>
      <c r="AE24" s="96"/>
      <c r="AF24" s="96"/>
      <c r="AG24" s="96"/>
      <c r="AH24" s="96"/>
      <c r="AJ24" s="151">
        <f t="shared" si="0"/>
        <v>0</v>
      </c>
      <c r="AK24" s="35">
        <f t="shared" si="1"/>
        <v>0</v>
      </c>
      <c r="AL24" s="35">
        <f t="shared" si="2"/>
        <v>0</v>
      </c>
      <c r="AM24" s="36">
        <f t="shared" si="3"/>
        <v>1</v>
      </c>
      <c r="AN24" s="36">
        <f t="shared" si="4"/>
        <v>0</v>
      </c>
      <c r="AO24" s="37">
        <f t="shared" si="5"/>
        <v>1</v>
      </c>
      <c r="AP24" s="52" t="s">
        <v>204</v>
      </c>
      <c r="AQ24" s="38">
        <v>16</v>
      </c>
      <c r="AR24" s="39">
        <f t="shared" si="6"/>
        <v>0.0625</v>
      </c>
    </row>
    <row r="25" s="105" customFormat="1" ht="20.15" customHeight="1" spans="1:44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259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J25" s="151">
        <f t="shared" si="0"/>
        <v>0</v>
      </c>
      <c r="AK25" s="35">
        <f t="shared" si="1"/>
        <v>0</v>
      </c>
      <c r="AL25" s="35">
        <f t="shared" si="2"/>
        <v>0</v>
      </c>
      <c r="AM25" s="47">
        <f t="shared" si="3"/>
        <v>0</v>
      </c>
      <c r="AN25" s="36">
        <f t="shared" si="4"/>
        <v>0</v>
      </c>
      <c r="AO25" s="37">
        <f t="shared" si="5"/>
        <v>0</v>
      </c>
      <c r="AP25" s="38" t="s">
        <v>168</v>
      </c>
      <c r="AQ25" s="38">
        <v>16</v>
      </c>
      <c r="AR25" s="39">
        <f t="shared" si="6"/>
        <v>0</v>
      </c>
    </row>
    <row r="26" s="105" customFormat="1" ht="20.15" customHeight="1" spans="1:44">
      <c r="A26" s="68">
        <v>15</v>
      </c>
      <c r="B26" s="154" t="s">
        <v>33</v>
      </c>
      <c r="C26" s="150" t="s">
        <v>16</v>
      </c>
      <c r="D26" s="149" t="str">
        <f>VLOOKUP(B26,'[1]MASTER DATA 2025'!$C$3:$E$279,3,0)</f>
        <v>0Tahun3 Bulan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259" t="s">
        <v>13</v>
      </c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J26" s="151">
        <f t="shared" si="0"/>
        <v>0</v>
      </c>
      <c r="AK26" s="35">
        <f t="shared" si="1"/>
        <v>0</v>
      </c>
      <c r="AL26" s="36">
        <f t="shared" si="2"/>
        <v>0</v>
      </c>
      <c r="AM26" s="36">
        <f t="shared" si="3"/>
        <v>1</v>
      </c>
      <c r="AN26" s="36">
        <f t="shared" si="4"/>
        <v>0</v>
      </c>
      <c r="AO26" s="37">
        <f t="shared" si="5"/>
        <v>1</v>
      </c>
      <c r="AP26" s="52" t="s">
        <v>201</v>
      </c>
      <c r="AQ26" s="38">
        <v>16</v>
      </c>
      <c r="AR26" s="39">
        <f t="shared" si="6"/>
        <v>0.0625</v>
      </c>
    </row>
    <row r="27" s="105" customFormat="1" ht="20.15" customHeight="1" spans="1:44">
      <c r="A27" s="68">
        <v>16</v>
      </c>
      <c r="B27" s="154" t="s">
        <v>34</v>
      </c>
      <c r="C27" s="150" t="s">
        <v>16</v>
      </c>
      <c r="D27" s="149" t="str">
        <f>VLOOKUP(B27,'[1]MASTER DATA 2025'!$C$3:$E$279,3,0)</f>
        <v>0Tahun8 Bulan</v>
      </c>
      <c r="E27" s="96"/>
      <c r="F27" s="96"/>
      <c r="G27" s="96"/>
      <c r="H27" s="96"/>
      <c r="I27" s="96" t="s">
        <v>11</v>
      </c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259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J27" s="151">
        <f t="shared" si="0"/>
        <v>0</v>
      </c>
      <c r="AK27" s="35">
        <f t="shared" si="1"/>
        <v>1</v>
      </c>
      <c r="AL27" s="36">
        <f t="shared" si="2"/>
        <v>0</v>
      </c>
      <c r="AM27" s="36">
        <f t="shared" si="3"/>
        <v>0</v>
      </c>
      <c r="AN27" s="36">
        <f t="shared" si="4"/>
        <v>0</v>
      </c>
      <c r="AO27" s="37">
        <f t="shared" si="5"/>
        <v>1</v>
      </c>
      <c r="AP27" s="37" t="s">
        <v>25</v>
      </c>
      <c r="AQ27" s="38">
        <v>16</v>
      </c>
      <c r="AR27" s="39">
        <f t="shared" si="6"/>
        <v>0.0625</v>
      </c>
    </row>
    <row r="28" s="105" customFormat="1" ht="20.15" customHeight="1" spans="1:44">
      <c r="A28" s="68">
        <v>17</v>
      </c>
      <c r="B28" s="154" t="s">
        <v>35</v>
      </c>
      <c r="C28" s="150" t="s">
        <v>16</v>
      </c>
      <c r="D28" s="149" t="s">
        <v>205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 t="s">
        <v>11</v>
      </c>
      <c r="S28" s="96"/>
      <c r="T28" s="259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 t="s">
        <v>11</v>
      </c>
      <c r="AG28" s="96"/>
      <c r="AH28" s="96"/>
      <c r="AJ28" s="151">
        <f t="shared" si="0"/>
        <v>0</v>
      </c>
      <c r="AK28" s="35">
        <f t="shared" si="1"/>
        <v>2</v>
      </c>
      <c r="AL28" s="36">
        <f t="shared" si="2"/>
        <v>0</v>
      </c>
      <c r="AM28" s="36">
        <f t="shared" si="3"/>
        <v>0</v>
      </c>
      <c r="AN28" s="36">
        <f t="shared" si="4"/>
        <v>0</v>
      </c>
      <c r="AO28" s="37">
        <f t="shared" si="5"/>
        <v>2</v>
      </c>
      <c r="AP28" s="37" t="s">
        <v>206</v>
      </c>
      <c r="AQ28" s="38">
        <v>16</v>
      </c>
      <c r="AR28" s="39">
        <f t="shared" si="6"/>
        <v>0.125</v>
      </c>
    </row>
    <row r="29" s="105" customFormat="1" ht="20.15" customHeight="1" spans="1:44">
      <c r="A29" s="68">
        <v>18</v>
      </c>
      <c r="B29" s="149" t="s">
        <v>36</v>
      </c>
      <c r="C29" s="150" t="s">
        <v>20</v>
      </c>
      <c r="D29" s="149" t="str">
        <f>VLOOKUP(B29,'[1]MASTER DATA 2025'!$C$3:$E$279,3,0)</f>
        <v>0Tahun7 Bulan</v>
      </c>
      <c r="E29" s="96"/>
      <c r="F29" s="96"/>
      <c r="G29" s="96"/>
      <c r="H29" s="96"/>
      <c r="I29" s="96"/>
      <c r="J29" s="96"/>
      <c r="K29" s="96"/>
      <c r="L29" s="96"/>
      <c r="M29" s="96"/>
      <c r="N29" s="96" t="s">
        <v>13</v>
      </c>
      <c r="O29" s="96" t="s">
        <v>13</v>
      </c>
      <c r="P29" s="96"/>
      <c r="Q29" s="96"/>
      <c r="R29" s="96"/>
      <c r="S29" s="96"/>
      <c r="T29" s="259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J29" s="151">
        <f t="shared" si="0"/>
        <v>0</v>
      </c>
      <c r="AK29" s="35">
        <f t="shared" si="1"/>
        <v>0</v>
      </c>
      <c r="AL29" s="35">
        <f t="shared" si="2"/>
        <v>0</v>
      </c>
      <c r="AM29" s="47">
        <f t="shared" si="3"/>
        <v>2</v>
      </c>
      <c r="AN29" s="36">
        <f t="shared" si="4"/>
        <v>0</v>
      </c>
      <c r="AO29" s="37">
        <f t="shared" si="5"/>
        <v>2</v>
      </c>
      <c r="AP29" s="38" t="s">
        <v>207</v>
      </c>
      <c r="AQ29" s="38">
        <v>16</v>
      </c>
      <c r="AR29" s="39">
        <f t="shared" si="6"/>
        <v>0.125</v>
      </c>
    </row>
    <row r="30" s="105" customFormat="1" ht="20.15" customHeight="1" spans="1:44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96"/>
      <c r="F30" s="96"/>
      <c r="G30" s="96"/>
      <c r="H30" s="96"/>
      <c r="I30" s="96"/>
      <c r="J30" s="96"/>
      <c r="K30" s="96" t="s">
        <v>11</v>
      </c>
      <c r="L30" s="96"/>
      <c r="M30" s="96"/>
      <c r="N30" s="96"/>
      <c r="O30" s="96"/>
      <c r="P30" s="96"/>
      <c r="Q30" s="96"/>
      <c r="R30" s="96"/>
      <c r="S30" s="96"/>
      <c r="T30" s="259"/>
      <c r="U30" s="96" t="s">
        <v>12</v>
      </c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J30" s="151">
        <f t="shared" si="0"/>
        <v>0</v>
      </c>
      <c r="AK30" s="35">
        <f t="shared" si="1"/>
        <v>1</v>
      </c>
      <c r="AL30" s="35">
        <f t="shared" si="2"/>
        <v>1</v>
      </c>
      <c r="AM30" s="35">
        <f t="shared" si="3"/>
        <v>0</v>
      </c>
      <c r="AN30" s="36">
        <f t="shared" si="4"/>
        <v>0</v>
      </c>
      <c r="AO30" s="37">
        <f t="shared" si="5"/>
        <v>2</v>
      </c>
      <c r="AP30" s="52" t="s">
        <v>208</v>
      </c>
      <c r="AQ30" s="38">
        <v>16</v>
      </c>
      <c r="AR30" s="39">
        <f t="shared" si="6"/>
        <v>0.125</v>
      </c>
    </row>
    <row r="31" s="105" customFormat="1" ht="20.15" customHeight="1" spans="1:44">
      <c r="A31" s="68">
        <v>20</v>
      </c>
      <c r="B31" s="154" t="s">
        <v>39</v>
      </c>
      <c r="C31" s="150" t="s">
        <v>16</v>
      </c>
      <c r="D31" s="149" t="str">
        <f>VLOOKUP(B31,'[1]MASTER DATA 2025'!$C$3:$E$279,3,0)</f>
        <v>0Tahun9 Bulan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259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 t="s">
        <v>11</v>
      </c>
      <c r="AF31" s="96" t="s">
        <v>11</v>
      </c>
      <c r="AG31" s="96"/>
      <c r="AH31" s="96"/>
      <c r="AJ31" s="151">
        <f t="shared" si="0"/>
        <v>0</v>
      </c>
      <c r="AK31" s="35">
        <f t="shared" si="1"/>
        <v>2</v>
      </c>
      <c r="AL31" s="36">
        <f t="shared" si="2"/>
        <v>0</v>
      </c>
      <c r="AM31" s="36">
        <f t="shared" si="3"/>
        <v>0</v>
      </c>
      <c r="AN31" s="36">
        <f t="shared" si="4"/>
        <v>0</v>
      </c>
      <c r="AO31" s="37">
        <f t="shared" si="5"/>
        <v>2</v>
      </c>
      <c r="AP31" s="37" t="s">
        <v>209</v>
      </c>
      <c r="AQ31" s="38">
        <v>16</v>
      </c>
      <c r="AR31" s="39">
        <f t="shared" si="6"/>
        <v>0.125</v>
      </c>
    </row>
    <row r="32" s="105" customFormat="1" ht="20.15" customHeight="1" spans="1:44">
      <c r="A32" s="68">
        <v>21</v>
      </c>
      <c r="B32" s="154" t="s">
        <v>41</v>
      </c>
      <c r="C32" s="150" t="s">
        <v>16</v>
      </c>
      <c r="D32" s="149" t="str">
        <f>VLOOKUP(B32,'[1]MASTER DATA 2025'!$C$3:$E$279,3,0)</f>
        <v>0Tahun2 Bulan</v>
      </c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 t="s">
        <v>13</v>
      </c>
      <c r="T32" s="259"/>
      <c r="U32" s="96"/>
      <c r="V32" s="96"/>
      <c r="W32" s="96"/>
      <c r="X32" s="96"/>
      <c r="Y32" s="96"/>
      <c r="Z32" s="96"/>
      <c r="AA32" s="96"/>
      <c r="AB32" s="96"/>
      <c r="AC32" s="96" t="s">
        <v>13</v>
      </c>
      <c r="AD32" s="96"/>
      <c r="AE32" s="96"/>
      <c r="AF32" s="96"/>
      <c r="AG32" s="96"/>
      <c r="AH32" s="96"/>
      <c r="AJ32" s="151">
        <f t="shared" si="0"/>
        <v>0</v>
      </c>
      <c r="AK32" s="35">
        <f t="shared" si="1"/>
        <v>0</v>
      </c>
      <c r="AL32" s="35">
        <f t="shared" si="2"/>
        <v>0</v>
      </c>
      <c r="AM32" s="36">
        <f t="shared" si="3"/>
        <v>2</v>
      </c>
      <c r="AN32" s="36">
        <f t="shared" si="4"/>
        <v>0</v>
      </c>
      <c r="AO32" s="37">
        <f t="shared" si="5"/>
        <v>2</v>
      </c>
      <c r="AP32" s="52" t="s">
        <v>171</v>
      </c>
      <c r="AQ32" s="38">
        <v>16</v>
      </c>
      <c r="AR32" s="39">
        <f t="shared" si="6"/>
        <v>0.125</v>
      </c>
    </row>
    <row r="33" s="105" customFormat="1" ht="20.15" customHeight="1" spans="1:44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259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J33" s="151">
        <f t="shared" si="0"/>
        <v>0</v>
      </c>
      <c r="AK33" s="35">
        <f t="shared" si="1"/>
        <v>0</v>
      </c>
      <c r="AL33" s="36">
        <f t="shared" si="2"/>
        <v>0</v>
      </c>
      <c r="AM33" s="36">
        <f t="shared" si="3"/>
        <v>0</v>
      </c>
      <c r="AN33" s="36">
        <f t="shared" si="4"/>
        <v>0</v>
      </c>
      <c r="AO33" s="37">
        <f t="shared" si="5"/>
        <v>0</v>
      </c>
      <c r="AP33" s="37"/>
      <c r="AQ33" s="38">
        <v>16</v>
      </c>
      <c r="AR33" s="39">
        <f t="shared" si="6"/>
        <v>0</v>
      </c>
    </row>
    <row r="34" s="105" customFormat="1" ht="20.15" customHeight="1" spans="1:44">
      <c r="A34" s="68">
        <v>23</v>
      </c>
      <c r="B34" s="157" t="s">
        <v>44</v>
      </c>
      <c r="C34" s="150" t="s">
        <v>16</v>
      </c>
      <c r="D34" s="149" t="str">
        <f>VLOOKUP(B34,'[1]MASTER DATA 2025'!$C$3:$E$279,3,0)</f>
        <v>2Tahun3 Bulan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259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J34" s="151">
        <f t="shared" si="0"/>
        <v>0</v>
      </c>
      <c r="AK34" s="35">
        <f t="shared" si="1"/>
        <v>0</v>
      </c>
      <c r="AL34" s="35">
        <f t="shared" si="2"/>
        <v>0</v>
      </c>
      <c r="AM34" s="36">
        <f t="shared" si="3"/>
        <v>0</v>
      </c>
      <c r="AN34" s="36">
        <f t="shared" si="4"/>
        <v>0</v>
      </c>
      <c r="AO34" s="37">
        <f t="shared" si="5"/>
        <v>0</v>
      </c>
      <c r="AP34" s="37"/>
      <c r="AQ34" s="38">
        <v>16</v>
      </c>
      <c r="AR34" s="39">
        <f t="shared" si="6"/>
        <v>0</v>
      </c>
    </row>
    <row r="35" s="105" customFormat="1" ht="20.15" customHeight="1" spans="1:44">
      <c r="A35" s="68">
        <v>24</v>
      </c>
      <c r="B35" s="249" t="s">
        <v>117</v>
      </c>
      <c r="C35" s="150" t="s">
        <v>16</v>
      </c>
      <c r="D35" s="149" t="str">
        <f>VLOOKUP(B35,'[1]MASTER DATA 2025'!$C$3:$E$279,3,0)</f>
        <v>2Tahun8 Bulan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 t="s">
        <v>11</v>
      </c>
      <c r="R35" s="96"/>
      <c r="S35" s="96"/>
      <c r="T35" s="259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 t="s">
        <v>13</v>
      </c>
      <c r="AF35" s="96"/>
      <c r="AG35" s="96" t="s">
        <v>12</v>
      </c>
      <c r="AH35" s="96"/>
      <c r="AJ35" s="151">
        <f t="shared" si="0"/>
        <v>0</v>
      </c>
      <c r="AK35" s="35">
        <f t="shared" si="1"/>
        <v>1</v>
      </c>
      <c r="AL35" s="36">
        <f t="shared" si="2"/>
        <v>1</v>
      </c>
      <c r="AM35" s="35">
        <f t="shared" si="3"/>
        <v>1</v>
      </c>
      <c r="AN35" s="36">
        <f t="shared" si="4"/>
        <v>0</v>
      </c>
      <c r="AO35" s="37">
        <f t="shared" si="5"/>
        <v>3</v>
      </c>
      <c r="AP35" s="52" t="s">
        <v>210</v>
      </c>
      <c r="AQ35" s="38">
        <v>16</v>
      </c>
      <c r="AR35" s="39">
        <f t="shared" si="6"/>
        <v>0.1875</v>
      </c>
    </row>
    <row r="36" s="105" customFormat="1" ht="20.15" customHeight="1" spans="1:44">
      <c r="A36" s="68">
        <v>25</v>
      </c>
      <c r="B36" s="153" t="s">
        <v>46</v>
      </c>
      <c r="C36" s="150" t="s">
        <v>16</v>
      </c>
      <c r="D36" s="149" t="str">
        <f>VLOOKUP(B36,'[1]MASTER DATA 2025'!$C$3:$E$279,3,0)</f>
        <v>0Tahun3 Bulan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259"/>
      <c r="U36" s="96"/>
      <c r="V36" s="96"/>
      <c r="W36" s="96"/>
      <c r="X36" s="96"/>
      <c r="Y36" s="96"/>
      <c r="Z36" s="96" t="s">
        <v>11</v>
      </c>
      <c r="AA36" s="96"/>
      <c r="AB36" s="96"/>
      <c r="AC36" s="96"/>
      <c r="AD36" s="96"/>
      <c r="AE36" s="96"/>
      <c r="AF36" s="96"/>
      <c r="AG36" s="96"/>
      <c r="AH36" s="96"/>
      <c r="AJ36" s="151">
        <f t="shared" si="0"/>
        <v>0</v>
      </c>
      <c r="AK36" s="35">
        <f t="shared" si="1"/>
        <v>1</v>
      </c>
      <c r="AL36" s="35">
        <f t="shared" si="2"/>
        <v>0</v>
      </c>
      <c r="AM36" s="35">
        <f t="shared" si="3"/>
        <v>0</v>
      </c>
      <c r="AN36" s="36">
        <f t="shared" si="4"/>
        <v>0</v>
      </c>
      <c r="AO36" s="37">
        <f t="shared" si="5"/>
        <v>1</v>
      </c>
      <c r="AP36" s="37" t="s">
        <v>25</v>
      </c>
      <c r="AQ36" s="38">
        <v>16</v>
      </c>
      <c r="AR36" s="39">
        <f t="shared" si="6"/>
        <v>0.0625</v>
      </c>
    </row>
    <row r="37" s="105" customFormat="1" ht="20.15" customHeight="1" spans="1:44">
      <c r="A37" s="68">
        <v>26</v>
      </c>
      <c r="B37" s="149" t="s">
        <v>47</v>
      </c>
      <c r="C37" s="150" t="s">
        <v>211</v>
      </c>
      <c r="D37" s="152" t="s">
        <v>212</v>
      </c>
      <c r="E37" s="96"/>
      <c r="F37" s="96"/>
      <c r="G37" s="96" t="s">
        <v>13</v>
      </c>
      <c r="H37" s="96"/>
      <c r="I37" s="96"/>
      <c r="J37" s="96" t="s">
        <v>13</v>
      </c>
      <c r="K37" s="96"/>
      <c r="L37" s="96"/>
      <c r="M37" s="96"/>
      <c r="N37" s="96"/>
      <c r="O37" s="96"/>
      <c r="P37" s="96"/>
      <c r="Q37" s="96"/>
      <c r="R37" s="96"/>
      <c r="S37" s="96"/>
      <c r="T37" s="259" t="s">
        <v>13</v>
      </c>
      <c r="U37" s="96" t="s">
        <v>13</v>
      </c>
      <c r="V37" s="96"/>
      <c r="W37" s="96"/>
      <c r="X37" s="96" t="s">
        <v>13</v>
      </c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J37" s="151">
        <f t="shared" si="0"/>
        <v>0</v>
      </c>
      <c r="AK37" s="35">
        <f t="shared" si="1"/>
        <v>0</v>
      </c>
      <c r="AL37" s="36">
        <f t="shared" si="2"/>
        <v>0</v>
      </c>
      <c r="AM37" s="36">
        <f t="shared" si="3"/>
        <v>5</v>
      </c>
      <c r="AN37" s="36">
        <f t="shared" si="4"/>
        <v>0</v>
      </c>
      <c r="AO37" s="37">
        <f t="shared" si="5"/>
        <v>5</v>
      </c>
      <c r="AP37" s="52" t="s">
        <v>201</v>
      </c>
      <c r="AQ37" s="38">
        <v>16</v>
      </c>
      <c r="AR37" s="39">
        <f t="shared" si="6"/>
        <v>0.3125</v>
      </c>
    </row>
    <row r="38" s="105" customFormat="1" ht="20.15" customHeight="1" spans="1:44">
      <c r="A38" s="68">
        <v>27</v>
      </c>
      <c r="B38" s="149" t="s">
        <v>48</v>
      </c>
      <c r="C38" s="150" t="s">
        <v>16</v>
      </c>
      <c r="D38" s="149" t="str">
        <f>VLOOKUP(B38,'[1]MASTER DATA 2025'!$C$3:$E$279,3,0)</f>
        <v>0Tahun9 Bulan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259"/>
      <c r="U38" s="96" t="s">
        <v>13</v>
      </c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J38" s="151">
        <f t="shared" si="0"/>
        <v>0</v>
      </c>
      <c r="AK38" s="35">
        <f t="shared" si="1"/>
        <v>0</v>
      </c>
      <c r="AL38" s="35">
        <f t="shared" si="2"/>
        <v>0</v>
      </c>
      <c r="AM38" s="47">
        <f t="shared" si="3"/>
        <v>1</v>
      </c>
      <c r="AN38" s="36">
        <f t="shared" si="4"/>
        <v>0</v>
      </c>
      <c r="AO38" s="37">
        <f t="shared" si="5"/>
        <v>1</v>
      </c>
      <c r="AP38" s="52" t="s">
        <v>201</v>
      </c>
      <c r="AQ38" s="38">
        <v>16</v>
      </c>
      <c r="AR38" s="39">
        <f t="shared" si="6"/>
        <v>0.0625</v>
      </c>
    </row>
    <row r="39" s="105" customFormat="1" ht="20.15" customHeight="1" spans="1:44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259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J39" s="151">
        <f t="shared" si="0"/>
        <v>0</v>
      </c>
      <c r="AK39" s="35">
        <f t="shared" si="1"/>
        <v>0</v>
      </c>
      <c r="AL39" s="36">
        <f t="shared" si="2"/>
        <v>0</v>
      </c>
      <c r="AM39" s="35">
        <f t="shared" si="3"/>
        <v>0</v>
      </c>
      <c r="AN39" s="36">
        <f t="shared" si="4"/>
        <v>0</v>
      </c>
      <c r="AO39" s="37">
        <f t="shared" si="5"/>
        <v>0</v>
      </c>
      <c r="AP39" s="49" t="s">
        <v>118</v>
      </c>
      <c r="AQ39" s="38">
        <v>16</v>
      </c>
      <c r="AR39" s="39">
        <f t="shared" si="6"/>
        <v>0</v>
      </c>
    </row>
    <row r="40" s="105" customFormat="1" ht="20.15" customHeight="1" spans="1:44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96"/>
      <c r="F40" s="96"/>
      <c r="G40" s="96"/>
      <c r="H40" s="96"/>
      <c r="I40" s="96"/>
      <c r="J40" s="96"/>
      <c r="K40" s="96" t="s">
        <v>12</v>
      </c>
      <c r="L40" s="96"/>
      <c r="M40" s="96"/>
      <c r="N40" s="96"/>
      <c r="O40" s="96"/>
      <c r="P40" s="96"/>
      <c r="Q40" s="96"/>
      <c r="R40" s="96"/>
      <c r="S40" s="96"/>
      <c r="T40" s="259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J40" s="151">
        <f t="shared" si="0"/>
        <v>0</v>
      </c>
      <c r="AK40" s="35">
        <f t="shared" si="1"/>
        <v>0</v>
      </c>
      <c r="AL40" s="36">
        <f t="shared" si="2"/>
        <v>1</v>
      </c>
      <c r="AM40" s="36">
        <f t="shared" si="3"/>
        <v>0</v>
      </c>
      <c r="AN40" s="36">
        <f t="shared" si="4"/>
        <v>0</v>
      </c>
      <c r="AO40" s="128">
        <f t="shared" si="5"/>
        <v>1</v>
      </c>
      <c r="AP40" s="52"/>
      <c r="AQ40" s="38">
        <v>16</v>
      </c>
      <c r="AR40" s="72">
        <f t="shared" si="6"/>
        <v>0.0625</v>
      </c>
    </row>
    <row r="41" s="105" customFormat="1" ht="20.15" customHeight="1" spans="1:44">
      <c r="A41" s="68">
        <v>30</v>
      </c>
      <c r="B41" s="154" t="s">
        <v>51</v>
      </c>
      <c r="C41" s="150" t="s">
        <v>16</v>
      </c>
      <c r="D41" s="149" t="str">
        <f>VLOOKUP(B41,'[1]MASTER DATA 2025'!$C$3:$E$279,3,0)</f>
        <v>0Tahun9 Bulan</v>
      </c>
      <c r="E41" s="96"/>
      <c r="F41" s="96"/>
      <c r="G41" s="96"/>
      <c r="H41" s="96"/>
      <c r="I41" s="96"/>
      <c r="J41" s="96"/>
      <c r="K41" s="96" t="s">
        <v>12</v>
      </c>
      <c r="L41" s="96"/>
      <c r="M41" s="96"/>
      <c r="N41" s="96"/>
      <c r="O41" s="96"/>
      <c r="P41" s="96"/>
      <c r="Q41" s="96"/>
      <c r="R41" s="96"/>
      <c r="S41" s="96"/>
      <c r="T41" s="259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J41" s="151">
        <f t="shared" si="0"/>
        <v>0</v>
      </c>
      <c r="AK41" s="35">
        <f t="shared" si="1"/>
        <v>0</v>
      </c>
      <c r="AL41" s="36">
        <f t="shared" si="2"/>
        <v>1</v>
      </c>
      <c r="AM41" s="36">
        <f t="shared" si="3"/>
        <v>0</v>
      </c>
      <c r="AN41" s="36">
        <f t="shared" si="4"/>
        <v>0</v>
      </c>
      <c r="AO41" s="37">
        <f t="shared" si="5"/>
        <v>1</v>
      </c>
      <c r="AP41" s="37" t="s">
        <v>25</v>
      </c>
      <c r="AQ41" s="38">
        <v>26</v>
      </c>
      <c r="AR41" s="39">
        <f t="shared" si="6"/>
        <v>0.0384615384615385</v>
      </c>
    </row>
    <row r="42" s="105" customFormat="1" ht="20.15" customHeight="1" spans="1:44">
      <c r="A42" s="68">
        <v>31</v>
      </c>
      <c r="B42" s="154" t="s">
        <v>52</v>
      </c>
      <c r="C42" s="150" t="s">
        <v>16</v>
      </c>
      <c r="D42" s="149" t="str">
        <f>VLOOKUP(B42,'[1]MASTER DATA 2025'!$C$3:$E$279,3,0)</f>
        <v>2Tahun3 Bulan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 t="s">
        <v>11</v>
      </c>
      <c r="P42" s="96"/>
      <c r="Q42" s="96"/>
      <c r="R42" s="96"/>
      <c r="S42" s="96"/>
      <c r="T42" s="259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J42" s="151">
        <f t="shared" si="0"/>
        <v>0</v>
      </c>
      <c r="AK42" s="35">
        <f t="shared" si="1"/>
        <v>1</v>
      </c>
      <c r="AL42" s="36">
        <f t="shared" si="2"/>
        <v>0</v>
      </c>
      <c r="AM42" s="36">
        <f t="shared" si="3"/>
        <v>0</v>
      </c>
      <c r="AN42" s="36">
        <f t="shared" si="4"/>
        <v>0</v>
      </c>
      <c r="AO42" s="37">
        <f t="shared" si="5"/>
        <v>1</v>
      </c>
      <c r="AP42" s="37" t="s">
        <v>198</v>
      </c>
      <c r="AQ42" s="38">
        <v>26</v>
      </c>
      <c r="AR42" s="39">
        <f t="shared" si="6"/>
        <v>0.0384615384615385</v>
      </c>
    </row>
    <row r="43" s="105" customFormat="1" ht="20.15" customHeight="1" spans="1:44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259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J43" s="151">
        <f t="shared" si="0"/>
        <v>0</v>
      </c>
      <c r="AK43" s="35">
        <f t="shared" si="1"/>
        <v>0</v>
      </c>
      <c r="AL43" s="36">
        <f t="shared" si="2"/>
        <v>0</v>
      </c>
      <c r="AM43" s="36">
        <f t="shared" si="3"/>
        <v>0</v>
      </c>
      <c r="AN43" s="36">
        <f t="shared" si="4"/>
        <v>0</v>
      </c>
      <c r="AO43" s="37">
        <f t="shared" si="5"/>
        <v>0</v>
      </c>
      <c r="AP43" s="37" t="s">
        <v>25</v>
      </c>
      <c r="AQ43" s="38">
        <v>26</v>
      </c>
      <c r="AR43" s="39">
        <f t="shared" si="6"/>
        <v>0</v>
      </c>
    </row>
    <row r="44" s="105" customFormat="1" ht="20.15" customHeight="1" spans="1:44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259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J44" s="151">
        <f t="shared" si="0"/>
        <v>0</v>
      </c>
      <c r="AK44" s="35">
        <f t="shared" si="1"/>
        <v>0</v>
      </c>
      <c r="AL44" s="36">
        <f t="shared" si="2"/>
        <v>0</v>
      </c>
      <c r="AM44" s="36">
        <f t="shared" si="3"/>
        <v>0</v>
      </c>
      <c r="AN44" s="36">
        <f t="shared" si="4"/>
        <v>0</v>
      </c>
      <c r="AO44" s="37">
        <f t="shared" si="5"/>
        <v>0</v>
      </c>
      <c r="AP44" s="37" t="s">
        <v>25</v>
      </c>
      <c r="AQ44" s="38">
        <v>26</v>
      </c>
      <c r="AR44" s="39">
        <f t="shared" si="6"/>
        <v>0</v>
      </c>
    </row>
    <row r="45" s="105" customFormat="1" ht="20.15" customHeight="1" spans="1:44">
      <c r="A45" s="68">
        <v>34</v>
      </c>
      <c r="B45" s="158" t="s">
        <v>55</v>
      </c>
      <c r="C45" s="150" t="s">
        <v>16</v>
      </c>
      <c r="D45" s="149" t="str">
        <f>VLOOKUP(B45,'[1]MASTER DATA 2025'!$C$3:$E$279,3,0)</f>
        <v>2Tahun1 Bulan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259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J45" s="151">
        <f t="shared" si="0"/>
        <v>0</v>
      </c>
      <c r="AK45" s="35">
        <f t="shared" si="1"/>
        <v>0</v>
      </c>
      <c r="AL45" s="36">
        <f t="shared" si="2"/>
        <v>0</v>
      </c>
      <c r="AM45" s="36">
        <f t="shared" si="3"/>
        <v>0</v>
      </c>
      <c r="AN45" s="36">
        <f t="shared" si="4"/>
        <v>0</v>
      </c>
      <c r="AO45" s="37">
        <f t="shared" si="5"/>
        <v>0</v>
      </c>
      <c r="AP45" s="37"/>
      <c r="AQ45" s="38">
        <v>26</v>
      </c>
      <c r="AR45" s="39">
        <f t="shared" si="6"/>
        <v>0</v>
      </c>
    </row>
    <row r="46" s="105" customFormat="1" ht="20.15" customHeight="1" spans="1:44">
      <c r="A46" s="68">
        <v>35</v>
      </c>
      <c r="B46" s="154" t="s">
        <v>56</v>
      </c>
      <c r="C46" s="150" t="s">
        <v>16</v>
      </c>
      <c r="D46" s="149" t="str">
        <f>VLOOKUP(B46,'[1]MASTER DATA 2025'!$C$3:$E$279,3,0)</f>
        <v>0Tahun11 Bulan</v>
      </c>
      <c r="E46" s="96"/>
      <c r="F46" s="96"/>
      <c r="G46" s="96"/>
      <c r="H46" s="96"/>
      <c r="I46" s="96"/>
      <c r="J46" s="96"/>
      <c r="K46" s="96"/>
      <c r="L46" s="96"/>
      <c r="M46" s="96"/>
      <c r="N46" s="96" t="s">
        <v>11</v>
      </c>
      <c r="O46" s="96"/>
      <c r="P46" s="96"/>
      <c r="Q46" s="96"/>
      <c r="R46" s="96"/>
      <c r="S46" s="96"/>
      <c r="T46" s="259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J46" s="151">
        <f t="shared" si="0"/>
        <v>0</v>
      </c>
      <c r="AK46" s="35">
        <f t="shared" si="1"/>
        <v>1</v>
      </c>
      <c r="AL46" s="36">
        <f t="shared" si="2"/>
        <v>0</v>
      </c>
      <c r="AM46" s="35">
        <f t="shared" si="3"/>
        <v>0</v>
      </c>
      <c r="AN46" s="36">
        <f t="shared" si="4"/>
        <v>0</v>
      </c>
      <c r="AO46" s="37">
        <f t="shared" si="5"/>
        <v>1</v>
      </c>
      <c r="AP46" s="38" t="s">
        <v>213</v>
      </c>
      <c r="AQ46" s="38">
        <v>26</v>
      </c>
      <c r="AR46" s="39">
        <f t="shared" si="6"/>
        <v>0.0384615384615385</v>
      </c>
    </row>
    <row r="47" s="105" customFormat="1" ht="20.15" customHeight="1" spans="1:44">
      <c r="A47" s="68">
        <v>36</v>
      </c>
      <c r="B47" s="159" t="s">
        <v>57</v>
      </c>
      <c r="C47" s="150" t="s">
        <v>16</v>
      </c>
      <c r="D47" s="149" t="str">
        <f>VLOOKUP(B47,'[1]MASTER DATA 2025'!$C$3:$E$279,3,0)</f>
        <v>0Tahun2 Bulan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259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J47" s="151">
        <f t="shared" si="0"/>
        <v>0</v>
      </c>
      <c r="AK47" s="35">
        <f t="shared" si="1"/>
        <v>0</v>
      </c>
      <c r="AL47" s="36">
        <f t="shared" si="2"/>
        <v>0</v>
      </c>
      <c r="AM47" s="36">
        <f t="shared" si="3"/>
        <v>0</v>
      </c>
      <c r="AN47" s="36">
        <f t="shared" si="4"/>
        <v>0</v>
      </c>
      <c r="AO47" s="37">
        <f t="shared" si="5"/>
        <v>0</v>
      </c>
      <c r="AP47" s="52" t="s">
        <v>167</v>
      </c>
      <c r="AQ47" s="38">
        <v>26</v>
      </c>
      <c r="AR47" s="39">
        <f t="shared" si="6"/>
        <v>0</v>
      </c>
    </row>
    <row r="48" s="105" customFormat="1" ht="19.5" customHeight="1" spans="1:44">
      <c r="A48" s="68">
        <v>37</v>
      </c>
      <c r="B48" s="149" t="s">
        <v>58</v>
      </c>
      <c r="C48" s="150" t="s">
        <v>59</v>
      </c>
      <c r="D48" s="149" t="str">
        <f>VLOOKUP(B48,'[1]MASTER DATA 2025'!$C$3:$E$279,3,0)</f>
        <v>1Tahun3 Bulan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 t="s">
        <v>13</v>
      </c>
      <c r="P48" s="96"/>
      <c r="Q48" s="96"/>
      <c r="R48" s="96"/>
      <c r="S48" s="96"/>
      <c r="T48" s="259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J48" s="151">
        <f t="shared" si="0"/>
        <v>0</v>
      </c>
      <c r="AK48" s="35">
        <f t="shared" si="1"/>
        <v>0</v>
      </c>
      <c r="AL48" s="36">
        <f t="shared" si="2"/>
        <v>0</v>
      </c>
      <c r="AM48" s="35">
        <f t="shared" si="3"/>
        <v>1</v>
      </c>
      <c r="AN48" s="36">
        <f t="shared" si="4"/>
        <v>0</v>
      </c>
      <c r="AO48" s="37">
        <f t="shared" si="5"/>
        <v>1</v>
      </c>
      <c r="AP48" s="38" t="s">
        <v>214</v>
      </c>
      <c r="AQ48" s="38">
        <v>26</v>
      </c>
      <c r="AR48" s="39">
        <f t="shared" si="6"/>
        <v>0.0384615384615385</v>
      </c>
    </row>
    <row r="49" s="105" customFormat="1" ht="19.5" customHeight="1" spans="1:44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259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J49" s="151">
        <f t="shared" si="0"/>
        <v>0</v>
      </c>
      <c r="AK49" s="36">
        <f t="shared" si="1"/>
        <v>0</v>
      </c>
      <c r="AL49" s="36">
        <f t="shared" si="2"/>
        <v>0</v>
      </c>
      <c r="AM49" s="36">
        <f t="shared" si="3"/>
        <v>0</v>
      </c>
      <c r="AN49" s="36">
        <f t="shared" si="4"/>
        <v>0</v>
      </c>
      <c r="AO49" s="37">
        <f t="shared" si="5"/>
        <v>0</v>
      </c>
      <c r="AP49" s="37"/>
      <c r="AQ49" s="38">
        <v>26</v>
      </c>
      <c r="AR49" s="39">
        <f t="shared" si="6"/>
        <v>0</v>
      </c>
    </row>
    <row r="50" s="105" customFormat="1" ht="19.5" customHeight="1" spans="1:44">
      <c r="A50" s="68">
        <v>39</v>
      </c>
      <c r="B50" s="161" t="s">
        <v>62</v>
      </c>
      <c r="C50" s="150" t="s">
        <v>59</v>
      </c>
      <c r="D50" s="149" t="str">
        <f>VLOOKUP(B50,'[1]MASTER DATA 2025'!$C$3:$E$279,3,0)</f>
        <v>3Tahun8 Bulan</v>
      </c>
      <c r="E50" s="96" t="s">
        <v>11</v>
      </c>
      <c r="F50" s="96" t="s">
        <v>11</v>
      </c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259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J50" s="151">
        <f t="shared" si="0"/>
        <v>0</v>
      </c>
      <c r="AK50" s="35">
        <f t="shared" si="1"/>
        <v>2</v>
      </c>
      <c r="AL50" s="36">
        <f t="shared" si="2"/>
        <v>0</v>
      </c>
      <c r="AM50" s="36">
        <f t="shared" si="3"/>
        <v>0</v>
      </c>
      <c r="AN50" s="36">
        <f t="shared" si="4"/>
        <v>0</v>
      </c>
      <c r="AO50" s="37">
        <f t="shared" si="5"/>
        <v>2</v>
      </c>
      <c r="AP50" s="38" t="s">
        <v>169</v>
      </c>
      <c r="AQ50" s="38">
        <v>26</v>
      </c>
      <c r="AR50" s="39">
        <f t="shared" si="6"/>
        <v>0.0769230769230769</v>
      </c>
    </row>
    <row r="51" s="105" customFormat="1" ht="19.5" customHeight="1" spans="1:44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259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J51" s="151">
        <f t="shared" si="0"/>
        <v>0</v>
      </c>
      <c r="AK51" s="35">
        <f t="shared" si="1"/>
        <v>0</v>
      </c>
      <c r="AL51" s="35">
        <f t="shared" si="2"/>
        <v>0</v>
      </c>
      <c r="AM51" s="36">
        <f t="shared" si="3"/>
        <v>0</v>
      </c>
      <c r="AN51" s="36">
        <f t="shared" si="4"/>
        <v>0</v>
      </c>
      <c r="AO51" s="37">
        <f t="shared" si="5"/>
        <v>0</v>
      </c>
      <c r="AP51" s="37"/>
      <c r="AQ51" s="38">
        <v>26</v>
      </c>
      <c r="AR51" s="39">
        <f t="shared" si="6"/>
        <v>0</v>
      </c>
    </row>
    <row r="52" s="105" customFormat="1" ht="19.5" customHeight="1" spans="1:44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259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J52" s="151">
        <f t="shared" si="0"/>
        <v>0</v>
      </c>
      <c r="AK52" s="35">
        <f t="shared" si="1"/>
        <v>0</v>
      </c>
      <c r="AL52" s="36">
        <f t="shared" si="2"/>
        <v>0</v>
      </c>
      <c r="AM52" s="36">
        <f t="shared" si="3"/>
        <v>0</v>
      </c>
      <c r="AN52" s="36">
        <f t="shared" si="4"/>
        <v>0</v>
      </c>
      <c r="AO52" s="37">
        <f t="shared" si="5"/>
        <v>0</v>
      </c>
      <c r="AP52" s="37"/>
      <c r="AQ52" s="38">
        <v>26</v>
      </c>
      <c r="AR52" s="39">
        <f t="shared" si="6"/>
        <v>0</v>
      </c>
    </row>
    <row r="53" s="105" customFormat="1" ht="19.5" customHeight="1" spans="1:44">
      <c r="A53" s="68">
        <v>42</v>
      </c>
      <c r="B53" s="219" t="s">
        <v>65</v>
      </c>
      <c r="C53" s="150" t="s">
        <v>16</v>
      </c>
      <c r="D53" s="149" t="str">
        <f>VLOOKUP(B53,'[1]MASTER DATA 2025'!$C$3:$E$279,3,0)</f>
        <v>0Tahun7 Bulan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259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J53" s="151">
        <f t="shared" si="0"/>
        <v>0</v>
      </c>
      <c r="AK53" s="35">
        <f t="shared" si="1"/>
        <v>0</v>
      </c>
      <c r="AL53" s="36">
        <f t="shared" si="2"/>
        <v>0</v>
      </c>
      <c r="AM53" s="36">
        <f t="shared" si="3"/>
        <v>0</v>
      </c>
      <c r="AN53" s="36">
        <f t="shared" si="4"/>
        <v>0</v>
      </c>
      <c r="AO53" s="37">
        <f t="shared" si="5"/>
        <v>0</v>
      </c>
      <c r="AP53" s="37" t="s">
        <v>170</v>
      </c>
      <c r="AQ53" s="38">
        <v>26</v>
      </c>
      <c r="AR53" s="39">
        <f t="shared" si="6"/>
        <v>0</v>
      </c>
    </row>
    <row r="54" s="105" customFormat="1" ht="19.5" customHeight="1" spans="1:44">
      <c r="A54" s="68">
        <v>43</v>
      </c>
      <c r="B54" s="163" t="s">
        <v>66</v>
      </c>
      <c r="C54" s="150" t="s">
        <v>16</v>
      </c>
      <c r="D54" s="149" t="s">
        <v>215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 t="s">
        <v>13</v>
      </c>
      <c r="S54" s="96"/>
      <c r="T54" s="259"/>
      <c r="U54" s="96"/>
      <c r="V54" s="96"/>
      <c r="W54" s="96"/>
      <c r="X54" s="96"/>
      <c r="Y54" s="96" t="s">
        <v>13</v>
      </c>
      <c r="Z54" s="96"/>
      <c r="AA54" s="96"/>
      <c r="AB54" s="96"/>
      <c r="AC54" s="96"/>
      <c r="AD54" s="96"/>
      <c r="AE54" s="96"/>
      <c r="AF54" s="96" t="s">
        <v>13</v>
      </c>
      <c r="AG54" s="96"/>
      <c r="AH54" s="96"/>
      <c r="AJ54" s="151">
        <f t="shared" si="0"/>
        <v>0</v>
      </c>
      <c r="AK54" s="35">
        <f t="shared" si="1"/>
        <v>0</v>
      </c>
      <c r="AL54" s="35">
        <f t="shared" si="2"/>
        <v>0</v>
      </c>
      <c r="AM54" s="47">
        <f t="shared" si="3"/>
        <v>3</v>
      </c>
      <c r="AN54" s="36">
        <f t="shared" si="4"/>
        <v>0</v>
      </c>
      <c r="AO54" s="37">
        <f t="shared" si="5"/>
        <v>3</v>
      </c>
      <c r="AP54" s="37" t="s">
        <v>216</v>
      </c>
      <c r="AQ54" s="38">
        <v>26</v>
      </c>
      <c r="AR54" s="39">
        <f t="shared" si="6"/>
        <v>0.115384615384615</v>
      </c>
    </row>
    <row r="55" s="105" customFormat="1" ht="19.5" customHeight="1" spans="1:44">
      <c r="A55" s="68">
        <v>44</v>
      </c>
      <c r="B55" s="219" t="s">
        <v>67</v>
      </c>
      <c r="C55" s="150" t="s">
        <v>16</v>
      </c>
      <c r="D55" s="149" t="str">
        <f>VLOOKUP(B55,'[1]MASTER DATA 2025'!$C$3:$E$279,3,0)</f>
        <v>1Tahun3 Bulan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259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J55" s="151">
        <f t="shared" si="0"/>
        <v>0</v>
      </c>
      <c r="AK55" s="35">
        <f t="shared" si="1"/>
        <v>0</v>
      </c>
      <c r="AL55" s="36">
        <f t="shared" si="2"/>
        <v>0</v>
      </c>
      <c r="AM55" s="36">
        <f t="shared" si="3"/>
        <v>0</v>
      </c>
      <c r="AN55" s="36">
        <f t="shared" si="4"/>
        <v>0</v>
      </c>
      <c r="AO55" s="37">
        <f t="shared" si="5"/>
        <v>0</v>
      </c>
      <c r="AP55" s="37" t="s">
        <v>25</v>
      </c>
      <c r="AQ55" s="38">
        <v>26</v>
      </c>
      <c r="AR55" s="39">
        <f t="shared" si="6"/>
        <v>0</v>
      </c>
    </row>
    <row r="56" s="105" customFormat="1" ht="19.5" customHeight="1" spans="1:44">
      <c r="A56" s="68">
        <v>45</v>
      </c>
      <c r="B56" s="219" t="s">
        <v>68</v>
      </c>
      <c r="C56" s="150" t="s">
        <v>16</v>
      </c>
      <c r="D56" s="149" t="str">
        <f>VLOOKUP(B56,'[1]MASTER DATA 2025'!$C$3:$E$279,3,0)</f>
        <v>0Tahun2 Bulan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 t="s">
        <v>11</v>
      </c>
      <c r="P56" s="96"/>
      <c r="Q56" s="96"/>
      <c r="R56" s="96"/>
      <c r="S56" s="96"/>
      <c r="T56" s="259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J56" s="151">
        <f t="shared" si="0"/>
        <v>0</v>
      </c>
      <c r="AK56" s="35">
        <f t="shared" si="1"/>
        <v>1</v>
      </c>
      <c r="AL56" s="36">
        <f t="shared" si="2"/>
        <v>0</v>
      </c>
      <c r="AM56" s="35">
        <f t="shared" si="3"/>
        <v>0</v>
      </c>
      <c r="AN56" s="36">
        <f t="shared" si="4"/>
        <v>0</v>
      </c>
      <c r="AO56" s="37">
        <f t="shared" si="5"/>
        <v>1</v>
      </c>
      <c r="AP56" s="37" t="s">
        <v>198</v>
      </c>
      <c r="AQ56" s="38">
        <v>26</v>
      </c>
      <c r="AR56" s="39">
        <f t="shared" si="6"/>
        <v>0.0384615384615385</v>
      </c>
    </row>
    <row r="57" s="105" customFormat="1" ht="19.5" customHeight="1" spans="1:44">
      <c r="A57" s="68">
        <v>46</v>
      </c>
      <c r="B57" s="219" t="s">
        <v>69</v>
      </c>
      <c r="C57" s="150" t="s">
        <v>16</v>
      </c>
      <c r="D57" s="149" t="s">
        <v>217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259"/>
      <c r="U57" s="96"/>
      <c r="V57" s="96"/>
      <c r="W57" s="96"/>
      <c r="X57" s="96"/>
      <c r="Y57" s="96"/>
      <c r="Z57" s="96"/>
      <c r="AA57" s="96"/>
      <c r="AB57" s="96"/>
      <c r="AC57" s="96" t="s">
        <v>13</v>
      </c>
      <c r="AD57" s="96"/>
      <c r="AE57" s="96"/>
      <c r="AF57" s="96"/>
      <c r="AG57" s="96"/>
      <c r="AH57" s="96"/>
      <c r="AJ57" s="151">
        <f t="shared" si="0"/>
        <v>0</v>
      </c>
      <c r="AK57" s="35">
        <f t="shared" si="1"/>
        <v>0</v>
      </c>
      <c r="AL57" s="36">
        <f t="shared" si="2"/>
        <v>0</v>
      </c>
      <c r="AM57" s="36">
        <f t="shared" si="3"/>
        <v>1</v>
      </c>
      <c r="AN57" s="36">
        <f t="shared" si="4"/>
        <v>0</v>
      </c>
      <c r="AO57" s="37">
        <f t="shared" si="5"/>
        <v>1</v>
      </c>
      <c r="AP57" s="38" t="s">
        <v>218</v>
      </c>
      <c r="AQ57" s="38">
        <v>26</v>
      </c>
      <c r="AR57" s="39">
        <f t="shared" si="6"/>
        <v>0.0384615384615385</v>
      </c>
    </row>
    <row r="58" s="105" customFormat="1" ht="19.5" customHeight="1" spans="1:44">
      <c r="A58" s="68">
        <v>47</v>
      </c>
      <c r="B58" s="219" t="s">
        <v>70</v>
      </c>
      <c r="C58" s="150" t="s">
        <v>59</v>
      </c>
      <c r="D58" s="149" t="str">
        <f>VLOOKUP(B58,'[1]MASTER DATA 2025'!$C$3:$E$279,3,0)</f>
        <v>1Tahun2 Bulan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 t="s">
        <v>13</v>
      </c>
      <c r="Q58" s="96"/>
      <c r="R58" s="96"/>
      <c r="S58" s="96"/>
      <c r="T58" s="259"/>
      <c r="U58" s="96"/>
      <c r="V58" s="96"/>
      <c r="W58" s="96"/>
      <c r="X58" s="96"/>
      <c r="Y58" s="96"/>
      <c r="Z58" s="96"/>
      <c r="AA58" s="96"/>
      <c r="AB58" s="96"/>
      <c r="AC58" s="96" t="s">
        <v>13</v>
      </c>
      <c r="AD58" s="96"/>
      <c r="AE58" s="96"/>
      <c r="AF58" s="96"/>
      <c r="AG58" s="96"/>
      <c r="AH58" s="96"/>
      <c r="AJ58" s="151">
        <f t="shared" si="0"/>
        <v>0</v>
      </c>
      <c r="AK58" s="35">
        <f t="shared" si="1"/>
        <v>0</v>
      </c>
      <c r="AL58" s="36">
        <f t="shared" si="2"/>
        <v>0</v>
      </c>
      <c r="AM58" s="36">
        <f t="shared" si="3"/>
        <v>2</v>
      </c>
      <c r="AN58" s="36">
        <f t="shared" si="4"/>
        <v>0</v>
      </c>
      <c r="AO58" s="37">
        <f t="shared" si="5"/>
        <v>2</v>
      </c>
      <c r="AP58" s="52" t="s">
        <v>216</v>
      </c>
      <c r="AQ58" s="38">
        <v>26</v>
      </c>
      <c r="AR58" s="39">
        <f t="shared" si="6"/>
        <v>0.0769230769230769</v>
      </c>
    </row>
    <row r="59" s="105" customFormat="1" ht="19.5" customHeight="1" spans="1:44">
      <c r="A59" s="68">
        <v>48</v>
      </c>
      <c r="B59" s="219" t="s">
        <v>71</v>
      </c>
      <c r="C59" s="150" t="s">
        <v>59</v>
      </c>
      <c r="D59" s="149" t="str">
        <f>VLOOKUP(B59,'[1]MASTER DATA 2025'!$C$3:$E$279,3,0)</f>
        <v>0Tahun5 Bulan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259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J59" s="151">
        <f t="shared" si="0"/>
        <v>0</v>
      </c>
      <c r="AK59" s="35">
        <f t="shared" si="1"/>
        <v>0</v>
      </c>
      <c r="AL59" s="36">
        <f t="shared" si="2"/>
        <v>0</v>
      </c>
      <c r="AM59" s="36">
        <f t="shared" si="3"/>
        <v>0</v>
      </c>
      <c r="AN59" s="36">
        <f t="shared" si="4"/>
        <v>0</v>
      </c>
      <c r="AO59" s="37">
        <f t="shared" si="5"/>
        <v>0</v>
      </c>
      <c r="AP59" s="37" t="s">
        <v>25</v>
      </c>
      <c r="AQ59" s="38">
        <v>26</v>
      </c>
      <c r="AR59" s="39">
        <f t="shared" si="6"/>
        <v>0</v>
      </c>
    </row>
    <row r="60" s="105" customFormat="1" ht="19.5" customHeight="1" spans="1:44">
      <c r="A60" s="68">
        <v>49</v>
      </c>
      <c r="B60" s="221" t="s">
        <v>72</v>
      </c>
      <c r="C60" s="163" t="s">
        <v>16</v>
      </c>
      <c r="D60" s="149" t="s">
        <v>219</v>
      </c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 t="s">
        <v>11</v>
      </c>
      <c r="T60" s="259"/>
      <c r="U60" s="96"/>
      <c r="V60" s="96"/>
      <c r="W60" s="96"/>
      <c r="X60" s="96"/>
      <c r="Y60" s="96" t="s">
        <v>13</v>
      </c>
      <c r="Z60" s="96"/>
      <c r="AA60" s="96"/>
      <c r="AB60" s="96"/>
      <c r="AC60" s="96"/>
      <c r="AD60" s="96"/>
      <c r="AE60" s="96"/>
      <c r="AF60" s="96"/>
      <c r="AG60" s="96"/>
      <c r="AH60" s="96"/>
      <c r="AJ60" s="151">
        <f t="shared" si="0"/>
        <v>0</v>
      </c>
      <c r="AK60" s="35">
        <f t="shared" si="1"/>
        <v>1</v>
      </c>
      <c r="AL60" s="36">
        <f t="shared" si="2"/>
        <v>0</v>
      </c>
      <c r="AM60" s="35">
        <f t="shared" si="3"/>
        <v>1</v>
      </c>
      <c r="AN60" s="36">
        <f t="shared" si="4"/>
        <v>0</v>
      </c>
      <c r="AO60" s="37">
        <f t="shared" si="5"/>
        <v>2</v>
      </c>
      <c r="AP60" s="37" t="s">
        <v>171</v>
      </c>
      <c r="AQ60" s="38">
        <v>26</v>
      </c>
      <c r="AR60" s="39">
        <f t="shared" si="6"/>
        <v>0.0769230769230769</v>
      </c>
    </row>
    <row r="61" s="105" customFormat="1" ht="19.5" customHeight="1" spans="1:44">
      <c r="A61" s="68">
        <v>50</v>
      </c>
      <c r="B61" s="219" t="s">
        <v>73</v>
      </c>
      <c r="C61" s="150" t="s">
        <v>16</v>
      </c>
      <c r="D61" s="149" t="str">
        <f>VLOOKUP(B61,'[1]MASTER DATA 2025'!$C$3:$E$279,3,0)</f>
        <v>2Tahun1 Bulan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 t="s">
        <v>13</v>
      </c>
      <c r="P61" s="96"/>
      <c r="Q61" s="96"/>
      <c r="R61" s="96"/>
      <c r="S61" s="96" t="s">
        <v>13</v>
      </c>
      <c r="T61" s="259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J61" s="151">
        <f t="shared" si="0"/>
        <v>0</v>
      </c>
      <c r="AK61" s="35">
        <f t="shared" si="1"/>
        <v>0</v>
      </c>
      <c r="AL61" s="36">
        <f t="shared" si="2"/>
        <v>0</v>
      </c>
      <c r="AM61" s="35">
        <f t="shared" si="3"/>
        <v>2</v>
      </c>
      <c r="AN61" s="36">
        <f t="shared" si="4"/>
        <v>0</v>
      </c>
      <c r="AO61" s="37">
        <f t="shared" si="5"/>
        <v>2</v>
      </c>
      <c r="AP61" s="52" t="s">
        <v>171</v>
      </c>
      <c r="AQ61" s="38">
        <v>26</v>
      </c>
      <c r="AR61" s="39">
        <f t="shared" si="6"/>
        <v>0.0769230769230769</v>
      </c>
    </row>
    <row r="62" s="105" customFormat="1" ht="19.5" customHeight="1" spans="1:44">
      <c r="A62" s="68">
        <v>51</v>
      </c>
      <c r="B62" s="219" t="s">
        <v>74</v>
      </c>
      <c r="C62" s="150" t="s">
        <v>16</v>
      </c>
      <c r="D62" s="149" t="str">
        <f>VLOOKUP(B62,'[1]MASTER DATA 2025'!$C$3:$E$279,3,0)</f>
        <v>0Tahun1 Bulan</v>
      </c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259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J62" s="151">
        <f t="shared" si="0"/>
        <v>0</v>
      </c>
      <c r="AK62" s="35">
        <f t="shared" si="1"/>
        <v>0</v>
      </c>
      <c r="AL62" s="36">
        <f t="shared" si="2"/>
        <v>0</v>
      </c>
      <c r="AM62" s="36">
        <f t="shared" si="3"/>
        <v>0</v>
      </c>
      <c r="AN62" s="36">
        <f t="shared" si="4"/>
        <v>0</v>
      </c>
      <c r="AO62" s="37">
        <f t="shared" si="5"/>
        <v>0</v>
      </c>
      <c r="AP62" s="37" t="s">
        <v>25</v>
      </c>
      <c r="AQ62" s="38">
        <v>26</v>
      </c>
      <c r="AR62" s="39">
        <f t="shared" si="6"/>
        <v>0</v>
      </c>
    </row>
    <row r="63" s="105" customFormat="1" ht="19.5" customHeight="1" spans="1:44">
      <c r="A63" s="68">
        <v>52</v>
      </c>
      <c r="B63" s="219" t="s">
        <v>75</v>
      </c>
      <c r="C63" s="150" t="s">
        <v>16</v>
      </c>
      <c r="D63" s="149" t="str">
        <f>VLOOKUP(B63,'[1]MASTER DATA 2025'!$C$3:$E$279,3,0)</f>
        <v>0Tahun1 Bulan</v>
      </c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259"/>
      <c r="U63" s="96" t="s">
        <v>13</v>
      </c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J63" s="151">
        <f t="shared" si="0"/>
        <v>0</v>
      </c>
      <c r="AK63" s="35">
        <f t="shared" si="1"/>
        <v>0</v>
      </c>
      <c r="AL63" s="36">
        <f t="shared" si="2"/>
        <v>0</v>
      </c>
      <c r="AM63" s="36">
        <f t="shared" si="3"/>
        <v>1</v>
      </c>
      <c r="AN63" s="36">
        <f t="shared" si="4"/>
        <v>0</v>
      </c>
      <c r="AO63" s="37">
        <f t="shared" si="5"/>
        <v>1</v>
      </c>
      <c r="AP63" s="52" t="s">
        <v>201</v>
      </c>
      <c r="AQ63" s="38">
        <v>26</v>
      </c>
      <c r="AR63" s="39">
        <f t="shared" si="6"/>
        <v>0.0384615384615385</v>
      </c>
    </row>
    <row r="64" s="105" customFormat="1" ht="19.5" customHeight="1" spans="1:44">
      <c r="A64" s="68">
        <v>53</v>
      </c>
      <c r="B64" s="219" t="s">
        <v>76</v>
      </c>
      <c r="C64" s="150" t="s">
        <v>59</v>
      </c>
      <c r="D64" s="152" t="s">
        <v>220</v>
      </c>
      <c r="E64" s="96"/>
      <c r="F64" s="96"/>
      <c r="G64" s="96"/>
      <c r="H64" s="96"/>
      <c r="I64" s="96"/>
      <c r="J64" s="96"/>
      <c r="K64" s="96"/>
      <c r="L64" s="96"/>
      <c r="M64" s="96" t="s">
        <v>11</v>
      </c>
      <c r="N64" s="96"/>
      <c r="O64" s="96"/>
      <c r="P64" s="96"/>
      <c r="Q64" s="96"/>
      <c r="R64" s="96"/>
      <c r="S64" s="96"/>
      <c r="T64" s="259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 t="s">
        <v>13</v>
      </c>
      <c r="AJ64" s="151">
        <f t="shared" si="0"/>
        <v>0</v>
      </c>
      <c r="AK64" s="35">
        <f t="shared" si="1"/>
        <v>1</v>
      </c>
      <c r="AL64" s="36">
        <f t="shared" si="2"/>
        <v>0</v>
      </c>
      <c r="AM64" s="36">
        <f t="shared" si="3"/>
        <v>1</v>
      </c>
      <c r="AN64" s="36">
        <f t="shared" si="4"/>
        <v>0</v>
      </c>
      <c r="AO64" s="37">
        <f t="shared" si="5"/>
        <v>2</v>
      </c>
      <c r="AP64" s="38" t="s">
        <v>221</v>
      </c>
      <c r="AQ64" s="38">
        <v>26</v>
      </c>
      <c r="AR64" s="39">
        <f t="shared" si="6"/>
        <v>0.0769230769230769</v>
      </c>
    </row>
    <row r="65" s="105" customFormat="1" ht="19.5" customHeight="1" spans="1:44">
      <c r="A65" s="68">
        <v>54</v>
      </c>
      <c r="B65" s="219" t="s">
        <v>77</v>
      </c>
      <c r="C65" s="150" t="s">
        <v>16</v>
      </c>
      <c r="D65" s="149" t="str">
        <f>VLOOKUP(B65,'[1]MASTER DATA 2025'!$C$3:$E$279,3,0)</f>
        <v>0Tahun8 Bulan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259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J65" s="151">
        <f t="shared" si="0"/>
        <v>0</v>
      </c>
      <c r="AK65" s="35">
        <f t="shared" si="1"/>
        <v>0</v>
      </c>
      <c r="AL65" s="36">
        <f t="shared" si="2"/>
        <v>0</v>
      </c>
      <c r="AM65" s="36">
        <f t="shared" si="3"/>
        <v>0</v>
      </c>
      <c r="AN65" s="36">
        <f t="shared" si="4"/>
        <v>0</v>
      </c>
      <c r="AO65" s="37">
        <f t="shared" si="5"/>
        <v>0</v>
      </c>
      <c r="AP65" s="37"/>
      <c r="AQ65" s="38">
        <v>26</v>
      </c>
      <c r="AR65" s="39">
        <f t="shared" si="6"/>
        <v>0</v>
      </c>
    </row>
    <row r="66" s="105" customFormat="1" ht="19.5" customHeight="1" spans="1:44">
      <c r="A66" s="68">
        <v>55</v>
      </c>
      <c r="B66" s="219" t="s">
        <v>78</v>
      </c>
      <c r="C66" s="150" t="s">
        <v>16</v>
      </c>
      <c r="D66" s="149" t="str">
        <f>VLOOKUP(B66,'[1]MASTER DATA 2025'!$C$3:$E$279,3,0)</f>
        <v>3Tahun7 Bulan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259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J66" s="151">
        <f t="shared" si="0"/>
        <v>0</v>
      </c>
      <c r="AK66" s="35">
        <f t="shared" si="1"/>
        <v>0</v>
      </c>
      <c r="AL66" s="36">
        <f t="shared" si="2"/>
        <v>0</v>
      </c>
      <c r="AM66" s="36">
        <f t="shared" si="3"/>
        <v>0</v>
      </c>
      <c r="AN66" s="36">
        <f t="shared" si="4"/>
        <v>0</v>
      </c>
      <c r="AO66" s="37">
        <f t="shared" si="5"/>
        <v>0</v>
      </c>
      <c r="AP66" s="37"/>
      <c r="AQ66" s="38">
        <v>26</v>
      </c>
      <c r="AR66" s="39">
        <f t="shared" si="6"/>
        <v>0</v>
      </c>
    </row>
    <row r="67" s="105" customFormat="1" ht="19.5" customHeight="1" spans="1:44">
      <c r="A67" s="68">
        <v>56</v>
      </c>
      <c r="B67" s="219" t="s">
        <v>79</v>
      </c>
      <c r="C67" s="150" t="s">
        <v>16</v>
      </c>
      <c r="D67" s="149" t="str">
        <f>VLOOKUP(B67,'[1]MASTER DATA 2025'!$C$3:$E$279,3,0)</f>
        <v>1Tahun5 Bulan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259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J67" s="151">
        <f t="shared" si="0"/>
        <v>0</v>
      </c>
      <c r="AK67" s="35">
        <f t="shared" si="1"/>
        <v>0</v>
      </c>
      <c r="AL67" s="36">
        <f t="shared" si="2"/>
        <v>0</v>
      </c>
      <c r="AM67" s="36">
        <f t="shared" si="3"/>
        <v>0</v>
      </c>
      <c r="AN67" s="36">
        <f t="shared" si="4"/>
        <v>0</v>
      </c>
      <c r="AO67" s="37">
        <f t="shared" si="5"/>
        <v>0</v>
      </c>
      <c r="AP67" s="37"/>
      <c r="AQ67" s="38">
        <v>26</v>
      </c>
      <c r="AR67" s="39">
        <f t="shared" si="6"/>
        <v>0</v>
      </c>
    </row>
    <row r="68" s="105" customFormat="1" ht="19.5" customHeight="1" spans="1:44">
      <c r="A68" s="68">
        <v>57</v>
      </c>
      <c r="B68" s="219" t="s">
        <v>80</v>
      </c>
      <c r="C68" s="150" t="s">
        <v>16</v>
      </c>
      <c r="D68" s="149" t="str">
        <f>VLOOKUP(B68,'[1]MASTER DATA 2025'!$C$3:$E$279,3,0)</f>
        <v>0Tahun7 Bulan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259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J68" s="151">
        <f t="shared" si="0"/>
        <v>0</v>
      </c>
      <c r="AK68" s="35">
        <f t="shared" si="1"/>
        <v>0</v>
      </c>
      <c r="AL68" s="35">
        <f t="shared" si="2"/>
        <v>0</v>
      </c>
      <c r="AM68" s="47">
        <f t="shared" si="3"/>
        <v>0</v>
      </c>
      <c r="AN68" s="36">
        <f t="shared" si="4"/>
        <v>0</v>
      </c>
      <c r="AO68" s="37">
        <f t="shared" si="5"/>
        <v>0</v>
      </c>
      <c r="AP68" s="49">
        <v>45967</v>
      </c>
      <c r="AQ68" s="38">
        <v>26</v>
      </c>
      <c r="AR68" s="39">
        <f t="shared" si="6"/>
        <v>0</v>
      </c>
    </row>
    <row r="69" s="105" customFormat="1" ht="19.5" customHeight="1" spans="1:44">
      <c r="A69" s="68">
        <v>58</v>
      </c>
      <c r="B69" s="219" t="s">
        <v>81</v>
      </c>
      <c r="C69" s="150" t="s">
        <v>16</v>
      </c>
      <c r="D69" s="149" t="str">
        <f>VLOOKUP(B69,'[1]MASTER DATA 2025'!$C$3:$E$279,3,0)</f>
        <v>2Tahun1 Bulan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259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J69" s="151">
        <f t="shared" si="0"/>
        <v>0</v>
      </c>
      <c r="AK69" s="35">
        <f t="shared" si="1"/>
        <v>0</v>
      </c>
      <c r="AL69" s="36">
        <f t="shared" si="2"/>
        <v>0</v>
      </c>
      <c r="AM69" s="36">
        <f t="shared" si="3"/>
        <v>0</v>
      </c>
      <c r="AN69" s="36">
        <f t="shared" si="4"/>
        <v>0</v>
      </c>
      <c r="AO69" s="37">
        <f t="shared" si="5"/>
        <v>0</v>
      </c>
      <c r="AP69" s="37"/>
      <c r="AQ69" s="38">
        <v>26</v>
      </c>
      <c r="AR69" s="39">
        <f t="shared" si="6"/>
        <v>0</v>
      </c>
    </row>
    <row r="70" s="105" customFormat="1" ht="19.5" customHeight="1" spans="1:44">
      <c r="A70" s="68">
        <v>59</v>
      </c>
      <c r="B70" s="219" t="s">
        <v>82</v>
      </c>
      <c r="C70" s="150" t="s">
        <v>16</v>
      </c>
      <c r="D70" s="149" t="str">
        <f>VLOOKUP(B70,'[1]MASTER DATA 2025'!$C$3:$E$279,3,0)</f>
        <v>0Tahun1 Bulan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259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J70" s="151">
        <f t="shared" si="0"/>
        <v>0</v>
      </c>
      <c r="AK70" s="35">
        <f t="shared" si="1"/>
        <v>0</v>
      </c>
      <c r="AL70" s="35">
        <f t="shared" si="2"/>
        <v>0</v>
      </c>
      <c r="AM70" s="47">
        <f t="shared" si="3"/>
        <v>0</v>
      </c>
      <c r="AN70" s="36">
        <f t="shared" si="4"/>
        <v>0</v>
      </c>
      <c r="AO70" s="37">
        <f t="shared" si="5"/>
        <v>0</v>
      </c>
      <c r="AP70" s="37" t="s">
        <v>25</v>
      </c>
      <c r="AQ70" s="38">
        <v>26</v>
      </c>
      <c r="AR70" s="39">
        <f t="shared" si="6"/>
        <v>0</v>
      </c>
    </row>
    <row r="71" s="105" customFormat="1" ht="19.5" customHeight="1" spans="1:44">
      <c r="A71" s="68">
        <v>60</v>
      </c>
      <c r="B71" s="219" t="s">
        <v>83</v>
      </c>
      <c r="C71" s="150" t="s">
        <v>16</v>
      </c>
      <c r="D71" s="149" t="str">
        <f>VLOOKUP(B71,'[1]MASTER DATA 2025'!$C$3:$E$279,3,0)</f>
        <v>2Tahun1 Bulan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259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J71" s="151">
        <f t="shared" si="0"/>
        <v>0</v>
      </c>
      <c r="AK71" s="35">
        <f t="shared" si="1"/>
        <v>0</v>
      </c>
      <c r="AL71" s="36">
        <f t="shared" si="2"/>
        <v>0</v>
      </c>
      <c r="AM71" s="36">
        <f t="shared" si="3"/>
        <v>0</v>
      </c>
      <c r="AN71" s="36">
        <f t="shared" si="4"/>
        <v>0</v>
      </c>
      <c r="AO71" s="37">
        <f t="shared" si="5"/>
        <v>0</v>
      </c>
      <c r="AP71" s="37"/>
      <c r="AQ71" s="38">
        <v>26</v>
      </c>
      <c r="AR71" s="39">
        <f t="shared" si="6"/>
        <v>0</v>
      </c>
    </row>
    <row r="72" s="105" customFormat="1" ht="19.5" customHeight="1" spans="1:44">
      <c r="A72" s="68">
        <v>61</v>
      </c>
      <c r="B72" s="219" t="s">
        <v>84</v>
      </c>
      <c r="C72" s="150" t="s">
        <v>59</v>
      </c>
      <c r="D72" s="149" t="str">
        <f>VLOOKUP(B72,'[1]MASTER DATA 2025'!$C$3:$E$279,3,0)</f>
        <v>0Tahun7 Bulan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259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J72" s="151">
        <f t="shared" si="0"/>
        <v>0</v>
      </c>
      <c r="AK72" s="35">
        <f t="shared" si="1"/>
        <v>0</v>
      </c>
      <c r="AL72" s="36">
        <f t="shared" si="2"/>
        <v>0</v>
      </c>
      <c r="AM72" s="36">
        <f t="shared" si="3"/>
        <v>0</v>
      </c>
      <c r="AN72" s="36">
        <f t="shared" si="4"/>
        <v>0</v>
      </c>
      <c r="AO72" s="37">
        <f t="shared" si="5"/>
        <v>0</v>
      </c>
      <c r="AP72" s="37"/>
      <c r="AQ72" s="38">
        <v>26</v>
      </c>
      <c r="AR72" s="39">
        <f t="shared" si="6"/>
        <v>0</v>
      </c>
    </row>
    <row r="73" s="105" customFormat="1" ht="19.5" customHeight="1" spans="1:44">
      <c r="A73" s="68">
        <v>62</v>
      </c>
      <c r="B73" s="219" t="s">
        <v>85</v>
      </c>
      <c r="C73" s="150" t="s">
        <v>59</v>
      </c>
      <c r="D73" s="149" t="str">
        <f>VLOOKUP(B73,'[1]MASTER DATA 2025'!$C$3:$E$279,3,0)</f>
        <v>1Tahun3 Bulan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259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J73" s="151">
        <f t="shared" si="0"/>
        <v>0</v>
      </c>
      <c r="AK73" s="35">
        <f t="shared" si="1"/>
        <v>0</v>
      </c>
      <c r="AL73" s="35">
        <f t="shared" si="2"/>
        <v>0</v>
      </c>
      <c r="AM73" s="47">
        <f t="shared" si="3"/>
        <v>0</v>
      </c>
      <c r="AN73" s="36">
        <f t="shared" si="4"/>
        <v>0</v>
      </c>
      <c r="AO73" s="37">
        <f t="shared" si="5"/>
        <v>0</v>
      </c>
      <c r="AP73" s="37" t="s">
        <v>25</v>
      </c>
      <c r="AQ73" s="38">
        <v>26</v>
      </c>
      <c r="AR73" s="39">
        <f t="shared" si="6"/>
        <v>0</v>
      </c>
    </row>
    <row r="74" s="105" customFormat="1" ht="19.5" customHeight="1" spans="1:44">
      <c r="A74" s="68">
        <v>63</v>
      </c>
      <c r="B74" s="219" t="s">
        <v>86</v>
      </c>
      <c r="C74" s="150" t="s">
        <v>59</v>
      </c>
      <c r="D74" s="149" t="str">
        <f>VLOOKUP(B74,'[1]MASTER DATA 2025'!$C$3:$E$279,3,0)</f>
        <v>2Tahun7 Bulan</v>
      </c>
      <c r="E74" s="96"/>
      <c r="F74" s="96"/>
      <c r="G74" s="96"/>
      <c r="H74" s="96"/>
      <c r="I74" s="96"/>
      <c r="J74" s="96"/>
      <c r="K74" s="96" t="s">
        <v>11</v>
      </c>
      <c r="L74" s="96"/>
      <c r="M74" s="96"/>
      <c r="N74" s="96"/>
      <c r="O74" s="96"/>
      <c r="P74" s="96"/>
      <c r="Q74" s="96"/>
      <c r="R74" s="96"/>
      <c r="S74" s="96"/>
      <c r="T74" s="259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J74" s="151">
        <f t="shared" si="0"/>
        <v>0</v>
      </c>
      <c r="AK74" s="35">
        <f t="shared" si="1"/>
        <v>1</v>
      </c>
      <c r="AL74" s="35">
        <f t="shared" si="2"/>
        <v>0</v>
      </c>
      <c r="AM74" s="36">
        <f t="shared" si="3"/>
        <v>0</v>
      </c>
      <c r="AN74" s="36">
        <f t="shared" si="4"/>
        <v>0</v>
      </c>
      <c r="AO74" s="37">
        <f t="shared" si="5"/>
        <v>1</v>
      </c>
      <c r="AP74" s="37"/>
      <c r="AQ74" s="38">
        <v>26</v>
      </c>
      <c r="AR74" s="39">
        <f t="shared" si="6"/>
        <v>0.0384615384615385</v>
      </c>
    </row>
    <row r="75" s="105" customFormat="1" ht="19.5" customHeight="1" spans="1:44">
      <c r="A75" s="68">
        <v>64</v>
      </c>
      <c r="B75" s="219" t="s">
        <v>119</v>
      </c>
      <c r="C75" s="150" t="s">
        <v>59</v>
      </c>
      <c r="D75" s="152" t="s">
        <v>153</v>
      </c>
      <c r="E75" s="96"/>
      <c r="F75" s="96"/>
      <c r="G75" s="96"/>
      <c r="H75" s="96" t="s">
        <v>11</v>
      </c>
      <c r="I75" s="96" t="s">
        <v>11</v>
      </c>
      <c r="J75" s="96" t="s">
        <v>11</v>
      </c>
      <c r="K75" s="96" t="s">
        <v>11</v>
      </c>
      <c r="L75" s="96"/>
      <c r="M75" s="96"/>
      <c r="N75" s="96"/>
      <c r="O75" s="96"/>
      <c r="P75" s="96"/>
      <c r="Q75" s="96"/>
      <c r="R75" s="96"/>
      <c r="S75" s="96" t="s">
        <v>11</v>
      </c>
      <c r="T75" s="259"/>
      <c r="U75" s="96"/>
      <c r="V75" s="96"/>
      <c r="W75" s="96" t="s">
        <v>12</v>
      </c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J75" s="151">
        <f t="shared" si="0"/>
        <v>0</v>
      </c>
      <c r="AK75" s="35">
        <f t="shared" si="1"/>
        <v>5</v>
      </c>
      <c r="AL75" s="36">
        <f t="shared" si="2"/>
        <v>1</v>
      </c>
      <c r="AM75" s="35">
        <f t="shared" si="3"/>
        <v>0</v>
      </c>
      <c r="AN75" s="36">
        <f t="shared" si="4"/>
        <v>0</v>
      </c>
      <c r="AO75" s="37">
        <f t="shared" si="5"/>
        <v>6</v>
      </c>
      <c r="AP75" s="37" t="s">
        <v>222</v>
      </c>
      <c r="AQ75" s="38">
        <v>26</v>
      </c>
      <c r="AR75" s="39">
        <f t="shared" si="6"/>
        <v>0.230769230769231</v>
      </c>
    </row>
    <row r="76" s="105" customFormat="1" ht="19.5" customHeight="1" spans="1:44">
      <c r="A76" s="68">
        <v>65</v>
      </c>
      <c r="B76" s="219" t="s">
        <v>88</v>
      </c>
      <c r="C76" s="150" t="s">
        <v>16</v>
      </c>
      <c r="D76" s="149" t="str">
        <f>VLOOKUP(B76,'[1]MASTER DATA 2025'!$C$3:$E$279,3,0)</f>
        <v>1Tahun2 Bulan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259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 t="s">
        <v>11</v>
      </c>
      <c r="AG76" s="96"/>
      <c r="AH76" s="96"/>
      <c r="AJ76" s="151">
        <f t="shared" ref="AJ76:AJ139" si="7">COUNTIF(E76:AH76,"H")</f>
        <v>0</v>
      </c>
      <c r="AK76" s="35">
        <f t="shared" ref="AK76:AK139" si="8">COUNTIF(E76:AH76,"S")</f>
        <v>1</v>
      </c>
      <c r="AL76" s="36">
        <f t="shared" ref="AL76:AL139" si="9">COUNTIF(E76:AH76,"I")</f>
        <v>0</v>
      </c>
      <c r="AM76" s="35">
        <f t="shared" ref="AM76:AM139" si="10">COUNTIF(E76:AH76,"A")</f>
        <v>0</v>
      </c>
      <c r="AN76" s="36">
        <f t="shared" ref="AN76:AN131" si="11">COUNTIF(E76:AH76,"OFF")</f>
        <v>0</v>
      </c>
      <c r="AO76" s="37">
        <f t="shared" ref="AO76:AO139" si="12">SUM(AJ76:AM76)</f>
        <v>1</v>
      </c>
      <c r="AP76" s="38" t="s">
        <v>223</v>
      </c>
      <c r="AQ76" s="38">
        <v>26</v>
      </c>
      <c r="AR76" s="39">
        <f t="shared" ref="AR76:AR92" si="13">AO76/AQ76</f>
        <v>0.0384615384615385</v>
      </c>
    </row>
    <row r="77" s="105" customFormat="1" ht="19.5" customHeight="1" spans="1:44">
      <c r="A77" s="68">
        <v>66</v>
      </c>
      <c r="B77" s="219" t="s">
        <v>89</v>
      </c>
      <c r="C77" s="150" t="s">
        <v>16</v>
      </c>
      <c r="D77" s="149" t="str">
        <f>VLOOKUP(B77,'[1]MASTER DATA 2025'!$C$3:$E$279,3,0)</f>
        <v>0Tahun2 Bulan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259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J77" s="151">
        <f t="shared" si="7"/>
        <v>0</v>
      </c>
      <c r="AK77" s="35">
        <f t="shared" si="8"/>
        <v>0</v>
      </c>
      <c r="AL77" s="36">
        <f t="shared" si="9"/>
        <v>0</v>
      </c>
      <c r="AM77" s="35">
        <f t="shared" si="10"/>
        <v>0</v>
      </c>
      <c r="AN77" s="36">
        <f t="shared" si="11"/>
        <v>0</v>
      </c>
      <c r="AO77" s="37">
        <f t="shared" si="12"/>
        <v>0</v>
      </c>
      <c r="AP77" s="37" t="s">
        <v>25</v>
      </c>
      <c r="AQ77" s="38">
        <v>26</v>
      </c>
      <c r="AR77" s="39">
        <f t="shared" si="13"/>
        <v>0</v>
      </c>
    </row>
    <row r="78" s="105" customFormat="1" ht="19.5" customHeight="1" spans="1:44">
      <c r="A78" s="68">
        <v>67</v>
      </c>
      <c r="B78" s="219" t="s">
        <v>90</v>
      </c>
      <c r="C78" s="150" t="s">
        <v>16</v>
      </c>
      <c r="D78" s="149" t="str">
        <f>VLOOKUP(B78,'[1]MASTER DATA 2025'!$C$3:$E$279,3,0)</f>
        <v>0Tahun7 Bulan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259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J78" s="151">
        <f t="shared" si="7"/>
        <v>0</v>
      </c>
      <c r="AK78" s="35">
        <f t="shared" si="8"/>
        <v>0</v>
      </c>
      <c r="AL78" s="36">
        <f t="shared" si="9"/>
        <v>0</v>
      </c>
      <c r="AM78" s="36">
        <f t="shared" si="10"/>
        <v>0</v>
      </c>
      <c r="AN78" s="36">
        <f t="shared" si="11"/>
        <v>0</v>
      </c>
      <c r="AO78" s="37">
        <f t="shared" si="12"/>
        <v>0</v>
      </c>
      <c r="AP78" s="37"/>
      <c r="AQ78" s="38">
        <v>26</v>
      </c>
      <c r="AR78" s="39">
        <f t="shared" si="13"/>
        <v>0</v>
      </c>
    </row>
    <row r="79" s="105" customFormat="1" ht="19.5" customHeight="1" spans="1:44">
      <c r="A79" s="68">
        <v>68</v>
      </c>
      <c r="B79" s="264" t="s">
        <v>91</v>
      </c>
      <c r="C79" s="150" t="s">
        <v>16</v>
      </c>
      <c r="D79" s="149" t="str">
        <f>VLOOKUP(B79,'[1]MASTER DATA 2025'!$C$3:$E$279,3,0)</f>
        <v>0Tahun7Bulan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259"/>
      <c r="U79" s="96"/>
      <c r="V79" s="96" t="s">
        <v>13</v>
      </c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J79" s="151">
        <f t="shared" si="7"/>
        <v>0</v>
      </c>
      <c r="AK79" s="35">
        <f t="shared" si="8"/>
        <v>0</v>
      </c>
      <c r="AL79" s="36">
        <f t="shared" si="9"/>
        <v>0</v>
      </c>
      <c r="AM79" s="36">
        <f t="shared" si="10"/>
        <v>1</v>
      </c>
      <c r="AN79" s="36">
        <f t="shared" si="11"/>
        <v>0</v>
      </c>
      <c r="AO79" s="37">
        <f t="shared" si="12"/>
        <v>1</v>
      </c>
      <c r="AP79" s="52" t="s">
        <v>201</v>
      </c>
      <c r="AQ79" s="38">
        <v>26</v>
      </c>
      <c r="AR79" s="39">
        <f t="shared" si="13"/>
        <v>0.0384615384615385</v>
      </c>
    </row>
    <row r="80" s="105" customFormat="1" ht="19.5" customHeight="1" spans="1:44">
      <c r="A80" s="68">
        <v>69</v>
      </c>
      <c r="B80" s="219" t="s">
        <v>92</v>
      </c>
      <c r="C80" s="150" t="s">
        <v>16</v>
      </c>
      <c r="D80" s="149" t="str">
        <f>VLOOKUP(B80,'[1]MASTER DATA 2025'!$C$3:$E$279,3,0)</f>
        <v>0Tahun2 Bulan</v>
      </c>
      <c r="E80" s="96"/>
      <c r="F80" s="96"/>
      <c r="G80" s="96"/>
      <c r="H80" s="96"/>
      <c r="I80" s="96"/>
      <c r="J80" s="96"/>
      <c r="K80" s="96"/>
      <c r="L80" s="96" t="s">
        <v>13</v>
      </c>
      <c r="M80" s="96"/>
      <c r="N80" s="96"/>
      <c r="O80" s="96"/>
      <c r="P80" s="96"/>
      <c r="Q80" s="96" t="s">
        <v>13</v>
      </c>
      <c r="R80" s="96"/>
      <c r="S80" s="96"/>
      <c r="T80" s="259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J80" s="151">
        <f t="shared" si="7"/>
        <v>0</v>
      </c>
      <c r="AK80" s="35">
        <f t="shared" si="8"/>
        <v>0</v>
      </c>
      <c r="AL80" s="36">
        <f t="shared" si="9"/>
        <v>0</v>
      </c>
      <c r="AM80" s="35">
        <f t="shared" si="10"/>
        <v>2</v>
      </c>
      <c r="AN80" s="36">
        <f t="shared" si="11"/>
        <v>0</v>
      </c>
      <c r="AO80" s="37">
        <f t="shared" si="12"/>
        <v>2</v>
      </c>
      <c r="AP80" s="37" t="s">
        <v>224</v>
      </c>
      <c r="AQ80" s="38">
        <v>26</v>
      </c>
      <c r="AR80" s="39">
        <f t="shared" si="13"/>
        <v>0.0769230769230769</v>
      </c>
    </row>
    <row r="81" s="105" customFormat="1" ht="19.5" customHeight="1" spans="1:44">
      <c r="A81" s="68">
        <v>70</v>
      </c>
      <c r="B81" s="219" t="s">
        <v>93</v>
      </c>
      <c r="C81" s="150" t="s">
        <v>16</v>
      </c>
      <c r="D81" s="149" t="str">
        <f>VLOOKUP(B81,'[1]MASTER DATA 2025'!$C$3:$E$279,3,0)</f>
        <v>0Tahun2 Bulan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259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J81" s="151">
        <f t="shared" si="7"/>
        <v>0</v>
      </c>
      <c r="AK81" s="35">
        <f t="shared" si="8"/>
        <v>0</v>
      </c>
      <c r="AL81" s="36">
        <f t="shared" si="9"/>
        <v>0</v>
      </c>
      <c r="AM81" s="35">
        <f t="shared" si="10"/>
        <v>0</v>
      </c>
      <c r="AN81" s="36">
        <f t="shared" si="11"/>
        <v>0</v>
      </c>
      <c r="AO81" s="37">
        <f t="shared" si="12"/>
        <v>0</v>
      </c>
      <c r="AP81" s="37"/>
      <c r="AQ81" s="38">
        <v>26</v>
      </c>
      <c r="AR81" s="39">
        <f t="shared" si="13"/>
        <v>0</v>
      </c>
    </row>
    <row r="82" s="105" customFormat="1" ht="19.5" customHeight="1" spans="1:44">
      <c r="A82" s="68">
        <v>71</v>
      </c>
      <c r="B82" s="219" t="s">
        <v>94</v>
      </c>
      <c r="C82" s="150" t="s">
        <v>16</v>
      </c>
      <c r="D82" s="149" t="str">
        <f>VLOOKUP(B82,'[1]MASTER DATA 2025'!$C$3:$E$279,3,0)</f>
        <v>0Tahun2 Bulan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259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J82" s="151">
        <f t="shared" si="7"/>
        <v>0</v>
      </c>
      <c r="AK82" s="35">
        <f t="shared" si="8"/>
        <v>0</v>
      </c>
      <c r="AL82" s="36">
        <f t="shared" si="9"/>
        <v>0</v>
      </c>
      <c r="AM82" s="36">
        <f t="shared" si="10"/>
        <v>0</v>
      </c>
      <c r="AN82" s="36">
        <f t="shared" si="11"/>
        <v>0</v>
      </c>
      <c r="AO82" s="37">
        <f t="shared" si="12"/>
        <v>0</v>
      </c>
      <c r="AP82" s="37" t="s">
        <v>25</v>
      </c>
      <c r="AQ82" s="38">
        <v>26</v>
      </c>
      <c r="AR82" s="39">
        <f t="shared" si="13"/>
        <v>0</v>
      </c>
    </row>
    <row r="83" s="105" customFormat="1" ht="19.5" customHeight="1" spans="1:44">
      <c r="A83" s="68">
        <v>72</v>
      </c>
      <c r="B83" s="219" t="s">
        <v>95</v>
      </c>
      <c r="C83" s="150" t="s">
        <v>59</v>
      </c>
      <c r="D83" s="152" t="s">
        <v>225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 t="s">
        <v>13</v>
      </c>
      <c r="P83" s="96"/>
      <c r="Q83" s="96"/>
      <c r="R83" s="96"/>
      <c r="S83" s="96"/>
      <c r="T83" s="259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J83" s="151">
        <f t="shared" si="7"/>
        <v>0</v>
      </c>
      <c r="AK83" s="35">
        <f t="shared" si="8"/>
        <v>0</v>
      </c>
      <c r="AL83" s="36">
        <f t="shared" si="9"/>
        <v>0</v>
      </c>
      <c r="AM83" s="36">
        <f t="shared" si="10"/>
        <v>1</v>
      </c>
      <c r="AN83" s="36">
        <f t="shared" si="11"/>
        <v>0</v>
      </c>
      <c r="AO83" s="37">
        <f t="shared" si="12"/>
        <v>1</v>
      </c>
      <c r="AP83" s="38" t="s">
        <v>226</v>
      </c>
      <c r="AQ83" s="38">
        <v>26</v>
      </c>
      <c r="AR83" s="39">
        <f t="shared" si="13"/>
        <v>0.0384615384615385</v>
      </c>
    </row>
    <row r="84" s="105" customFormat="1" ht="19.5" customHeight="1" spans="1:44">
      <c r="A84" s="68">
        <v>73</v>
      </c>
      <c r="B84" s="219" t="s">
        <v>96</v>
      </c>
      <c r="C84" s="150" t="s">
        <v>59</v>
      </c>
      <c r="D84" s="152" t="s">
        <v>227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259"/>
      <c r="U84" s="96"/>
      <c r="V84" s="96"/>
      <c r="W84" s="96" t="s">
        <v>13</v>
      </c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J84" s="151">
        <f t="shared" si="7"/>
        <v>0</v>
      </c>
      <c r="AK84" s="35">
        <f t="shared" si="8"/>
        <v>0</v>
      </c>
      <c r="AL84" s="35">
        <f t="shared" si="9"/>
        <v>0</v>
      </c>
      <c r="AM84" s="47">
        <f t="shared" si="10"/>
        <v>1</v>
      </c>
      <c r="AN84" s="36">
        <f t="shared" si="11"/>
        <v>0</v>
      </c>
      <c r="AO84" s="37">
        <f t="shared" si="12"/>
        <v>1</v>
      </c>
      <c r="AP84" s="37" t="s">
        <v>228</v>
      </c>
      <c r="AQ84" s="38">
        <v>26</v>
      </c>
      <c r="AR84" s="39">
        <f t="shared" si="13"/>
        <v>0.0384615384615385</v>
      </c>
    </row>
    <row r="85" s="105" customFormat="1" ht="19.5" customHeight="1" spans="1:44">
      <c r="A85" s="68">
        <v>74</v>
      </c>
      <c r="B85" s="219" t="s">
        <v>97</v>
      </c>
      <c r="C85" s="150" t="s">
        <v>59</v>
      </c>
      <c r="D85" s="152" t="s">
        <v>229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259"/>
      <c r="U85" s="96"/>
      <c r="V85" s="96"/>
      <c r="W85" s="96" t="s">
        <v>11</v>
      </c>
      <c r="X85" s="96" t="s">
        <v>13</v>
      </c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J85" s="151">
        <f t="shared" si="7"/>
        <v>0</v>
      </c>
      <c r="AK85" s="35">
        <f t="shared" si="8"/>
        <v>1</v>
      </c>
      <c r="AL85" s="35">
        <f t="shared" si="9"/>
        <v>0</v>
      </c>
      <c r="AM85" s="47">
        <f t="shared" si="10"/>
        <v>1</v>
      </c>
      <c r="AN85" s="36">
        <f t="shared" si="11"/>
        <v>0</v>
      </c>
      <c r="AO85" s="37">
        <f t="shared" si="12"/>
        <v>2</v>
      </c>
      <c r="AP85" s="52" t="s">
        <v>230</v>
      </c>
      <c r="AQ85" s="38">
        <v>26</v>
      </c>
      <c r="AR85" s="39">
        <f t="shared" si="13"/>
        <v>0.0769230769230769</v>
      </c>
    </row>
    <row r="86" s="105" customFormat="1" ht="19.5" customHeight="1" spans="1:44">
      <c r="A86" s="68">
        <v>75</v>
      </c>
      <c r="B86" s="219" t="s">
        <v>98</v>
      </c>
      <c r="C86" s="150" t="s">
        <v>59</v>
      </c>
      <c r="D86" s="149" t="str">
        <f>VLOOKUP(B86,'[1]MASTER DATA 2025'!$C$3:$E$279,3,0)</f>
        <v>1Tahun3 Bulan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259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J86" s="151">
        <f t="shared" si="7"/>
        <v>0</v>
      </c>
      <c r="AK86" s="35">
        <f t="shared" si="8"/>
        <v>0</v>
      </c>
      <c r="AL86" s="36">
        <f t="shared" si="9"/>
        <v>0</v>
      </c>
      <c r="AM86" s="36">
        <f t="shared" si="10"/>
        <v>0</v>
      </c>
      <c r="AN86" s="36">
        <f t="shared" si="11"/>
        <v>0</v>
      </c>
      <c r="AO86" s="37">
        <f t="shared" si="12"/>
        <v>0</v>
      </c>
      <c r="AP86" s="37"/>
      <c r="AQ86" s="38">
        <v>26</v>
      </c>
      <c r="AR86" s="39">
        <f t="shared" si="13"/>
        <v>0</v>
      </c>
    </row>
    <row r="87" s="105" customFormat="1" ht="19.5" customHeight="1" spans="1:44">
      <c r="A87" s="68">
        <v>76</v>
      </c>
      <c r="B87" s="219" t="s">
        <v>99</v>
      </c>
      <c r="C87" s="150" t="s">
        <v>16</v>
      </c>
      <c r="D87" s="149" t="str">
        <f>VLOOKUP(B87,'[1]MASTER DATA 2025'!$C$3:$E$279,3,0)</f>
        <v>1Tahun4 Bulan</v>
      </c>
      <c r="E87" s="96"/>
      <c r="F87" s="96"/>
      <c r="G87" s="96"/>
      <c r="H87" s="96"/>
      <c r="I87" s="96"/>
      <c r="J87" s="96"/>
      <c r="K87" s="96" t="s">
        <v>11</v>
      </c>
      <c r="L87" s="96"/>
      <c r="M87" s="96"/>
      <c r="N87" s="96"/>
      <c r="O87" s="96"/>
      <c r="P87" s="96"/>
      <c r="Q87" s="96"/>
      <c r="R87" s="96"/>
      <c r="S87" s="96"/>
      <c r="T87" s="259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J87" s="151">
        <f t="shared" si="7"/>
        <v>0</v>
      </c>
      <c r="AK87" s="35">
        <f t="shared" si="8"/>
        <v>1</v>
      </c>
      <c r="AL87" s="36">
        <f t="shared" si="9"/>
        <v>0</v>
      </c>
      <c r="AM87" s="36">
        <f t="shared" si="10"/>
        <v>0</v>
      </c>
      <c r="AN87" s="36">
        <f t="shared" si="11"/>
        <v>0</v>
      </c>
      <c r="AO87" s="37">
        <f t="shared" si="12"/>
        <v>1</v>
      </c>
      <c r="AP87" s="37" t="s">
        <v>25</v>
      </c>
      <c r="AQ87" s="38">
        <v>26</v>
      </c>
      <c r="AR87" s="39">
        <f t="shared" si="13"/>
        <v>0.0384615384615385</v>
      </c>
    </row>
    <row r="88" s="105" customFormat="1" ht="19.5" customHeight="1" spans="1:44">
      <c r="A88" s="68">
        <v>77</v>
      </c>
      <c r="B88" s="219" t="s">
        <v>100</v>
      </c>
      <c r="C88" s="150" t="s">
        <v>101</v>
      </c>
      <c r="D88" s="149" t="s">
        <v>231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 t="s">
        <v>13</v>
      </c>
      <c r="R88" s="96"/>
      <c r="S88" s="96"/>
      <c r="T88" s="259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J88" s="151">
        <f t="shared" si="7"/>
        <v>0</v>
      </c>
      <c r="AK88" s="35">
        <f t="shared" si="8"/>
        <v>0</v>
      </c>
      <c r="AL88" s="35">
        <f t="shared" si="9"/>
        <v>0</v>
      </c>
      <c r="AM88" s="47">
        <f t="shared" si="10"/>
        <v>1</v>
      </c>
      <c r="AN88" s="36">
        <f t="shared" si="11"/>
        <v>0</v>
      </c>
      <c r="AO88" s="37">
        <f t="shared" si="12"/>
        <v>1</v>
      </c>
      <c r="AP88" s="37" t="s">
        <v>216</v>
      </c>
      <c r="AQ88" s="38">
        <v>26</v>
      </c>
      <c r="AR88" s="39">
        <f t="shared" si="13"/>
        <v>0.0384615384615385</v>
      </c>
    </row>
    <row r="89" s="105" customFormat="1" ht="19.5" customHeight="1" spans="1:44">
      <c r="A89" s="68">
        <v>78</v>
      </c>
      <c r="B89" s="219" t="s">
        <v>102</v>
      </c>
      <c r="C89" s="150" t="s">
        <v>16</v>
      </c>
      <c r="D89" s="149" t="str">
        <f>VLOOKUP(B89,'[1]MASTER DATA 2025'!$C$3:$E$279,3,0)</f>
        <v>3Tahun9 Bulan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259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J89" s="151">
        <f t="shared" si="7"/>
        <v>0</v>
      </c>
      <c r="AK89" s="35">
        <f t="shared" si="8"/>
        <v>0</v>
      </c>
      <c r="AL89" s="36">
        <f t="shared" si="9"/>
        <v>0</v>
      </c>
      <c r="AM89" s="36">
        <f t="shared" si="10"/>
        <v>0</v>
      </c>
      <c r="AN89" s="36">
        <f t="shared" si="11"/>
        <v>0</v>
      </c>
      <c r="AO89" s="37">
        <f t="shared" si="12"/>
        <v>0</v>
      </c>
      <c r="AP89" s="37"/>
      <c r="AQ89" s="38">
        <v>26</v>
      </c>
      <c r="AR89" s="39">
        <f t="shared" si="13"/>
        <v>0</v>
      </c>
    </row>
    <row r="90" s="105" customFormat="1" ht="19.5" customHeight="1" spans="1:44">
      <c r="A90" s="68">
        <v>79</v>
      </c>
      <c r="B90" s="219" t="s">
        <v>104</v>
      </c>
      <c r="C90" s="150" t="s">
        <v>16</v>
      </c>
      <c r="D90" s="149" t="str">
        <f>VLOOKUP(B90,'[1]MASTER DATA 2025'!$C$3:$E$279,3,0)</f>
        <v>2Tahun10 Bulan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259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J90" s="151">
        <f t="shared" si="7"/>
        <v>0</v>
      </c>
      <c r="AK90" s="35">
        <f t="shared" si="8"/>
        <v>0</v>
      </c>
      <c r="AL90" s="36">
        <f t="shared" si="9"/>
        <v>0</v>
      </c>
      <c r="AM90" s="36">
        <f t="shared" si="10"/>
        <v>0</v>
      </c>
      <c r="AN90" s="36">
        <f t="shared" si="11"/>
        <v>0</v>
      </c>
      <c r="AO90" s="37">
        <f t="shared" si="12"/>
        <v>0</v>
      </c>
      <c r="AP90" s="37" t="s">
        <v>25</v>
      </c>
      <c r="AQ90" s="38">
        <v>26</v>
      </c>
      <c r="AR90" s="39">
        <f t="shared" si="13"/>
        <v>0</v>
      </c>
    </row>
    <row r="91" s="105" customFormat="1" ht="19.5" customHeight="1" spans="1:44">
      <c r="A91" s="68">
        <v>80</v>
      </c>
      <c r="B91" s="219" t="s">
        <v>121</v>
      </c>
      <c r="C91" s="150" t="s">
        <v>16</v>
      </c>
      <c r="D91" s="149" t="str">
        <f>VLOOKUP(B91,'[1]MASTER DATA 2025'!$C$3:$E$279,3,0)</f>
        <v>0Tahun5 Bulan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259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J91" s="151">
        <f t="shared" si="7"/>
        <v>0</v>
      </c>
      <c r="AK91" s="35">
        <f t="shared" si="8"/>
        <v>0</v>
      </c>
      <c r="AL91" s="36">
        <f t="shared" si="9"/>
        <v>0</v>
      </c>
      <c r="AM91" s="35">
        <f t="shared" si="10"/>
        <v>0</v>
      </c>
      <c r="AN91" s="36">
        <f t="shared" si="11"/>
        <v>0</v>
      </c>
      <c r="AO91" s="37">
        <f t="shared" si="12"/>
        <v>0</v>
      </c>
      <c r="AP91" s="37" t="s">
        <v>25</v>
      </c>
      <c r="AQ91" s="38">
        <v>26</v>
      </c>
      <c r="AR91" s="39">
        <f t="shared" si="13"/>
        <v>0</v>
      </c>
    </row>
    <row r="92" s="105" customFormat="1" ht="19.5" customHeight="1" spans="1:44">
      <c r="A92" s="68">
        <v>81</v>
      </c>
      <c r="B92" s="219" t="s">
        <v>106</v>
      </c>
      <c r="C92" s="150" t="s">
        <v>59</v>
      </c>
      <c r="D92" s="149" t="str">
        <f>VLOOKUP(B92,'[1]MASTER DATA 2025'!$C$3:$E$279,3,0)</f>
        <v>0Tahun8 Bulan</v>
      </c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259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J92" s="151">
        <f t="shared" si="7"/>
        <v>0</v>
      </c>
      <c r="AK92" s="35">
        <f t="shared" si="8"/>
        <v>0</v>
      </c>
      <c r="AL92" s="36">
        <f t="shared" si="9"/>
        <v>0</v>
      </c>
      <c r="AM92" s="35">
        <f t="shared" si="10"/>
        <v>0</v>
      </c>
      <c r="AN92" s="36">
        <f t="shared" si="11"/>
        <v>0</v>
      </c>
      <c r="AO92" s="37">
        <f t="shared" si="12"/>
        <v>0</v>
      </c>
      <c r="AP92" s="49" t="s">
        <v>120</v>
      </c>
      <c r="AQ92" s="38">
        <v>26</v>
      </c>
      <c r="AR92" s="39">
        <f t="shared" si="13"/>
        <v>0</v>
      </c>
    </row>
    <row r="93" s="105" customFormat="1" ht="19.5" customHeight="1" spans="1:44">
      <c r="A93" s="68">
        <v>82</v>
      </c>
      <c r="B93" s="219" t="s">
        <v>107</v>
      </c>
      <c r="C93" s="150" t="s">
        <v>108</v>
      </c>
      <c r="D93" s="149" t="str">
        <f>VLOOKUP(B93,'[1]MASTER DATA 2025'!$C$3:$E$279,3,0)</f>
        <v>1Tahun3 Bulan</v>
      </c>
      <c r="E93" s="96"/>
      <c r="F93" s="96"/>
      <c r="G93" s="96"/>
      <c r="H93" s="96"/>
      <c r="I93" s="96"/>
      <c r="J93" s="96"/>
      <c r="K93" s="96"/>
      <c r="L93" s="96" t="s">
        <v>13</v>
      </c>
      <c r="M93" s="96"/>
      <c r="N93" s="96"/>
      <c r="O93" s="96"/>
      <c r="P93" s="96"/>
      <c r="Q93" s="96"/>
      <c r="R93" s="96"/>
      <c r="S93" s="96"/>
      <c r="T93" s="259" t="s">
        <v>12</v>
      </c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J93" s="151">
        <f t="shared" si="7"/>
        <v>0</v>
      </c>
      <c r="AK93" s="47">
        <f t="shared" si="8"/>
        <v>0</v>
      </c>
      <c r="AL93" s="36">
        <f t="shared" si="9"/>
        <v>1</v>
      </c>
      <c r="AM93" s="35">
        <f t="shared" si="10"/>
        <v>1</v>
      </c>
      <c r="AN93" s="36">
        <f t="shared" si="11"/>
        <v>0</v>
      </c>
      <c r="AO93" s="48">
        <f t="shared" si="12"/>
        <v>2</v>
      </c>
      <c r="AP93" s="37" t="s">
        <v>224</v>
      </c>
      <c r="AQ93" s="38"/>
      <c r="AR93" s="39"/>
    </row>
    <row r="94" s="105" customFormat="1" ht="19.5" customHeight="1" spans="1:44">
      <c r="A94" s="68">
        <v>83</v>
      </c>
      <c r="B94" s="265" t="s">
        <v>109</v>
      </c>
      <c r="C94" s="150" t="s">
        <v>16</v>
      </c>
      <c r="D94" s="149" t="str">
        <f>VLOOKUP(B94,'[1]MASTER DATA 2025'!$C$3:$E$279,3,0)</f>
        <v>0Tahun1 Bulan</v>
      </c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259" t="s">
        <v>13</v>
      </c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J94" s="151">
        <f t="shared" si="7"/>
        <v>0</v>
      </c>
      <c r="AK94" s="35">
        <f t="shared" si="8"/>
        <v>0</v>
      </c>
      <c r="AL94" s="35">
        <f t="shared" si="9"/>
        <v>0</v>
      </c>
      <c r="AM94" s="35">
        <f t="shared" si="10"/>
        <v>1</v>
      </c>
      <c r="AN94" s="36">
        <f t="shared" si="11"/>
        <v>0</v>
      </c>
      <c r="AO94" s="37">
        <f t="shared" si="12"/>
        <v>1</v>
      </c>
      <c r="AP94" s="52" t="s">
        <v>201</v>
      </c>
      <c r="AQ94" s="38"/>
      <c r="AR94" s="39"/>
    </row>
    <row r="95" s="105" customFormat="1" ht="19.5" customHeight="1" spans="1:44">
      <c r="A95" s="68">
        <v>84</v>
      </c>
      <c r="B95" s="249" t="s">
        <v>110</v>
      </c>
      <c r="C95" s="164" t="s">
        <v>111</v>
      </c>
      <c r="D95" s="149" t="s">
        <v>112</v>
      </c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 t="s">
        <v>13</v>
      </c>
      <c r="T95" s="259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J95" s="151">
        <f t="shared" si="7"/>
        <v>0</v>
      </c>
      <c r="AK95" s="35">
        <f t="shared" si="8"/>
        <v>0</v>
      </c>
      <c r="AL95" s="36">
        <f t="shared" si="9"/>
        <v>0</v>
      </c>
      <c r="AM95" s="36">
        <f t="shared" si="10"/>
        <v>1</v>
      </c>
      <c r="AN95" s="36">
        <f t="shared" si="11"/>
        <v>0</v>
      </c>
      <c r="AO95" s="37">
        <f t="shared" si="12"/>
        <v>1</v>
      </c>
      <c r="AP95" s="38" t="s">
        <v>232</v>
      </c>
      <c r="AQ95" s="38"/>
      <c r="AR95" s="39"/>
    </row>
    <row r="96" s="105" customFormat="1" ht="19.5" customHeight="1" spans="1:44">
      <c r="A96" s="68">
        <v>85</v>
      </c>
      <c r="B96" s="249" t="s">
        <v>113</v>
      </c>
      <c r="C96" s="164" t="s">
        <v>16</v>
      </c>
      <c r="D96" s="149" t="str">
        <f>VLOOKUP(B96,'[1]MASTER DATA 2025'!$C$3:$E$279,3,0)</f>
        <v>0Tahun1 Bulan</v>
      </c>
      <c r="E96" s="96"/>
      <c r="F96" s="96"/>
      <c r="G96" s="96"/>
      <c r="H96" s="96"/>
      <c r="I96" s="96"/>
      <c r="J96" s="96"/>
      <c r="K96" s="96"/>
      <c r="L96" s="96"/>
      <c r="M96" s="96" t="s">
        <v>12</v>
      </c>
      <c r="N96" s="96"/>
      <c r="O96" s="96"/>
      <c r="P96" s="96"/>
      <c r="Q96" s="96"/>
      <c r="R96" s="96"/>
      <c r="S96" s="96"/>
      <c r="T96" s="259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J96" s="151">
        <f t="shared" si="7"/>
        <v>0</v>
      </c>
      <c r="AK96" s="35">
        <f t="shared" si="8"/>
        <v>0</v>
      </c>
      <c r="AL96" s="35">
        <f t="shared" si="9"/>
        <v>1</v>
      </c>
      <c r="AM96" s="35">
        <f t="shared" si="10"/>
        <v>0</v>
      </c>
      <c r="AN96" s="36">
        <f t="shared" si="11"/>
        <v>0</v>
      </c>
      <c r="AO96" s="37">
        <f t="shared" si="12"/>
        <v>1</v>
      </c>
      <c r="AP96" s="37" t="s">
        <v>233</v>
      </c>
      <c r="AQ96" s="38">
        <v>26</v>
      </c>
      <c r="AR96" s="39">
        <f t="shared" ref="AR96:AR102" si="14">AO96/AQ96</f>
        <v>0.0384615384615385</v>
      </c>
    </row>
    <row r="97" s="105" customFormat="1" ht="19.5" customHeight="1" spans="1:44">
      <c r="A97" s="68">
        <v>86</v>
      </c>
      <c r="B97" s="249" t="s">
        <v>114</v>
      </c>
      <c r="C97" s="164" t="s">
        <v>16</v>
      </c>
      <c r="D97" s="149" t="str">
        <f>VLOOKUP(B97,'[1]MASTER DATA 2025'!$C$3:$E$279,3,0)</f>
        <v>0Tahun1 Bulan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259" t="s">
        <v>13</v>
      </c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 t="s">
        <v>11</v>
      </c>
      <c r="AF97" s="96"/>
      <c r="AG97" s="96"/>
      <c r="AH97" s="96"/>
      <c r="AJ97" s="151">
        <f t="shared" si="7"/>
        <v>0</v>
      </c>
      <c r="AK97" s="35">
        <f t="shared" si="8"/>
        <v>1</v>
      </c>
      <c r="AL97" s="36">
        <f t="shared" si="9"/>
        <v>0</v>
      </c>
      <c r="AM97" s="36">
        <f t="shared" si="10"/>
        <v>1</v>
      </c>
      <c r="AN97" s="36">
        <f t="shared" si="11"/>
        <v>0</v>
      </c>
      <c r="AO97" s="37">
        <f t="shared" si="12"/>
        <v>2</v>
      </c>
      <c r="AP97" s="130" t="s">
        <v>234</v>
      </c>
      <c r="AQ97" s="38">
        <v>26</v>
      </c>
      <c r="AR97" s="39">
        <f t="shared" si="14"/>
        <v>0.0769230769230769</v>
      </c>
    </row>
    <row r="98" s="105" customFormat="1" ht="19.5" customHeight="1" spans="1:44">
      <c r="A98" s="68">
        <v>87</v>
      </c>
      <c r="B98" s="249" t="s">
        <v>115</v>
      </c>
      <c r="C98" s="164" t="s">
        <v>16</v>
      </c>
      <c r="D98" s="149" t="str">
        <f>VLOOKUP(B98,'[1]MASTER DATA 2025'!$C$3:$E$279,3,0)</f>
        <v>0Tahun1 Bulan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259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J98" s="151">
        <f t="shared" si="7"/>
        <v>0</v>
      </c>
      <c r="AK98" s="35">
        <f t="shared" si="8"/>
        <v>0</v>
      </c>
      <c r="AL98" s="36">
        <f t="shared" si="9"/>
        <v>0</v>
      </c>
      <c r="AM98" s="36">
        <f t="shared" si="10"/>
        <v>0</v>
      </c>
      <c r="AN98" s="36">
        <f t="shared" si="11"/>
        <v>0</v>
      </c>
      <c r="AO98" s="37">
        <f t="shared" si="12"/>
        <v>0</v>
      </c>
      <c r="AP98" s="37" t="s">
        <v>25</v>
      </c>
      <c r="AQ98" s="38">
        <v>26</v>
      </c>
      <c r="AR98" s="39">
        <f t="shared" si="14"/>
        <v>0</v>
      </c>
    </row>
    <row r="99" s="105" customFormat="1" ht="19.5" customHeight="1" spans="1:44">
      <c r="A99" s="68">
        <v>88</v>
      </c>
      <c r="B99" s="249" t="s">
        <v>122</v>
      </c>
      <c r="C99" s="164" t="s">
        <v>20</v>
      </c>
      <c r="D99" s="149" t="str">
        <f>VLOOKUP(B99,'[1]MASTER DATA 2025'!$C$3:$E$279,3,0)</f>
        <v>0Tahun2 Bulan</v>
      </c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259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J99" s="151">
        <f t="shared" si="7"/>
        <v>0</v>
      </c>
      <c r="AK99" s="35">
        <f t="shared" si="8"/>
        <v>0</v>
      </c>
      <c r="AL99" s="35">
        <f t="shared" si="9"/>
        <v>0</v>
      </c>
      <c r="AM99" s="47">
        <f t="shared" si="10"/>
        <v>0</v>
      </c>
      <c r="AN99" s="36">
        <f t="shared" si="11"/>
        <v>0</v>
      </c>
      <c r="AO99" s="48">
        <f t="shared" si="12"/>
        <v>0</v>
      </c>
      <c r="AP99" s="49" t="s">
        <v>118</v>
      </c>
      <c r="AQ99" s="38">
        <v>26</v>
      </c>
      <c r="AR99" s="39">
        <f t="shared" si="14"/>
        <v>0</v>
      </c>
    </row>
    <row r="100" s="105" customFormat="1" ht="19.5" customHeight="1" spans="1:44">
      <c r="A100" s="68">
        <v>89</v>
      </c>
      <c r="B100" s="265" t="s">
        <v>123</v>
      </c>
      <c r="C100" s="164" t="s">
        <v>124</v>
      </c>
      <c r="D100" s="149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259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J100" s="151">
        <f t="shared" si="7"/>
        <v>0</v>
      </c>
      <c r="AK100" s="47">
        <f t="shared" si="8"/>
        <v>0</v>
      </c>
      <c r="AL100" s="35">
        <f t="shared" si="9"/>
        <v>0</v>
      </c>
      <c r="AM100" s="35">
        <f t="shared" si="10"/>
        <v>0</v>
      </c>
      <c r="AN100" s="36">
        <f t="shared" si="11"/>
        <v>0</v>
      </c>
      <c r="AO100" s="48">
        <f t="shared" si="12"/>
        <v>0</v>
      </c>
      <c r="AP100" s="49" t="s">
        <v>125</v>
      </c>
      <c r="AQ100" s="38">
        <v>26</v>
      </c>
      <c r="AR100" s="39">
        <f t="shared" si="14"/>
        <v>0</v>
      </c>
    </row>
    <row r="101" s="105" customFormat="1" ht="19.5" customHeight="1" spans="1:44">
      <c r="A101" s="68">
        <v>90</v>
      </c>
      <c r="B101" s="265" t="s">
        <v>126</v>
      </c>
      <c r="C101" s="164" t="s">
        <v>16</v>
      </c>
      <c r="D101" s="149" t="str">
        <f>VLOOKUP(B101,'[1]MASTER DATA 2025'!$C$3:$E$279,3,0)</f>
        <v>0Tahun7 Bulan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259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J101" s="151">
        <f t="shared" si="7"/>
        <v>0</v>
      </c>
      <c r="AK101" s="35">
        <f t="shared" si="8"/>
        <v>0</v>
      </c>
      <c r="AL101" s="35">
        <f t="shared" si="9"/>
        <v>0</v>
      </c>
      <c r="AM101" s="47">
        <f t="shared" si="10"/>
        <v>0</v>
      </c>
      <c r="AN101" s="36">
        <f t="shared" si="11"/>
        <v>0</v>
      </c>
      <c r="AO101" s="37">
        <f t="shared" si="12"/>
        <v>0</v>
      </c>
      <c r="AP101" s="49">
        <v>45946</v>
      </c>
      <c r="AQ101" s="38">
        <v>26</v>
      </c>
      <c r="AR101" s="39">
        <f t="shared" si="14"/>
        <v>0</v>
      </c>
    </row>
    <row r="102" s="105" customFormat="1" ht="19.5" customHeight="1" spans="1:44">
      <c r="A102" s="68">
        <v>91</v>
      </c>
      <c r="B102" s="265" t="s">
        <v>127</v>
      </c>
      <c r="C102" s="164" t="s">
        <v>61</v>
      </c>
      <c r="D102" s="149" t="str">
        <f>VLOOKUP(B102,'[1]MASTER DATA 2025'!$C$3:$E$279,3,0)</f>
        <v>0Tahun8 Bulan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259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J102" s="151">
        <f t="shared" si="7"/>
        <v>0</v>
      </c>
      <c r="AK102" s="47">
        <f t="shared" si="8"/>
        <v>0</v>
      </c>
      <c r="AL102" s="35">
        <f t="shared" si="9"/>
        <v>0</v>
      </c>
      <c r="AM102" s="35">
        <f t="shared" si="10"/>
        <v>0</v>
      </c>
      <c r="AN102" s="36">
        <f t="shared" si="11"/>
        <v>0</v>
      </c>
      <c r="AO102" s="48">
        <f t="shared" si="12"/>
        <v>0</v>
      </c>
      <c r="AP102" s="81" t="s">
        <v>128</v>
      </c>
      <c r="AQ102" s="38">
        <v>26</v>
      </c>
      <c r="AR102" s="39">
        <f t="shared" si="14"/>
        <v>0</v>
      </c>
    </row>
    <row r="103" s="105" customFormat="1" ht="19.5" customHeight="1" spans="1:44">
      <c r="A103" s="68">
        <v>92</v>
      </c>
      <c r="B103" s="265" t="s">
        <v>129</v>
      </c>
      <c r="C103" s="164" t="s">
        <v>235</v>
      </c>
      <c r="D103" s="149" t="s">
        <v>236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259"/>
      <c r="U103" s="96"/>
      <c r="V103" s="96"/>
      <c r="W103" s="96"/>
      <c r="X103" s="96"/>
      <c r="Y103" s="96"/>
      <c r="Z103" s="96" t="s">
        <v>13</v>
      </c>
      <c r="AA103" s="96"/>
      <c r="AB103" s="96"/>
      <c r="AC103" s="96"/>
      <c r="AD103" s="96"/>
      <c r="AE103" s="96"/>
      <c r="AF103" s="96"/>
      <c r="AG103" s="96"/>
      <c r="AH103" s="96"/>
      <c r="AJ103" s="151">
        <f t="shared" si="7"/>
        <v>0</v>
      </c>
      <c r="AK103" s="35">
        <f t="shared" si="8"/>
        <v>0</v>
      </c>
      <c r="AL103" s="36">
        <f t="shared" si="9"/>
        <v>0</v>
      </c>
      <c r="AM103" s="35">
        <f t="shared" si="10"/>
        <v>1</v>
      </c>
      <c r="AN103" s="36">
        <f t="shared" si="11"/>
        <v>0</v>
      </c>
      <c r="AO103" s="37">
        <f t="shared" si="12"/>
        <v>1</v>
      </c>
      <c r="AP103" s="38" t="s">
        <v>237</v>
      </c>
      <c r="AQ103" s="38"/>
      <c r="AR103" s="39"/>
    </row>
    <row r="104" s="105" customFormat="1" ht="19.5" customHeight="1" spans="1:44">
      <c r="A104" s="68">
        <v>93</v>
      </c>
      <c r="B104" s="265" t="s">
        <v>130</v>
      </c>
      <c r="C104" s="164" t="s">
        <v>131</v>
      </c>
      <c r="D104" s="149" t="str">
        <f>VLOOKUP(B104,'[1]MASTER DATA 2025'!$C$3:$E$279,3,0)</f>
        <v>3Tahun1 Bulan</v>
      </c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259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J104" s="151">
        <f t="shared" si="7"/>
        <v>0</v>
      </c>
      <c r="AK104" s="35">
        <f t="shared" si="8"/>
        <v>0</v>
      </c>
      <c r="AL104" s="35">
        <f t="shared" si="9"/>
        <v>0</v>
      </c>
      <c r="AM104" s="35">
        <f t="shared" si="10"/>
        <v>0</v>
      </c>
      <c r="AN104" s="36">
        <f t="shared" si="11"/>
        <v>0</v>
      </c>
      <c r="AO104" s="37">
        <f t="shared" si="12"/>
        <v>0</v>
      </c>
      <c r="AP104" s="37"/>
      <c r="AQ104" s="38"/>
      <c r="AR104" s="39"/>
    </row>
    <row r="105" s="105" customFormat="1" ht="19.5" customHeight="1" spans="1:44">
      <c r="A105" s="68">
        <v>94</v>
      </c>
      <c r="B105" s="265" t="s">
        <v>132</v>
      </c>
      <c r="C105" s="164" t="s">
        <v>16</v>
      </c>
      <c r="D105" s="149" t="str">
        <f>VLOOKUP(B105,'[1]MASTER DATA 2025'!$C$3:$E$279,3,0)</f>
        <v>0Tahun1 Bulan</v>
      </c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259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J105" s="151">
        <f t="shared" si="7"/>
        <v>0</v>
      </c>
      <c r="AK105" s="35">
        <f t="shared" si="8"/>
        <v>0</v>
      </c>
      <c r="AL105" s="36">
        <f t="shared" si="9"/>
        <v>0</v>
      </c>
      <c r="AM105" s="35">
        <f t="shared" si="10"/>
        <v>0</v>
      </c>
      <c r="AN105" s="36">
        <f t="shared" si="11"/>
        <v>0</v>
      </c>
      <c r="AO105" s="37">
        <f t="shared" si="12"/>
        <v>0</v>
      </c>
      <c r="AP105" s="37" t="s">
        <v>25</v>
      </c>
      <c r="AQ105" s="38">
        <v>26</v>
      </c>
      <c r="AR105" s="39">
        <f t="shared" ref="AR105:AR110" si="15">AO105/AQ105</f>
        <v>0</v>
      </c>
    </row>
    <row r="106" s="105" customFormat="1" ht="19.5" customHeight="1" spans="1:44">
      <c r="A106" s="68">
        <v>95</v>
      </c>
      <c r="B106" s="265" t="s">
        <v>133</v>
      </c>
      <c r="C106" s="164" t="s">
        <v>16</v>
      </c>
      <c r="D106" s="149" t="str">
        <f>VLOOKUP(B106,'[1]MASTER DATA 2025'!$C$3:$E$279,3,0)</f>
        <v>0Tahun2 Bulan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259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J106" s="151">
        <f t="shared" si="7"/>
        <v>0</v>
      </c>
      <c r="AK106" s="35">
        <f t="shared" si="8"/>
        <v>0</v>
      </c>
      <c r="AL106" s="36">
        <f t="shared" si="9"/>
        <v>0</v>
      </c>
      <c r="AM106" s="36">
        <f t="shared" si="10"/>
        <v>0</v>
      </c>
      <c r="AN106" s="36">
        <f t="shared" si="11"/>
        <v>0</v>
      </c>
      <c r="AO106" s="37">
        <f t="shared" si="12"/>
        <v>0</v>
      </c>
      <c r="AP106" s="37" t="s">
        <v>25</v>
      </c>
      <c r="AQ106" s="38">
        <v>26</v>
      </c>
      <c r="AR106" s="39">
        <f t="shared" si="15"/>
        <v>0</v>
      </c>
    </row>
    <row r="107" s="105" customFormat="1" ht="19.5" customHeight="1" spans="1:44">
      <c r="A107" s="68">
        <v>96</v>
      </c>
      <c r="B107" s="265" t="s">
        <v>134</v>
      </c>
      <c r="C107" s="164" t="s">
        <v>16</v>
      </c>
      <c r="D107" s="152" t="s">
        <v>238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259"/>
      <c r="U107" s="96"/>
      <c r="V107" s="96"/>
      <c r="W107" s="96"/>
      <c r="X107" s="96" t="s">
        <v>11</v>
      </c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J107" s="151">
        <f t="shared" si="7"/>
        <v>0</v>
      </c>
      <c r="AK107" s="35">
        <f t="shared" si="8"/>
        <v>1</v>
      </c>
      <c r="AL107" s="36">
        <f t="shared" si="9"/>
        <v>0</v>
      </c>
      <c r="AM107" s="36">
        <f t="shared" si="10"/>
        <v>0</v>
      </c>
      <c r="AN107" s="36">
        <f t="shared" si="11"/>
        <v>0</v>
      </c>
      <c r="AO107" s="37">
        <f t="shared" si="12"/>
        <v>1</v>
      </c>
      <c r="AP107" s="37" t="s">
        <v>239</v>
      </c>
      <c r="AQ107" s="38">
        <v>26</v>
      </c>
      <c r="AR107" s="39">
        <f t="shared" si="15"/>
        <v>0.0384615384615385</v>
      </c>
    </row>
    <row r="108" s="105" customFormat="1" ht="19.5" customHeight="1" spans="1:44">
      <c r="A108" s="68">
        <v>97</v>
      </c>
      <c r="B108" s="264" t="s">
        <v>135</v>
      </c>
      <c r="C108" s="164" t="s">
        <v>16</v>
      </c>
      <c r="D108" s="149" t="s">
        <v>136</v>
      </c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259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J108" s="151">
        <f t="shared" si="7"/>
        <v>0</v>
      </c>
      <c r="AK108" s="47">
        <f t="shared" si="8"/>
        <v>0</v>
      </c>
      <c r="AL108" s="35">
        <f t="shared" si="9"/>
        <v>0</v>
      </c>
      <c r="AM108" s="35">
        <f t="shared" si="10"/>
        <v>0</v>
      </c>
      <c r="AN108" s="36">
        <f t="shared" si="11"/>
        <v>0</v>
      </c>
      <c r="AO108" s="48">
        <f t="shared" si="12"/>
        <v>0</v>
      </c>
      <c r="AP108" s="37" t="s">
        <v>25</v>
      </c>
      <c r="AQ108" s="38">
        <v>26</v>
      </c>
      <c r="AR108" s="39">
        <f t="shared" si="15"/>
        <v>0</v>
      </c>
    </row>
    <row r="109" s="105" customFormat="1" ht="19.5" customHeight="1" spans="1:44">
      <c r="A109" s="68">
        <v>98</v>
      </c>
      <c r="B109" s="167" t="s">
        <v>137</v>
      </c>
      <c r="C109" s="164" t="s">
        <v>16</v>
      </c>
      <c r="D109" s="149" t="str">
        <f>VLOOKUP(B109,'[1]MASTER DATA 2025'!$C$3:$E$279,3,0)</f>
        <v>1Tahun7 Bulan</v>
      </c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259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J109" s="151">
        <f t="shared" si="7"/>
        <v>0</v>
      </c>
      <c r="AK109" s="35">
        <f t="shared" si="8"/>
        <v>0</v>
      </c>
      <c r="AL109" s="35">
        <f t="shared" si="9"/>
        <v>0</v>
      </c>
      <c r="AM109" s="36">
        <f t="shared" si="10"/>
        <v>0</v>
      </c>
      <c r="AN109" s="36">
        <f t="shared" si="11"/>
        <v>0</v>
      </c>
      <c r="AO109" s="37">
        <f t="shared" si="12"/>
        <v>0</v>
      </c>
      <c r="AP109" s="37" t="s">
        <v>25</v>
      </c>
      <c r="AQ109" s="38">
        <v>26</v>
      </c>
      <c r="AR109" s="39">
        <f t="shared" si="15"/>
        <v>0</v>
      </c>
    </row>
    <row r="110" s="105" customFormat="1" ht="19.5" customHeight="1" spans="1:44">
      <c r="A110" s="68">
        <v>99</v>
      </c>
      <c r="B110" s="167" t="s">
        <v>138</v>
      </c>
      <c r="C110" s="150" t="s">
        <v>101</v>
      </c>
      <c r="D110" s="149" t="str">
        <f>VLOOKUP(B110,'[1]MASTER DATA 2025'!$C$3:$E$279,3,0)</f>
        <v>1Tahun1 Bulan</v>
      </c>
      <c r="E110" s="96" t="s">
        <v>13</v>
      </c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259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J110" s="151">
        <f t="shared" si="7"/>
        <v>0</v>
      </c>
      <c r="AK110" s="35">
        <f t="shared" si="8"/>
        <v>0</v>
      </c>
      <c r="AL110" s="36">
        <f t="shared" si="9"/>
        <v>0</v>
      </c>
      <c r="AM110" s="35">
        <f t="shared" si="10"/>
        <v>1</v>
      </c>
      <c r="AN110" s="36">
        <f t="shared" si="11"/>
        <v>0</v>
      </c>
      <c r="AO110" s="37">
        <f t="shared" si="12"/>
        <v>1</v>
      </c>
      <c r="AP110" s="37" t="s">
        <v>172</v>
      </c>
      <c r="AQ110" s="38">
        <v>26</v>
      </c>
      <c r="AR110" s="39">
        <f t="shared" si="15"/>
        <v>0.0384615384615385</v>
      </c>
    </row>
    <row r="111" s="105" customFormat="1" ht="19.5" customHeight="1" spans="1:44">
      <c r="A111" s="68">
        <v>100</v>
      </c>
      <c r="B111" s="167" t="s">
        <v>139</v>
      </c>
      <c r="C111" s="164" t="s">
        <v>16</v>
      </c>
      <c r="D111" s="149" t="str">
        <f>VLOOKUP(B111,'[1]MASTER DATA 2025'!$C$3:$E$279,3,0)</f>
        <v>0Tahun5 Bulan</v>
      </c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259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J111" s="151">
        <f t="shared" si="7"/>
        <v>0</v>
      </c>
      <c r="AK111" s="35">
        <f t="shared" si="8"/>
        <v>0</v>
      </c>
      <c r="AL111" s="36">
        <f t="shared" si="9"/>
        <v>0</v>
      </c>
      <c r="AM111" s="35">
        <f t="shared" si="10"/>
        <v>0</v>
      </c>
      <c r="AN111" s="36">
        <f t="shared" si="11"/>
        <v>0</v>
      </c>
      <c r="AO111" s="37">
        <f t="shared" si="12"/>
        <v>0</v>
      </c>
      <c r="AP111" s="37"/>
      <c r="AQ111" s="38"/>
      <c r="AR111" s="39"/>
    </row>
    <row r="112" s="105" customFormat="1" ht="19.5" customHeight="1" spans="1:44">
      <c r="A112" s="68">
        <v>101</v>
      </c>
      <c r="B112" s="265" t="s">
        <v>140</v>
      </c>
      <c r="C112" s="164" t="s">
        <v>16</v>
      </c>
      <c r="D112" s="149" t="str">
        <f>VLOOKUP(B112,'[1]MASTER DATA 2025'!$C$3:$E$279,3,0)</f>
        <v>2Tahun2 Bulan</v>
      </c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259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J112" s="151">
        <f t="shared" si="7"/>
        <v>0</v>
      </c>
      <c r="AK112" s="35">
        <f t="shared" si="8"/>
        <v>0</v>
      </c>
      <c r="AL112" s="36">
        <f t="shared" si="9"/>
        <v>0</v>
      </c>
      <c r="AM112" s="35">
        <f t="shared" si="10"/>
        <v>0</v>
      </c>
      <c r="AN112" s="36">
        <f t="shared" si="11"/>
        <v>0</v>
      </c>
      <c r="AO112" s="37">
        <f t="shared" si="12"/>
        <v>0</v>
      </c>
      <c r="AP112" s="37" t="s">
        <v>25</v>
      </c>
      <c r="AQ112" s="38"/>
      <c r="AR112" s="39"/>
    </row>
    <row r="113" s="105" customFormat="1" ht="19.5" customHeight="1" spans="1:44">
      <c r="A113" s="68">
        <v>102</v>
      </c>
      <c r="B113" s="265" t="s">
        <v>141</v>
      </c>
      <c r="C113" s="164" t="s">
        <v>20</v>
      </c>
      <c r="D113" s="149" t="str">
        <f>VLOOKUP(B113,'[1]MASTER DATA 2025'!$C$3:$E$279,3,0)</f>
        <v>0Tahun1 Bulan</v>
      </c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259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J113" s="151">
        <f t="shared" si="7"/>
        <v>0</v>
      </c>
      <c r="AK113" s="35">
        <f t="shared" si="8"/>
        <v>0</v>
      </c>
      <c r="AL113" s="36">
        <f t="shared" si="9"/>
        <v>0</v>
      </c>
      <c r="AM113" s="35">
        <f t="shared" si="10"/>
        <v>0</v>
      </c>
      <c r="AN113" s="36">
        <f t="shared" si="11"/>
        <v>0</v>
      </c>
      <c r="AO113" s="37">
        <f t="shared" si="12"/>
        <v>0</v>
      </c>
      <c r="AP113" s="49">
        <v>45967</v>
      </c>
      <c r="AQ113" s="38">
        <v>26</v>
      </c>
      <c r="AR113" s="39">
        <f t="shared" ref="AR113:AR118" si="16">AO113/AQ113</f>
        <v>0</v>
      </c>
    </row>
    <row r="114" s="105" customFormat="1" ht="19.5" customHeight="1" spans="1:44">
      <c r="A114" s="68">
        <v>103</v>
      </c>
      <c r="B114" s="265" t="s">
        <v>142</v>
      </c>
      <c r="C114" s="164" t="s">
        <v>20</v>
      </c>
      <c r="D114" s="149" t="str">
        <f>VLOOKUP(B114,'[1]MASTER DATA 2025'!$C$3:$E$279,3,0)</f>
        <v>0Tahun2 Bulan</v>
      </c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259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J114" s="151">
        <f t="shared" si="7"/>
        <v>0</v>
      </c>
      <c r="AK114" s="35">
        <f t="shared" si="8"/>
        <v>0</v>
      </c>
      <c r="AL114" s="35">
        <f t="shared" si="9"/>
        <v>0</v>
      </c>
      <c r="AM114" s="47">
        <f t="shared" si="10"/>
        <v>0</v>
      </c>
      <c r="AN114" s="36">
        <f t="shared" si="11"/>
        <v>0</v>
      </c>
      <c r="AO114" s="37">
        <f t="shared" si="12"/>
        <v>0</v>
      </c>
      <c r="AP114" s="37" t="s">
        <v>173</v>
      </c>
      <c r="AQ114" s="38">
        <v>26</v>
      </c>
      <c r="AR114" s="39">
        <f t="shared" si="16"/>
        <v>0</v>
      </c>
    </row>
    <row r="115" s="105" customFormat="1" ht="19.5" customHeight="1" spans="1:44">
      <c r="A115" s="68">
        <v>104</v>
      </c>
      <c r="B115" s="265" t="s">
        <v>143</v>
      </c>
      <c r="C115" s="164" t="s">
        <v>61</v>
      </c>
      <c r="D115" s="149" t="str">
        <f>VLOOKUP(B115,'[1]MASTER DATA 2025'!$C$3:$E$279,3,0)</f>
        <v>0Tahun9 Bulan</v>
      </c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259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J115" s="151">
        <f t="shared" si="7"/>
        <v>0</v>
      </c>
      <c r="AK115" s="47">
        <f t="shared" si="8"/>
        <v>0</v>
      </c>
      <c r="AL115" s="35">
        <f t="shared" si="9"/>
        <v>0</v>
      </c>
      <c r="AM115" s="35">
        <f t="shared" si="10"/>
        <v>0</v>
      </c>
      <c r="AN115" s="36">
        <f t="shared" si="11"/>
        <v>0</v>
      </c>
      <c r="AO115" s="48">
        <f t="shared" si="12"/>
        <v>0</v>
      </c>
      <c r="AP115" s="37" t="s">
        <v>25</v>
      </c>
      <c r="AQ115" s="38">
        <v>26</v>
      </c>
      <c r="AR115" s="39">
        <f t="shared" si="16"/>
        <v>0</v>
      </c>
    </row>
    <row r="116" s="105" customFormat="1" ht="19.5" customHeight="1" spans="1:44">
      <c r="A116" s="68">
        <v>105</v>
      </c>
      <c r="B116" s="265" t="s">
        <v>144</v>
      </c>
      <c r="C116" s="164" t="s">
        <v>61</v>
      </c>
      <c r="D116" s="149" t="str">
        <f>VLOOKUP(B116,'[1]MASTER DATA 2025'!$C$3:$E$279,3,0)</f>
        <v>0Tahun7 Bulan</v>
      </c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259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J116" s="151">
        <f t="shared" si="7"/>
        <v>0</v>
      </c>
      <c r="AK116" s="47">
        <f t="shared" si="8"/>
        <v>0</v>
      </c>
      <c r="AL116" s="35">
        <f t="shared" si="9"/>
        <v>0</v>
      </c>
      <c r="AM116" s="35">
        <f t="shared" si="10"/>
        <v>0</v>
      </c>
      <c r="AN116" s="36">
        <f t="shared" si="11"/>
        <v>0</v>
      </c>
      <c r="AO116" s="48">
        <f t="shared" si="12"/>
        <v>0</v>
      </c>
      <c r="AP116" s="37" t="s">
        <v>25</v>
      </c>
      <c r="AQ116" s="38">
        <v>26</v>
      </c>
      <c r="AR116" s="39">
        <f t="shared" si="16"/>
        <v>0</v>
      </c>
    </row>
    <row r="117" s="105" customFormat="1" ht="19.5" customHeight="1" spans="1:44">
      <c r="A117" s="68">
        <v>106</v>
      </c>
      <c r="B117" s="265" t="s">
        <v>145</v>
      </c>
      <c r="C117" s="164" t="s">
        <v>16</v>
      </c>
      <c r="D117" s="149" t="str">
        <f>VLOOKUP(B117,'[1]MASTER DATA 2025'!$C$3:$E$279,3,0)</f>
        <v>0Tahun2 Bulan</v>
      </c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259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J117" s="151">
        <f t="shared" si="7"/>
        <v>0</v>
      </c>
      <c r="AK117" s="47">
        <f t="shared" si="8"/>
        <v>0</v>
      </c>
      <c r="AL117" s="35">
        <f t="shared" si="9"/>
        <v>0</v>
      </c>
      <c r="AM117" s="35">
        <f t="shared" si="10"/>
        <v>0</v>
      </c>
      <c r="AN117" s="36">
        <f t="shared" si="11"/>
        <v>0</v>
      </c>
      <c r="AO117" s="48">
        <f t="shared" si="12"/>
        <v>0</v>
      </c>
      <c r="AP117" s="37" t="s">
        <v>25</v>
      </c>
      <c r="AQ117" s="38">
        <v>26</v>
      </c>
      <c r="AR117" s="39">
        <f t="shared" si="16"/>
        <v>0</v>
      </c>
    </row>
    <row r="118" s="105" customFormat="1" ht="19.5" customHeight="1" spans="1:44">
      <c r="A118" s="68">
        <v>107</v>
      </c>
      <c r="B118" s="265" t="s">
        <v>146</v>
      </c>
      <c r="C118" s="164" t="s">
        <v>16</v>
      </c>
      <c r="D118" s="149" t="str">
        <f>VLOOKUP(B118,'[1]MASTER DATA 2025'!$C$3:$E$279,3,0)</f>
        <v>1Tahun1 Bulan</v>
      </c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259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J118" s="151">
        <f t="shared" si="7"/>
        <v>0</v>
      </c>
      <c r="AK118" s="47">
        <f t="shared" si="8"/>
        <v>0</v>
      </c>
      <c r="AL118" s="35">
        <f t="shared" si="9"/>
        <v>0</v>
      </c>
      <c r="AM118" s="35">
        <f t="shared" si="10"/>
        <v>0</v>
      </c>
      <c r="AN118" s="36">
        <f t="shared" si="11"/>
        <v>0</v>
      </c>
      <c r="AO118" s="48">
        <f t="shared" si="12"/>
        <v>0</v>
      </c>
      <c r="AP118" s="37" t="s">
        <v>25</v>
      </c>
      <c r="AQ118" s="38">
        <v>26</v>
      </c>
      <c r="AR118" s="39">
        <f t="shared" si="16"/>
        <v>0</v>
      </c>
    </row>
    <row r="119" s="105" customFormat="1" ht="19.5" customHeight="1" spans="1:44">
      <c r="A119" s="68">
        <v>108</v>
      </c>
      <c r="B119" s="265" t="s">
        <v>147</v>
      </c>
      <c r="C119" s="164" t="s">
        <v>240</v>
      </c>
      <c r="D119" s="149" t="s">
        <v>238</v>
      </c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 t="s">
        <v>13</v>
      </c>
      <c r="R119" s="96"/>
      <c r="S119" s="96"/>
      <c r="T119" s="259"/>
      <c r="U119" s="96"/>
      <c r="V119" s="96"/>
      <c r="W119" s="96"/>
      <c r="X119" s="96"/>
      <c r="Y119" s="96"/>
      <c r="Z119" s="96" t="s">
        <v>13</v>
      </c>
      <c r="AA119" s="96"/>
      <c r="AB119" s="96"/>
      <c r="AC119" s="96" t="s">
        <v>13</v>
      </c>
      <c r="AD119" s="96"/>
      <c r="AE119" s="96"/>
      <c r="AF119" s="96"/>
      <c r="AG119" s="96" t="s">
        <v>13</v>
      </c>
      <c r="AH119" s="96"/>
      <c r="AJ119" s="151">
        <f t="shared" si="7"/>
        <v>0</v>
      </c>
      <c r="AK119" s="47">
        <f t="shared" si="8"/>
        <v>0</v>
      </c>
      <c r="AL119" s="35">
        <f t="shared" si="9"/>
        <v>0</v>
      </c>
      <c r="AM119" s="35">
        <f t="shared" si="10"/>
        <v>4</v>
      </c>
      <c r="AN119" s="36">
        <f t="shared" si="11"/>
        <v>0</v>
      </c>
      <c r="AO119" s="48">
        <f t="shared" si="12"/>
        <v>4</v>
      </c>
      <c r="AP119" s="52" t="s">
        <v>171</v>
      </c>
      <c r="AQ119" s="38"/>
      <c r="AR119" s="39"/>
    </row>
    <row r="120" s="105" customFormat="1" ht="19.5" customHeight="1" spans="1:44">
      <c r="A120" s="68">
        <v>109</v>
      </c>
      <c r="B120" s="249" t="s">
        <v>148</v>
      </c>
      <c r="C120" s="164" t="s">
        <v>16</v>
      </c>
      <c r="D120" s="149" t="str">
        <f>VLOOKUP(B120,'[1]MASTER DATA 2025'!$C$3:$E$279,3,0)</f>
        <v>0Tahun1 Bulan</v>
      </c>
      <c r="E120" s="96"/>
      <c r="F120" s="96"/>
      <c r="G120" s="96"/>
      <c r="H120" s="96"/>
      <c r="I120" s="96"/>
      <c r="J120" s="96"/>
      <c r="K120" s="96"/>
      <c r="L120" s="96"/>
      <c r="M120" s="96" t="s">
        <v>13</v>
      </c>
      <c r="N120" s="96"/>
      <c r="O120" s="96"/>
      <c r="P120" s="96"/>
      <c r="Q120" s="96"/>
      <c r="R120" s="96"/>
      <c r="S120" s="96"/>
      <c r="T120" s="259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J120" s="151">
        <f t="shared" si="7"/>
        <v>0</v>
      </c>
      <c r="AK120" s="35">
        <f t="shared" si="8"/>
        <v>0</v>
      </c>
      <c r="AL120" s="36">
        <f t="shared" si="9"/>
        <v>0</v>
      </c>
      <c r="AM120" s="35">
        <f t="shared" si="10"/>
        <v>1</v>
      </c>
      <c r="AN120" s="36">
        <f t="shared" si="11"/>
        <v>0</v>
      </c>
      <c r="AO120" s="37">
        <f t="shared" si="12"/>
        <v>1</v>
      </c>
      <c r="AP120" s="38" t="s">
        <v>207</v>
      </c>
      <c r="AQ120" s="38"/>
      <c r="AR120" s="39"/>
    </row>
    <row r="121" s="105" customFormat="1" ht="19.5" customHeight="1" spans="1:44">
      <c r="A121" s="68">
        <v>110</v>
      </c>
      <c r="B121" s="265" t="s">
        <v>149</v>
      </c>
      <c r="C121" s="164" t="s">
        <v>16</v>
      </c>
      <c r="D121" s="149" t="str">
        <f>VLOOKUP(B121,'[1]MASTER DATA 2025'!$C$3:$E$279,3,0)</f>
        <v>0Tahun1 Bulan</v>
      </c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259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J121" s="151">
        <f t="shared" si="7"/>
        <v>0</v>
      </c>
      <c r="AK121" s="35">
        <f t="shared" si="8"/>
        <v>0</v>
      </c>
      <c r="AL121" s="36">
        <f t="shared" si="9"/>
        <v>0</v>
      </c>
      <c r="AM121" s="35">
        <f t="shared" si="10"/>
        <v>0</v>
      </c>
      <c r="AN121" s="36">
        <f t="shared" si="11"/>
        <v>0</v>
      </c>
      <c r="AO121" s="37">
        <f t="shared" si="12"/>
        <v>0</v>
      </c>
      <c r="AP121" s="37" t="s">
        <v>25</v>
      </c>
      <c r="AQ121" s="38"/>
      <c r="AR121" s="39"/>
    </row>
    <row r="122" s="105" customFormat="1" ht="19.5" customHeight="1" spans="1:44">
      <c r="A122" s="68">
        <v>111</v>
      </c>
      <c r="B122" s="265" t="s">
        <v>150</v>
      </c>
      <c r="C122" s="164" t="s">
        <v>16</v>
      </c>
      <c r="D122" s="149" t="str">
        <f>VLOOKUP(B122,'[1]MASTER DATA 2025'!$C$3:$E$279,3,0)</f>
        <v>1Tahun7 Bulan</v>
      </c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259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J122" s="151">
        <f t="shared" si="7"/>
        <v>0</v>
      </c>
      <c r="AK122" s="35">
        <f t="shared" si="8"/>
        <v>0</v>
      </c>
      <c r="AL122" s="36">
        <f t="shared" si="9"/>
        <v>0</v>
      </c>
      <c r="AM122" s="35">
        <f t="shared" si="10"/>
        <v>0</v>
      </c>
      <c r="AN122" s="36">
        <f t="shared" si="11"/>
        <v>0</v>
      </c>
      <c r="AO122" s="37">
        <f t="shared" si="12"/>
        <v>0</v>
      </c>
      <c r="AP122" s="37" t="s">
        <v>25</v>
      </c>
      <c r="AQ122" s="38"/>
      <c r="AR122" s="39"/>
    </row>
    <row r="123" s="105" customFormat="1" ht="19.5" customHeight="1" spans="1:44">
      <c r="A123" s="68">
        <v>112</v>
      </c>
      <c r="B123" s="265" t="s">
        <v>151</v>
      </c>
      <c r="C123" s="164" t="s">
        <v>241</v>
      </c>
      <c r="D123" s="149" t="s">
        <v>242</v>
      </c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259"/>
      <c r="U123" s="96"/>
      <c r="V123" s="96"/>
      <c r="W123" s="96"/>
      <c r="X123" s="96"/>
      <c r="Y123" s="96"/>
      <c r="Z123" s="96" t="s">
        <v>13</v>
      </c>
      <c r="AA123" s="96"/>
      <c r="AB123" s="96"/>
      <c r="AC123" s="96"/>
      <c r="AD123" s="96"/>
      <c r="AE123" s="96"/>
      <c r="AF123" s="96"/>
      <c r="AG123" s="96"/>
      <c r="AH123" s="96"/>
      <c r="AJ123" s="151">
        <f t="shared" si="7"/>
        <v>0</v>
      </c>
      <c r="AK123" s="35">
        <f t="shared" si="8"/>
        <v>0</v>
      </c>
      <c r="AL123" s="36">
        <f t="shared" si="9"/>
        <v>0</v>
      </c>
      <c r="AM123" s="35">
        <f t="shared" si="10"/>
        <v>1</v>
      </c>
      <c r="AN123" s="36">
        <f t="shared" si="11"/>
        <v>0</v>
      </c>
      <c r="AO123" s="37">
        <f t="shared" si="12"/>
        <v>1</v>
      </c>
      <c r="AP123" s="38" t="s">
        <v>237</v>
      </c>
      <c r="AQ123" s="38"/>
      <c r="AR123" s="39"/>
    </row>
    <row r="124" s="105" customFormat="1" ht="19.5" customHeight="1" spans="1:44">
      <c r="A124" s="68">
        <v>113</v>
      </c>
      <c r="B124" s="264" t="s">
        <v>152</v>
      </c>
      <c r="C124" s="164" t="s">
        <v>20</v>
      </c>
      <c r="D124" s="149" t="s">
        <v>242</v>
      </c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 t="s">
        <v>13</v>
      </c>
      <c r="P124" s="96"/>
      <c r="Q124" s="96"/>
      <c r="R124" s="96"/>
      <c r="S124" s="96"/>
      <c r="T124" s="259"/>
      <c r="U124" s="96"/>
      <c r="V124" s="96"/>
      <c r="W124" s="96"/>
      <c r="X124" s="96"/>
      <c r="Y124" s="96" t="s">
        <v>13</v>
      </c>
      <c r="Z124" s="96"/>
      <c r="AA124" s="96"/>
      <c r="AB124" s="96"/>
      <c r="AC124" s="96"/>
      <c r="AD124" s="96"/>
      <c r="AE124" s="96"/>
      <c r="AF124" s="96"/>
      <c r="AG124" s="96"/>
      <c r="AH124" s="96"/>
      <c r="AJ124" s="151">
        <f t="shared" si="7"/>
        <v>0</v>
      </c>
      <c r="AK124" s="47">
        <f t="shared" si="8"/>
        <v>0</v>
      </c>
      <c r="AL124" s="35">
        <f t="shared" si="9"/>
        <v>0</v>
      </c>
      <c r="AM124" s="35">
        <f t="shared" si="10"/>
        <v>2</v>
      </c>
      <c r="AN124" s="36">
        <f t="shared" si="11"/>
        <v>0</v>
      </c>
      <c r="AO124" s="48">
        <f t="shared" si="12"/>
        <v>2</v>
      </c>
      <c r="AP124" s="38" t="s">
        <v>243</v>
      </c>
      <c r="AQ124" s="38"/>
      <c r="AR124" s="39"/>
    </row>
    <row r="125" s="105" customFormat="1" ht="19.5" customHeight="1" spans="1:44">
      <c r="A125" s="68">
        <v>114</v>
      </c>
      <c r="B125" s="265" t="s">
        <v>154</v>
      </c>
      <c r="C125" s="164" t="s">
        <v>59</v>
      </c>
      <c r="D125" s="149" t="str">
        <f>VLOOKUP(B125,'[1]MASTER DATA 2025'!$C$3:$E$279,3,0)</f>
        <v>1Tahun2 Bulan</v>
      </c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259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J125" s="151">
        <f t="shared" si="7"/>
        <v>0</v>
      </c>
      <c r="AK125" s="47">
        <f t="shared" si="8"/>
        <v>0</v>
      </c>
      <c r="AL125" s="35">
        <f t="shared" si="9"/>
        <v>0</v>
      </c>
      <c r="AM125" s="35">
        <f t="shared" si="10"/>
        <v>0</v>
      </c>
      <c r="AN125" s="36">
        <f t="shared" si="11"/>
        <v>0</v>
      </c>
      <c r="AO125" s="48">
        <f t="shared" si="12"/>
        <v>0</v>
      </c>
      <c r="AP125" s="37" t="s">
        <v>25</v>
      </c>
      <c r="AQ125" s="38">
        <v>26</v>
      </c>
      <c r="AR125" s="39">
        <f>AO125/AQ125</f>
        <v>0</v>
      </c>
    </row>
    <row r="126" s="105" customFormat="1" ht="19.5" customHeight="1" spans="1:44">
      <c r="A126" s="68">
        <v>115</v>
      </c>
      <c r="B126" s="265" t="s">
        <v>155</v>
      </c>
      <c r="C126" s="164" t="s">
        <v>59</v>
      </c>
      <c r="D126" s="149" t="str">
        <f>VLOOKUP(B126,'[1]MASTER DATA 2025'!$C$3:$E$279,3,0)</f>
        <v>0Tahun1 Bulan</v>
      </c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259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J126" s="151">
        <f t="shared" si="7"/>
        <v>0</v>
      </c>
      <c r="AK126" s="35">
        <f t="shared" si="8"/>
        <v>0</v>
      </c>
      <c r="AL126" s="35">
        <f t="shared" si="9"/>
        <v>0</v>
      </c>
      <c r="AM126" s="35">
        <f t="shared" si="10"/>
        <v>0</v>
      </c>
      <c r="AN126" s="36">
        <f t="shared" si="11"/>
        <v>0</v>
      </c>
      <c r="AO126" s="37">
        <f t="shared" si="12"/>
        <v>0</v>
      </c>
      <c r="AP126" s="37" t="s">
        <v>156</v>
      </c>
      <c r="AQ126" s="38"/>
      <c r="AR126" s="39"/>
    </row>
    <row r="127" s="105" customFormat="1" ht="19.5" customHeight="1" spans="1:44">
      <c r="A127" s="68">
        <v>116</v>
      </c>
      <c r="B127" s="265" t="s">
        <v>157</v>
      </c>
      <c r="C127" s="164" t="s">
        <v>61</v>
      </c>
      <c r="D127" s="149" t="str">
        <f>VLOOKUP(B127,'[1]MASTER DATA 2025'!$C$3:$E$279,3,0)</f>
        <v>0Tahun1 Bulan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259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J127" s="151">
        <f t="shared" si="7"/>
        <v>0</v>
      </c>
      <c r="AK127" s="35">
        <f t="shared" si="8"/>
        <v>0</v>
      </c>
      <c r="AL127" s="35">
        <f t="shared" si="9"/>
        <v>0</v>
      </c>
      <c r="AM127" s="35">
        <f t="shared" si="10"/>
        <v>0</v>
      </c>
      <c r="AN127" s="36">
        <f t="shared" si="11"/>
        <v>0</v>
      </c>
      <c r="AO127" s="37">
        <f t="shared" si="12"/>
        <v>0</v>
      </c>
      <c r="AP127" s="37" t="s">
        <v>174</v>
      </c>
      <c r="AQ127" s="38"/>
      <c r="AR127" s="39"/>
    </row>
    <row r="128" s="105" customFormat="1" ht="19.5" customHeight="1" spans="1:44">
      <c r="A128" s="68">
        <v>117</v>
      </c>
      <c r="B128" s="265" t="s">
        <v>158</v>
      </c>
      <c r="C128" s="164" t="s">
        <v>20</v>
      </c>
      <c r="D128" s="149" t="str">
        <f>VLOOKUP(B128,'[1]MASTER DATA 2025'!$C$3:$E$279,3,0)</f>
        <v>0Tahun1 Bulan</v>
      </c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259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J128" s="151">
        <f t="shared" si="7"/>
        <v>0</v>
      </c>
      <c r="AK128" s="35">
        <f t="shared" si="8"/>
        <v>0</v>
      </c>
      <c r="AL128" s="36">
        <f t="shared" si="9"/>
        <v>0</v>
      </c>
      <c r="AM128" s="35">
        <f t="shared" si="10"/>
        <v>0</v>
      </c>
      <c r="AN128" s="36">
        <f t="shared" si="11"/>
        <v>0</v>
      </c>
      <c r="AO128" s="37">
        <f t="shared" si="12"/>
        <v>0</v>
      </c>
      <c r="AP128" s="37" t="s">
        <v>25</v>
      </c>
      <c r="AQ128" s="38"/>
      <c r="AR128" s="39"/>
    </row>
    <row r="129" s="105" customFormat="1" ht="19.5" customHeight="1" spans="1:44">
      <c r="A129" s="68">
        <v>118</v>
      </c>
      <c r="B129" s="265" t="s">
        <v>159</v>
      </c>
      <c r="C129" s="164" t="s">
        <v>59</v>
      </c>
      <c r="D129" s="152" t="s">
        <v>215</v>
      </c>
      <c r="E129" s="96"/>
      <c r="F129" s="96"/>
      <c r="G129" s="96"/>
      <c r="H129" s="96"/>
      <c r="I129" s="96" t="s">
        <v>13</v>
      </c>
      <c r="J129" s="96"/>
      <c r="K129" s="96"/>
      <c r="L129" s="96"/>
      <c r="M129" s="96"/>
      <c r="N129" s="96"/>
      <c r="O129" s="96"/>
      <c r="P129" s="96"/>
      <c r="Q129" s="96"/>
      <c r="R129" s="96" t="s">
        <v>13</v>
      </c>
      <c r="S129" s="96"/>
      <c r="T129" s="259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J129" s="151">
        <f t="shared" si="7"/>
        <v>0</v>
      </c>
      <c r="AK129" s="35">
        <f t="shared" si="8"/>
        <v>0</v>
      </c>
      <c r="AL129" s="36">
        <f t="shared" si="9"/>
        <v>0</v>
      </c>
      <c r="AM129" s="35">
        <f t="shared" si="10"/>
        <v>2</v>
      </c>
      <c r="AN129" s="36">
        <f t="shared" si="11"/>
        <v>0</v>
      </c>
      <c r="AO129" s="37">
        <f t="shared" si="12"/>
        <v>2</v>
      </c>
      <c r="AP129" s="38" t="s">
        <v>232</v>
      </c>
      <c r="AQ129" s="38"/>
      <c r="AR129" s="39"/>
    </row>
    <row r="130" s="105" customFormat="1" ht="19.5" customHeight="1" spans="1:44">
      <c r="A130" s="68">
        <v>119</v>
      </c>
      <c r="B130" s="265" t="s">
        <v>160</v>
      </c>
      <c r="C130" s="164" t="s">
        <v>20</v>
      </c>
      <c r="D130" s="149" t="str">
        <f>VLOOKUP(B130,'[1]MASTER DATA 2025'!$C$3:$E$279,3,0)</f>
        <v>0Tahun1 Bulan</v>
      </c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259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J130" s="151">
        <f t="shared" si="7"/>
        <v>0</v>
      </c>
      <c r="AK130" s="47">
        <f t="shared" si="8"/>
        <v>0</v>
      </c>
      <c r="AL130" s="35">
        <f t="shared" si="9"/>
        <v>0</v>
      </c>
      <c r="AM130" s="35">
        <f t="shared" si="10"/>
        <v>0</v>
      </c>
      <c r="AN130" s="36">
        <f t="shared" si="11"/>
        <v>0</v>
      </c>
      <c r="AO130" s="48">
        <f t="shared" si="12"/>
        <v>0</v>
      </c>
      <c r="AP130" s="37" t="s">
        <v>25</v>
      </c>
      <c r="AQ130" s="38"/>
      <c r="AR130" s="39"/>
    </row>
    <row r="131" s="105" customFormat="1" ht="19.5" customHeight="1" spans="1:44">
      <c r="A131" s="68">
        <v>120</v>
      </c>
      <c r="B131" s="265" t="s">
        <v>161</v>
      </c>
      <c r="C131" s="164" t="s">
        <v>20</v>
      </c>
      <c r="D131" s="149" t="str">
        <f>VLOOKUP(B131,'[1]MASTER DATA 2025'!$C$3:$E$279,3,0)</f>
        <v>1Tahun2 Bulan</v>
      </c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259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J131" s="151">
        <f t="shared" si="7"/>
        <v>0</v>
      </c>
      <c r="AK131" s="35">
        <f t="shared" si="8"/>
        <v>0</v>
      </c>
      <c r="AL131" s="35">
        <f t="shared" si="9"/>
        <v>0</v>
      </c>
      <c r="AM131" s="47">
        <f t="shared" si="10"/>
        <v>0</v>
      </c>
      <c r="AN131" s="36">
        <f t="shared" si="11"/>
        <v>0</v>
      </c>
      <c r="AO131" s="48">
        <f t="shared" si="12"/>
        <v>0</v>
      </c>
      <c r="AP131" s="37" t="s">
        <v>175</v>
      </c>
      <c r="AQ131" s="38"/>
      <c r="AR131" s="39"/>
    </row>
    <row r="132" s="105" customFormat="1" ht="19.5" customHeight="1" spans="1:44">
      <c r="A132" s="68">
        <v>121</v>
      </c>
      <c r="B132" s="265" t="s">
        <v>162</v>
      </c>
      <c r="C132" s="164" t="s">
        <v>20</v>
      </c>
      <c r="D132" s="149" t="s">
        <v>163</v>
      </c>
      <c r="E132" s="96"/>
      <c r="F132" s="96"/>
      <c r="G132" s="96"/>
      <c r="H132" s="96" t="s">
        <v>11</v>
      </c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259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J132" s="151">
        <f t="shared" si="7"/>
        <v>0</v>
      </c>
      <c r="AK132" s="35">
        <f t="shared" si="8"/>
        <v>1</v>
      </c>
      <c r="AL132" s="35">
        <f t="shared" si="9"/>
        <v>0</v>
      </c>
      <c r="AM132" s="47">
        <f t="shared" si="10"/>
        <v>0</v>
      </c>
      <c r="AN132" s="36"/>
      <c r="AO132" s="37">
        <f t="shared" si="12"/>
        <v>1</v>
      </c>
      <c r="AP132" s="38" t="s">
        <v>207</v>
      </c>
      <c r="AQ132" s="38"/>
      <c r="AR132" s="39"/>
    </row>
    <row r="133" s="105" customFormat="1" ht="19.5" customHeight="1" spans="1:44">
      <c r="A133" s="68">
        <v>122</v>
      </c>
      <c r="B133" s="265" t="s">
        <v>164</v>
      </c>
      <c r="C133" s="164" t="s">
        <v>101</v>
      </c>
      <c r="D133" s="149" t="str">
        <f>VLOOKUP(B133,'[1]MASTER DATA 2025'!$C$3:$E$279,3,0)</f>
        <v>2Tahun0 Bulan</v>
      </c>
      <c r="E133" s="96"/>
      <c r="F133" s="96"/>
      <c r="G133" s="96"/>
      <c r="H133" s="96"/>
      <c r="I133" s="96" t="s">
        <v>13</v>
      </c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259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J133" s="151">
        <f t="shared" si="7"/>
        <v>0</v>
      </c>
      <c r="AK133" s="35">
        <f t="shared" si="8"/>
        <v>0</v>
      </c>
      <c r="AL133" s="35">
        <f t="shared" si="9"/>
        <v>0</v>
      </c>
      <c r="AM133" s="47">
        <f t="shared" si="10"/>
        <v>1</v>
      </c>
      <c r="AN133" s="36">
        <f t="shared" ref="AN133:AN159" si="17">COUNTIF(E133:AH133,"OFF")</f>
        <v>0</v>
      </c>
      <c r="AO133" s="48">
        <f t="shared" si="12"/>
        <v>1</v>
      </c>
      <c r="AP133" s="37" t="s">
        <v>25</v>
      </c>
      <c r="AQ133" s="38"/>
      <c r="AR133" s="39"/>
    </row>
    <row r="134" s="105" customFormat="1" ht="19.5" customHeight="1" spans="1:44">
      <c r="A134" s="68">
        <v>123</v>
      </c>
      <c r="B134" s="265" t="s">
        <v>176</v>
      </c>
      <c r="C134" s="164" t="s">
        <v>20</v>
      </c>
      <c r="D134" s="149" t="str">
        <f>VLOOKUP(B134,'[1]MASTER DATA 2025'!$C$3:$E$279,3,0)</f>
        <v>0Tahun2 Bulan</v>
      </c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259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J134" s="151">
        <f t="shared" si="7"/>
        <v>0</v>
      </c>
      <c r="AK134" s="35">
        <f t="shared" si="8"/>
        <v>0</v>
      </c>
      <c r="AL134" s="35">
        <f t="shared" si="9"/>
        <v>0</v>
      </c>
      <c r="AM134" s="47">
        <f t="shared" si="10"/>
        <v>0</v>
      </c>
      <c r="AN134" s="36">
        <f t="shared" si="17"/>
        <v>0</v>
      </c>
      <c r="AO134" s="48">
        <f t="shared" si="12"/>
        <v>0</v>
      </c>
      <c r="AP134" s="37"/>
      <c r="AQ134" s="38"/>
      <c r="AR134" s="39"/>
    </row>
    <row r="135" s="105" customFormat="1" ht="19.5" customHeight="1" spans="1:44">
      <c r="A135" s="68">
        <v>124</v>
      </c>
      <c r="B135" s="268" t="s">
        <v>177</v>
      </c>
      <c r="C135" s="164" t="s">
        <v>16</v>
      </c>
      <c r="D135" s="149" t="s">
        <v>178</v>
      </c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259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J135" s="151">
        <f t="shared" si="7"/>
        <v>0</v>
      </c>
      <c r="AK135" s="35">
        <f t="shared" si="8"/>
        <v>0</v>
      </c>
      <c r="AL135" s="36">
        <f t="shared" si="9"/>
        <v>0</v>
      </c>
      <c r="AM135" s="35">
        <f t="shared" si="10"/>
        <v>0</v>
      </c>
      <c r="AN135" s="36">
        <f t="shared" si="17"/>
        <v>0</v>
      </c>
      <c r="AO135" s="37">
        <f t="shared" si="12"/>
        <v>0</v>
      </c>
      <c r="AP135" s="37" t="s">
        <v>25</v>
      </c>
      <c r="AQ135" s="38"/>
      <c r="AR135" s="39"/>
    </row>
    <row r="136" s="105" customFormat="1" ht="19.5" customHeight="1" spans="1:44">
      <c r="A136" s="68">
        <v>125</v>
      </c>
      <c r="B136" s="268" t="s">
        <v>179</v>
      </c>
      <c r="C136" s="164" t="s">
        <v>16</v>
      </c>
      <c r="D136" s="149" t="s">
        <v>112</v>
      </c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259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J136" s="151">
        <f t="shared" si="7"/>
        <v>0</v>
      </c>
      <c r="AK136" s="35">
        <f t="shared" si="8"/>
        <v>0</v>
      </c>
      <c r="AL136" s="35">
        <f t="shared" si="9"/>
        <v>0</v>
      </c>
      <c r="AM136" s="47">
        <f t="shared" si="10"/>
        <v>0</v>
      </c>
      <c r="AN136" s="36">
        <f t="shared" si="17"/>
        <v>0</v>
      </c>
      <c r="AO136" s="48">
        <f t="shared" si="12"/>
        <v>0</v>
      </c>
      <c r="AP136" s="37" t="s">
        <v>25</v>
      </c>
      <c r="AQ136" s="38"/>
      <c r="AR136" s="39"/>
    </row>
    <row r="137" s="105" customFormat="1" ht="19.5" customHeight="1" spans="1:44">
      <c r="A137" s="68">
        <v>126</v>
      </c>
      <c r="B137" s="268" t="s">
        <v>158</v>
      </c>
      <c r="C137" s="164" t="s">
        <v>20</v>
      </c>
      <c r="D137" s="149" t="s">
        <v>180</v>
      </c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259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J137" s="151">
        <f t="shared" si="7"/>
        <v>0</v>
      </c>
      <c r="AK137" s="35">
        <f t="shared" si="8"/>
        <v>0</v>
      </c>
      <c r="AL137" s="35">
        <f t="shared" si="9"/>
        <v>0</v>
      </c>
      <c r="AM137" s="47">
        <f t="shared" si="10"/>
        <v>0</v>
      </c>
      <c r="AN137" s="36">
        <f t="shared" si="17"/>
        <v>0</v>
      </c>
      <c r="AO137" s="48">
        <f t="shared" si="12"/>
        <v>0</v>
      </c>
      <c r="AP137" s="37" t="s">
        <v>25</v>
      </c>
      <c r="AQ137" s="38"/>
      <c r="AR137" s="39"/>
    </row>
    <row r="138" s="105" customFormat="1" ht="19.5" customHeight="1" spans="1:44">
      <c r="A138" s="68">
        <v>127</v>
      </c>
      <c r="B138" s="269" t="s">
        <v>181</v>
      </c>
      <c r="C138" s="165" t="s">
        <v>59</v>
      </c>
      <c r="D138" s="149" t="str">
        <f>VLOOKUP(B138,'[1]MASTER DATA 2025'!$C$3:$E$279,3,0)</f>
        <v>2Tahun1 Bulan</v>
      </c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259" t="s">
        <v>13</v>
      </c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J138" s="151">
        <f t="shared" si="7"/>
        <v>0</v>
      </c>
      <c r="AK138" s="35">
        <f t="shared" si="8"/>
        <v>0</v>
      </c>
      <c r="AL138" s="36">
        <f t="shared" si="9"/>
        <v>0</v>
      </c>
      <c r="AM138" s="35">
        <f t="shared" si="10"/>
        <v>1</v>
      </c>
      <c r="AN138" s="36">
        <f t="shared" si="17"/>
        <v>0</v>
      </c>
      <c r="AO138" s="37">
        <f t="shared" si="12"/>
        <v>1</v>
      </c>
      <c r="AP138" s="37" t="s">
        <v>25</v>
      </c>
      <c r="AQ138" s="38"/>
      <c r="AR138" s="39"/>
    </row>
    <row r="139" s="105" customFormat="1" ht="19.5" customHeight="1" spans="1:44">
      <c r="A139" s="68">
        <v>128</v>
      </c>
      <c r="B139" s="249" t="s">
        <v>182</v>
      </c>
      <c r="C139" s="166" t="s">
        <v>59</v>
      </c>
      <c r="D139" s="152" t="s">
        <v>178</v>
      </c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259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J139" s="151">
        <f t="shared" si="7"/>
        <v>0</v>
      </c>
      <c r="AK139" s="35">
        <f t="shared" si="8"/>
        <v>0</v>
      </c>
      <c r="AL139" s="36">
        <f t="shared" si="9"/>
        <v>0</v>
      </c>
      <c r="AM139" s="35">
        <f t="shared" si="10"/>
        <v>0</v>
      </c>
      <c r="AN139" s="36">
        <f t="shared" si="17"/>
        <v>0</v>
      </c>
      <c r="AO139" s="37">
        <f t="shared" si="12"/>
        <v>0</v>
      </c>
      <c r="AP139" s="37" t="s">
        <v>25</v>
      </c>
      <c r="AQ139" s="38"/>
      <c r="AR139" s="39"/>
    </row>
    <row r="140" s="105" customFormat="1" ht="19.5" customHeight="1" spans="1:44">
      <c r="A140" s="68">
        <v>129</v>
      </c>
      <c r="B140" s="249" t="s">
        <v>183</v>
      </c>
      <c r="C140" s="166" t="s">
        <v>16</v>
      </c>
      <c r="D140" s="152" t="str">
        <f>VLOOKUP(B140,'[1]MASTER DATA 2025'!$C$3:$E$279,3,0)</f>
        <v>0Tahun1 Bulan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259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J140" s="151">
        <f t="shared" ref="AJ140:AJ149" si="18">COUNTIF(E140:AH140,"H")</f>
        <v>0</v>
      </c>
      <c r="AK140" s="35">
        <f t="shared" ref="AK140:AK159" si="19">COUNTIF(E140:AH140,"S")</f>
        <v>0</v>
      </c>
      <c r="AL140" s="36">
        <f t="shared" ref="AL140:AL159" si="20">COUNTIF(E140:AH140,"I")</f>
        <v>0</v>
      </c>
      <c r="AM140" s="35">
        <f t="shared" ref="AM140:AM159" si="21">COUNTIF(E140:AH140,"A")</f>
        <v>0</v>
      </c>
      <c r="AN140" s="36">
        <f t="shared" si="17"/>
        <v>0</v>
      </c>
      <c r="AO140" s="37">
        <f t="shared" ref="AO140:AO159" si="22">SUM(AJ140:AM140)</f>
        <v>0</v>
      </c>
      <c r="AP140" s="37"/>
      <c r="AQ140" s="38"/>
      <c r="AR140" s="39"/>
    </row>
    <row r="141" s="105" customFormat="1" ht="19.5" customHeight="1" spans="1:44">
      <c r="A141" s="68">
        <v>130</v>
      </c>
      <c r="B141" s="249" t="s">
        <v>184</v>
      </c>
      <c r="C141" s="166" t="s">
        <v>16</v>
      </c>
      <c r="D141" s="152" t="s">
        <v>178</v>
      </c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259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J141" s="151">
        <f t="shared" si="18"/>
        <v>0</v>
      </c>
      <c r="AK141" s="35">
        <f t="shared" si="19"/>
        <v>0</v>
      </c>
      <c r="AL141" s="36">
        <f t="shared" si="20"/>
        <v>0</v>
      </c>
      <c r="AM141" s="35">
        <f t="shared" si="21"/>
        <v>0</v>
      </c>
      <c r="AN141" s="36">
        <f t="shared" si="17"/>
        <v>0</v>
      </c>
      <c r="AO141" s="37">
        <f t="shared" si="22"/>
        <v>0</v>
      </c>
      <c r="AP141" s="37"/>
      <c r="AQ141" s="38"/>
      <c r="AR141" s="39"/>
    </row>
    <row r="142" s="105" customFormat="1" ht="19.5" customHeight="1" spans="1:44">
      <c r="A142" s="68">
        <v>131</v>
      </c>
      <c r="B142" s="249" t="s">
        <v>185</v>
      </c>
      <c r="C142" s="166" t="s">
        <v>16</v>
      </c>
      <c r="D142" s="152" t="s">
        <v>112</v>
      </c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259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 t="s">
        <v>11</v>
      </c>
      <c r="AF142" s="96"/>
      <c r="AG142" s="96"/>
      <c r="AH142" s="96"/>
      <c r="AJ142" s="151">
        <f t="shared" si="18"/>
        <v>0</v>
      </c>
      <c r="AK142" s="35">
        <f t="shared" si="19"/>
        <v>1</v>
      </c>
      <c r="AL142" s="36">
        <f t="shared" si="20"/>
        <v>0</v>
      </c>
      <c r="AM142" s="35">
        <f t="shared" si="21"/>
        <v>0</v>
      </c>
      <c r="AN142" s="36">
        <f t="shared" si="17"/>
        <v>0</v>
      </c>
      <c r="AO142" s="37">
        <f t="shared" si="22"/>
        <v>1</v>
      </c>
      <c r="AP142" s="130" t="s">
        <v>244</v>
      </c>
      <c r="AQ142" s="38"/>
      <c r="AR142" s="39"/>
    </row>
    <row r="143" s="105" customFormat="1" ht="19.5" customHeight="1" spans="1:44">
      <c r="A143" s="68">
        <v>132</v>
      </c>
      <c r="B143" s="249" t="s">
        <v>186</v>
      </c>
      <c r="C143" s="166" t="s">
        <v>245</v>
      </c>
      <c r="D143" s="149" t="s">
        <v>112</v>
      </c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 t="s">
        <v>13</v>
      </c>
      <c r="R143" s="96"/>
      <c r="S143" s="96"/>
      <c r="T143" s="259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J143" s="151">
        <f t="shared" si="18"/>
        <v>0</v>
      </c>
      <c r="AK143" s="35">
        <f t="shared" si="19"/>
        <v>0</v>
      </c>
      <c r="AL143" s="36">
        <f t="shared" si="20"/>
        <v>0</v>
      </c>
      <c r="AM143" s="35">
        <f t="shared" si="21"/>
        <v>1</v>
      </c>
      <c r="AN143" s="36">
        <f t="shared" si="17"/>
        <v>0</v>
      </c>
      <c r="AO143" s="37">
        <f t="shared" si="22"/>
        <v>1</v>
      </c>
      <c r="AP143" s="37" t="s">
        <v>216</v>
      </c>
      <c r="AQ143" s="38"/>
      <c r="AR143" s="39"/>
    </row>
    <row r="144" s="105" customFormat="1" ht="19.5" customHeight="1" spans="1:44">
      <c r="A144" s="68">
        <v>133</v>
      </c>
      <c r="B144" s="249" t="s">
        <v>187</v>
      </c>
      <c r="C144" s="166" t="s">
        <v>16</v>
      </c>
      <c r="D144" s="152" t="str">
        <f>VLOOKUP(B144,'[1]MASTER DATA 2025'!$C$3:$E$279,3,0)</f>
        <v>0Tahun1 Bulan</v>
      </c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259"/>
      <c r="U144" s="96"/>
      <c r="V144" s="96"/>
      <c r="W144" s="96"/>
      <c r="X144" s="96"/>
      <c r="Y144" s="96"/>
      <c r="Z144" s="96"/>
      <c r="AA144" s="96"/>
      <c r="AB144" s="96"/>
      <c r="AC144" s="96"/>
      <c r="AD144" s="96" t="s">
        <v>11</v>
      </c>
      <c r="AE144" s="96"/>
      <c r="AF144" s="96"/>
      <c r="AG144" s="96"/>
      <c r="AH144" s="96"/>
      <c r="AJ144" s="151">
        <f t="shared" si="18"/>
        <v>0</v>
      </c>
      <c r="AK144" s="35">
        <f t="shared" si="19"/>
        <v>1</v>
      </c>
      <c r="AL144" s="36">
        <f t="shared" si="20"/>
        <v>0</v>
      </c>
      <c r="AM144" s="35">
        <f t="shared" si="21"/>
        <v>0</v>
      </c>
      <c r="AN144" s="36">
        <f t="shared" si="17"/>
        <v>0</v>
      </c>
      <c r="AO144" s="37">
        <f t="shared" si="22"/>
        <v>1</v>
      </c>
      <c r="AP144" s="37" t="s">
        <v>246</v>
      </c>
      <c r="AQ144" s="38"/>
      <c r="AR144" s="39"/>
    </row>
    <row r="145" s="105" customFormat="1" ht="19.5" customHeight="1" spans="1:44">
      <c r="A145" s="68">
        <v>134</v>
      </c>
      <c r="B145" s="249" t="s">
        <v>188</v>
      </c>
      <c r="C145" s="166" t="s">
        <v>16</v>
      </c>
      <c r="D145" s="152" t="str">
        <f>VLOOKUP(B145,'[1]MASTER DATA 2025'!$C$3:$E$279,3,0)</f>
        <v>1Tahun5 Bulan</v>
      </c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259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J145" s="151">
        <f t="shared" si="18"/>
        <v>0</v>
      </c>
      <c r="AK145" s="35">
        <f t="shared" si="19"/>
        <v>0</v>
      </c>
      <c r="AL145" s="36">
        <f t="shared" si="20"/>
        <v>0</v>
      </c>
      <c r="AM145" s="35">
        <f t="shared" si="21"/>
        <v>0</v>
      </c>
      <c r="AN145" s="36">
        <f t="shared" si="17"/>
        <v>0</v>
      </c>
      <c r="AO145" s="37">
        <f t="shared" si="22"/>
        <v>0</v>
      </c>
      <c r="AP145" s="37"/>
      <c r="AQ145" s="38"/>
      <c r="AR145" s="39"/>
    </row>
    <row r="146" s="105" customFormat="1" ht="19.5" customHeight="1" spans="1:44">
      <c r="A146" s="68">
        <v>135</v>
      </c>
      <c r="B146" s="249" t="s">
        <v>189</v>
      </c>
      <c r="C146" s="166" t="s">
        <v>16</v>
      </c>
      <c r="D146" s="152" t="s">
        <v>178</v>
      </c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259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J146" s="151">
        <f t="shared" si="18"/>
        <v>0</v>
      </c>
      <c r="AK146" s="35">
        <f t="shared" si="19"/>
        <v>0</v>
      </c>
      <c r="AL146" s="36">
        <f t="shared" si="20"/>
        <v>0</v>
      </c>
      <c r="AM146" s="35">
        <f t="shared" si="21"/>
        <v>0</v>
      </c>
      <c r="AN146" s="36">
        <f t="shared" si="17"/>
        <v>0</v>
      </c>
      <c r="AO146" s="37">
        <f t="shared" si="22"/>
        <v>0</v>
      </c>
      <c r="AP146" s="37" t="s">
        <v>25</v>
      </c>
      <c r="AQ146" s="38"/>
      <c r="AR146" s="39"/>
    </row>
    <row r="147" s="105" customFormat="1" ht="19.5" customHeight="1" spans="1:44">
      <c r="A147" s="68">
        <v>136</v>
      </c>
      <c r="B147" s="265" t="s">
        <v>190</v>
      </c>
      <c r="C147" s="166" t="s">
        <v>16</v>
      </c>
      <c r="D147" s="152" t="s">
        <v>178</v>
      </c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259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J147" s="151">
        <f t="shared" si="18"/>
        <v>0</v>
      </c>
      <c r="AK147" s="35">
        <f t="shared" si="19"/>
        <v>0</v>
      </c>
      <c r="AL147" s="36">
        <f t="shared" si="20"/>
        <v>0</v>
      </c>
      <c r="AM147" s="35">
        <f t="shared" si="21"/>
        <v>0</v>
      </c>
      <c r="AN147" s="36">
        <f t="shared" si="17"/>
        <v>0</v>
      </c>
      <c r="AO147" s="37">
        <f t="shared" si="22"/>
        <v>0</v>
      </c>
      <c r="AP147" s="37" t="s">
        <v>25</v>
      </c>
      <c r="AQ147" s="38"/>
      <c r="AR147" s="39"/>
    </row>
    <row r="148" s="105" customFormat="1" ht="19.5" customHeight="1" spans="1:44">
      <c r="A148" s="68">
        <v>137</v>
      </c>
      <c r="B148" s="265" t="s">
        <v>191</v>
      </c>
      <c r="C148" s="150" t="s">
        <v>16</v>
      </c>
      <c r="D148" s="152" t="s">
        <v>178</v>
      </c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259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J148" s="151">
        <f t="shared" si="18"/>
        <v>0</v>
      </c>
      <c r="AK148" s="35">
        <f t="shared" si="19"/>
        <v>0</v>
      </c>
      <c r="AL148" s="35">
        <f t="shared" si="20"/>
        <v>0</v>
      </c>
      <c r="AM148" s="36">
        <f t="shared" si="21"/>
        <v>0</v>
      </c>
      <c r="AN148" s="36">
        <f t="shared" si="17"/>
        <v>0</v>
      </c>
      <c r="AO148" s="37">
        <f t="shared" si="22"/>
        <v>0</v>
      </c>
      <c r="AP148" s="37" t="s">
        <v>192</v>
      </c>
      <c r="AQ148" s="38">
        <v>16</v>
      </c>
      <c r="AR148" s="39">
        <f>AO148/AQ148</f>
        <v>0</v>
      </c>
    </row>
    <row r="149" s="105" customFormat="1" ht="19.5" customHeight="1" spans="1:44">
      <c r="A149" s="68"/>
      <c r="B149" s="265" t="s">
        <v>247</v>
      </c>
      <c r="C149" s="150" t="s">
        <v>16</v>
      </c>
      <c r="D149" s="152" t="s">
        <v>153</v>
      </c>
      <c r="E149" s="96"/>
      <c r="F149" s="96"/>
      <c r="G149" s="96"/>
      <c r="H149" s="96"/>
      <c r="I149" s="96"/>
      <c r="J149" s="96"/>
      <c r="K149" s="96" t="s">
        <v>13</v>
      </c>
      <c r="L149" s="96"/>
      <c r="M149" s="96"/>
      <c r="N149" s="96" t="s">
        <v>13</v>
      </c>
      <c r="O149" s="96"/>
      <c r="P149" s="96"/>
      <c r="Q149" s="96"/>
      <c r="R149" s="96"/>
      <c r="S149" s="96"/>
      <c r="T149" s="259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J149" s="151">
        <f t="shared" si="18"/>
        <v>0</v>
      </c>
      <c r="AK149" s="35">
        <f t="shared" si="19"/>
        <v>0</v>
      </c>
      <c r="AL149" s="36">
        <f t="shared" si="20"/>
        <v>0</v>
      </c>
      <c r="AM149" s="35">
        <f t="shared" si="21"/>
        <v>2</v>
      </c>
      <c r="AN149" s="36">
        <f t="shared" si="17"/>
        <v>0</v>
      </c>
      <c r="AO149" s="37">
        <f t="shared" si="22"/>
        <v>2</v>
      </c>
      <c r="AP149" s="38" t="s">
        <v>207</v>
      </c>
      <c r="AQ149" s="38"/>
      <c r="AR149" s="39"/>
    </row>
    <row r="150" s="105" customFormat="1" ht="19.5" customHeight="1" spans="1:44">
      <c r="A150" s="68"/>
      <c r="B150" s="265" t="s">
        <v>248</v>
      </c>
      <c r="C150" s="150" t="s">
        <v>16</v>
      </c>
      <c r="D150" s="152" t="s">
        <v>178</v>
      </c>
      <c r="E150" s="96"/>
      <c r="F150" s="96"/>
      <c r="G150" s="96"/>
      <c r="H150" s="96" t="s">
        <v>11</v>
      </c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259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J150" s="151"/>
      <c r="AK150" s="35">
        <f t="shared" si="19"/>
        <v>1</v>
      </c>
      <c r="AL150" s="36">
        <f t="shared" si="20"/>
        <v>0</v>
      </c>
      <c r="AM150" s="35">
        <f t="shared" si="21"/>
        <v>0</v>
      </c>
      <c r="AN150" s="36">
        <f t="shared" si="17"/>
        <v>0</v>
      </c>
      <c r="AO150" s="37">
        <f t="shared" si="22"/>
        <v>1</v>
      </c>
      <c r="AP150" s="37"/>
      <c r="AQ150" s="38"/>
      <c r="AR150" s="39"/>
    </row>
    <row r="151" s="105" customFormat="1" ht="19.5" customHeight="1" spans="1:44">
      <c r="A151" s="68"/>
      <c r="B151" s="265" t="s">
        <v>249</v>
      </c>
      <c r="C151" s="150" t="s">
        <v>16</v>
      </c>
      <c r="D151" s="152" t="s">
        <v>250</v>
      </c>
      <c r="E151" s="96"/>
      <c r="F151" s="96"/>
      <c r="G151" s="96"/>
      <c r="H151" s="96"/>
      <c r="I151" s="96"/>
      <c r="J151" s="96"/>
      <c r="K151" s="96"/>
      <c r="L151" s="96" t="s">
        <v>103</v>
      </c>
      <c r="M151" s="96"/>
      <c r="N151" s="96"/>
      <c r="O151" s="96"/>
      <c r="P151" s="96"/>
      <c r="Q151" s="96"/>
      <c r="R151" s="96"/>
      <c r="S151" s="96"/>
      <c r="T151" s="259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J151" s="151"/>
      <c r="AK151" s="35">
        <f t="shared" si="19"/>
        <v>0</v>
      </c>
      <c r="AL151" s="36">
        <f t="shared" si="20"/>
        <v>1</v>
      </c>
      <c r="AM151" s="35">
        <f t="shared" si="21"/>
        <v>0</v>
      </c>
      <c r="AN151" s="36">
        <f t="shared" si="17"/>
        <v>0</v>
      </c>
      <c r="AO151" s="37">
        <f t="shared" si="22"/>
        <v>1</v>
      </c>
      <c r="AP151" s="37"/>
      <c r="AQ151" s="38"/>
      <c r="AR151" s="39"/>
    </row>
    <row r="152" s="105" customFormat="1" ht="19.5" customHeight="1" spans="1:44">
      <c r="A152" s="68"/>
      <c r="B152" s="265" t="s">
        <v>251</v>
      </c>
      <c r="C152" s="150" t="s">
        <v>16</v>
      </c>
      <c r="D152" s="152" t="s">
        <v>252</v>
      </c>
      <c r="E152" s="96"/>
      <c r="F152" s="96"/>
      <c r="G152" s="96"/>
      <c r="H152" s="96"/>
      <c r="I152" s="96"/>
      <c r="J152" s="96"/>
      <c r="K152" s="96"/>
      <c r="L152" s="96" t="s">
        <v>11</v>
      </c>
      <c r="M152" s="96" t="s">
        <v>11</v>
      </c>
      <c r="N152" s="96"/>
      <c r="O152" s="96"/>
      <c r="P152" s="96"/>
      <c r="Q152" s="96"/>
      <c r="R152" s="96"/>
      <c r="S152" s="96"/>
      <c r="T152" s="259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J152" s="151"/>
      <c r="AK152" s="35">
        <f t="shared" si="19"/>
        <v>2</v>
      </c>
      <c r="AL152" s="36">
        <f t="shared" si="20"/>
        <v>0</v>
      </c>
      <c r="AM152" s="35">
        <f t="shared" si="21"/>
        <v>0</v>
      </c>
      <c r="AN152" s="36">
        <f t="shared" si="17"/>
        <v>0</v>
      </c>
      <c r="AO152" s="37">
        <f t="shared" si="22"/>
        <v>2</v>
      </c>
      <c r="AP152" s="37" t="s">
        <v>198</v>
      </c>
      <c r="AQ152" s="38"/>
      <c r="AR152" s="39"/>
    </row>
    <row r="153" s="105" customFormat="1" ht="19.5" customHeight="1" spans="1:44">
      <c r="A153" s="68"/>
      <c r="B153" s="265" t="s">
        <v>253</v>
      </c>
      <c r="C153" s="150" t="s">
        <v>16</v>
      </c>
      <c r="D153" s="152" t="s">
        <v>112</v>
      </c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 t="s">
        <v>13</v>
      </c>
      <c r="P153" s="96"/>
      <c r="Q153" s="96"/>
      <c r="R153" s="96"/>
      <c r="S153" s="96"/>
      <c r="T153" s="259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J153" s="151"/>
      <c r="AK153" s="35">
        <f t="shared" si="19"/>
        <v>0</v>
      </c>
      <c r="AL153" s="36">
        <f t="shared" si="20"/>
        <v>0</v>
      </c>
      <c r="AM153" s="35">
        <f t="shared" si="21"/>
        <v>1</v>
      </c>
      <c r="AN153" s="36">
        <f t="shared" si="17"/>
        <v>0</v>
      </c>
      <c r="AO153" s="37">
        <f t="shared" si="22"/>
        <v>1</v>
      </c>
      <c r="AP153" s="38" t="s">
        <v>254</v>
      </c>
      <c r="AQ153" s="38"/>
      <c r="AR153" s="39"/>
    </row>
    <row r="154" s="105" customFormat="1" ht="19.5" customHeight="1" spans="1:44">
      <c r="A154" s="68"/>
      <c r="B154" s="265" t="s">
        <v>255</v>
      </c>
      <c r="C154" s="150" t="s">
        <v>165</v>
      </c>
      <c r="D154" s="152" t="s">
        <v>238</v>
      </c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 t="s">
        <v>11</v>
      </c>
      <c r="P154" s="96"/>
      <c r="Q154" s="96"/>
      <c r="R154" s="96"/>
      <c r="S154" s="96"/>
      <c r="T154" s="259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J154" s="151"/>
      <c r="AK154" s="35">
        <f t="shared" si="19"/>
        <v>1</v>
      </c>
      <c r="AL154" s="36">
        <f t="shared" si="20"/>
        <v>0</v>
      </c>
      <c r="AM154" s="35">
        <f t="shared" si="21"/>
        <v>0</v>
      </c>
      <c r="AN154" s="36">
        <f t="shared" si="17"/>
        <v>0</v>
      </c>
      <c r="AO154" s="37">
        <f t="shared" si="22"/>
        <v>1</v>
      </c>
      <c r="AP154" s="38"/>
      <c r="AQ154" s="38"/>
      <c r="AR154" s="39"/>
    </row>
    <row r="155" s="105" customFormat="1" ht="19.5" customHeight="1" spans="1:44">
      <c r="A155" s="68"/>
      <c r="B155" s="265" t="s">
        <v>256</v>
      </c>
      <c r="C155" s="150" t="s">
        <v>59</v>
      </c>
      <c r="D155" s="152" t="s">
        <v>257</v>
      </c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 t="s">
        <v>13</v>
      </c>
      <c r="S155" s="96"/>
      <c r="T155" s="259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J155" s="151"/>
      <c r="AK155" s="35">
        <f t="shared" si="19"/>
        <v>0</v>
      </c>
      <c r="AL155" s="36">
        <f t="shared" si="20"/>
        <v>0</v>
      </c>
      <c r="AM155" s="35">
        <f t="shared" si="21"/>
        <v>1</v>
      </c>
      <c r="AN155" s="36">
        <f t="shared" si="17"/>
        <v>0</v>
      </c>
      <c r="AO155" s="37">
        <f t="shared" si="22"/>
        <v>1</v>
      </c>
      <c r="AP155" s="38" t="s">
        <v>232</v>
      </c>
      <c r="AQ155" s="38"/>
      <c r="AR155" s="39"/>
    </row>
    <row r="156" s="105" customFormat="1" ht="20.15" customHeight="1" spans="1:44">
      <c r="A156" s="68"/>
      <c r="B156" s="167" t="s">
        <v>258</v>
      </c>
      <c r="C156" s="167" t="s">
        <v>59</v>
      </c>
      <c r="D156" s="152" t="s">
        <v>238</v>
      </c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259"/>
      <c r="U156" s="96"/>
      <c r="V156" s="96"/>
      <c r="W156" s="96" t="s">
        <v>13</v>
      </c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J156" s="151"/>
      <c r="AK156" s="35">
        <f t="shared" si="19"/>
        <v>0</v>
      </c>
      <c r="AL156" s="36">
        <f t="shared" si="20"/>
        <v>0</v>
      </c>
      <c r="AM156" s="35">
        <f t="shared" si="21"/>
        <v>1</v>
      </c>
      <c r="AN156" s="36">
        <f t="shared" si="17"/>
        <v>0</v>
      </c>
      <c r="AO156" s="37">
        <f t="shared" si="22"/>
        <v>1</v>
      </c>
      <c r="AP156" s="37" t="s">
        <v>228</v>
      </c>
      <c r="AQ156" s="38"/>
      <c r="AR156" s="39"/>
    </row>
    <row r="157" s="105" customFormat="1" ht="20.15" customHeight="1" spans="1:44">
      <c r="A157" s="68"/>
      <c r="B157" s="167" t="s">
        <v>259</v>
      </c>
      <c r="C157" s="167" t="s">
        <v>260</v>
      </c>
      <c r="D157" s="152" t="s">
        <v>238</v>
      </c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259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 t="s">
        <v>13</v>
      </c>
      <c r="AF157" s="96"/>
      <c r="AG157" s="96"/>
      <c r="AH157" s="96"/>
      <c r="AJ157" s="151"/>
      <c r="AK157" s="35">
        <f t="shared" si="19"/>
        <v>0</v>
      </c>
      <c r="AL157" s="36">
        <f t="shared" si="20"/>
        <v>0</v>
      </c>
      <c r="AM157" s="35">
        <f t="shared" si="21"/>
        <v>1</v>
      </c>
      <c r="AN157" s="36">
        <f t="shared" si="17"/>
        <v>0</v>
      </c>
      <c r="AO157" s="37">
        <f t="shared" si="22"/>
        <v>1</v>
      </c>
      <c r="AP157" s="38" t="s">
        <v>261</v>
      </c>
      <c r="AQ157" s="38"/>
      <c r="AR157" s="39"/>
    </row>
    <row r="158" s="105" customFormat="1" ht="20.15" customHeight="1" spans="1:44">
      <c r="A158" s="68"/>
      <c r="B158" s="167" t="s">
        <v>262</v>
      </c>
      <c r="C158" s="167" t="s">
        <v>263</v>
      </c>
      <c r="D158" s="152" t="s">
        <v>112</v>
      </c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259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J158" s="151"/>
      <c r="AK158" s="35">
        <f t="shared" si="19"/>
        <v>0</v>
      </c>
      <c r="AL158" s="36">
        <f t="shared" si="20"/>
        <v>0</v>
      </c>
      <c r="AM158" s="35">
        <f t="shared" si="21"/>
        <v>0</v>
      </c>
      <c r="AN158" s="36">
        <f t="shared" si="17"/>
        <v>0</v>
      </c>
      <c r="AO158" s="37">
        <f t="shared" si="22"/>
        <v>0</v>
      </c>
      <c r="AP158" s="38" t="s">
        <v>264</v>
      </c>
      <c r="AQ158" s="38"/>
      <c r="AR158" s="39"/>
    </row>
    <row r="159" s="105" customFormat="1" ht="20.15" customHeight="1" spans="1:44">
      <c r="A159" s="68"/>
      <c r="B159" s="167"/>
      <c r="C159" s="167"/>
      <c r="D159" s="149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259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J159" s="151">
        <f>COUNTIF(E159:AH159,"H")</f>
        <v>0</v>
      </c>
      <c r="AK159" s="47">
        <f t="shared" si="19"/>
        <v>0</v>
      </c>
      <c r="AL159" s="35">
        <f t="shared" si="20"/>
        <v>0</v>
      </c>
      <c r="AM159" s="35">
        <f t="shared" si="21"/>
        <v>0</v>
      </c>
      <c r="AN159" s="36">
        <f t="shared" si="17"/>
        <v>0</v>
      </c>
      <c r="AO159" s="48">
        <f t="shared" si="22"/>
        <v>0</v>
      </c>
      <c r="AP159" s="37"/>
      <c r="AQ159" s="38">
        <v>26</v>
      </c>
      <c r="AR159" s="39">
        <f>AO159/AQ159</f>
        <v>0</v>
      </c>
    </row>
    <row r="160" s="20" customFormat="1" ht="19.5" customHeight="1" spans="1:44">
      <c r="A160" s="290" t="s">
        <v>6</v>
      </c>
      <c r="B160" s="291"/>
      <c r="C160" s="291"/>
      <c r="D160" s="291"/>
      <c r="E160" s="292">
        <f t="shared" ref="E160:AG160" si="23">COUNTIF(E14:E86,"H")</f>
        <v>0</v>
      </c>
      <c r="F160" s="292">
        <f t="shared" si="23"/>
        <v>0</v>
      </c>
      <c r="G160" s="292">
        <f t="shared" si="23"/>
        <v>0</v>
      </c>
      <c r="H160" s="292">
        <f t="shared" si="23"/>
        <v>0</v>
      </c>
      <c r="I160" s="292">
        <f t="shared" si="23"/>
        <v>0</v>
      </c>
      <c r="J160" s="292">
        <f t="shared" si="23"/>
        <v>0</v>
      </c>
      <c r="K160" s="292">
        <f t="shared" si="23"/>
        <v>0</v>
      </c>
      <c r="L160" s="292">
        <f t="shared" si="23"/>
        <v>0</v>
      </c>
      <c r="M160" s="292">
        <f t="shared" si="23"/>
        <v>0</v>
      </c>
      <c r="N160" s="292">
        <f t="shared" si="23"/>
        <v>0</v>
      </c>
      <c r="O160" s="292">
        <f t="shared" si="23"/>
        <v>0</v>
      </c>
      <c r="P160" s="292">
        <f t="shared" si="23"/>
        <v>0</v>
      </c>
      <c r="Q160" s="292">
        <f t="shared" si="23"/>
        <v>0</v>
      </c>
      <c r="R160" s="292">
        <f t="shared" si="23"/>
        <v>0</v>
      </c>
      <c r="S160" s="292">
        <f t="shared" si="23"/>
        <v>0</v>
      </c>
      <c r="T160" s="292">
        <f t="shared" si="23"/>
        <v>0</v>
      </c>
      <c r="U160" s="292">
        <f t="shared" si="23"/>
        <v>0</v>
      </c>
      <c r="V160" s="292">
        <f t="shared" si="23"/>
        <v>0</v>
      </c>
      <c r="W160" s="292">
        <f t="shared" si="23"/>
        <v>0</v>
      </c>
      <c r="X160" s="292">
        <f t="shared" si="23"/>
        <v>0</v>
      </c>
      <c r="Y160" s="292">
        <f t="shared" si="23"/>
        <v>0</v>
      </c>
      <c r="Z160" s="292">
        <f t="shared" si="23"/>
        <v>0</v>
      </c>
      <c r="AA160" s="292">
        <f t="shared" si="23"/>
        <v>0</v>
      </c>
      <c r="AB160" s="292">
        <f t="shared" si="23"/>
        <v>0</v>
      </c>
      <c r="AC160" s="292">
        <f t="shared" si="23"/>
        <v>0</v>
      </c>
      <c r="AD160" s="292">
        <f t="shared" si="23"/>
        <v>0</v>
      </c>
      <c r="AE160" s="292">
        <f t="shared" si="23"/>
        <v>0</v>
      </c>
      <c r="AF160" s="292">
        <f t="shared" si="23"/>
        <v>0</v>
      </c>
      <c r="AG160" s="292">
        <f t="shared" si="23"/>
        <v>0</v>
      </c>
      <c r="AH160" s="292"/>
      <c r="AI160" s="293">
        <f>SUM(E160:AH160)</f>
        <v>0</v>
      </c>
    </row>
    <row r="161" ht="20.15" customHeight="1" spans="5:41">
      <c r="E161" s="294"/>
      <c r="F161" s="295"/>
      <c r="G161" s="295"/>
      <c r="H161" s="295"/>
      <c r="I161" s="295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  <c r="AA161" s="295"/>
      <c r="AB161" s="295"/>
      <c r="AC161" s="295"/>
      <c r="AD161" s="295"/>
      <c r="AE161" s="295"/>
      <c r="AF161" s="295"/>
      <c r="AG161" s="295"/>
      <c r="AH161" s="295"/>
      <c r="AI161" s="296"/>
      <c r="AK161" s="105" t="s">
        <v>193</v>
      </c>
      <c r="AL161" s="105" t="s">
        <v>194</v>
      </c>
      <c r="AM161" s="105" t="s">
        <v>195</v>
      </c>
    </row>
    <row r="162" ht="20.15" customHeight="1" spans="5:41">
      <c r="E162" s="297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8"/>
      <c r="Y162" s="298"/>
      <c r="Z162" s="298"/>
      <c r="AA162" s="298"/>
      <c r="AB162" s="298"/>
      <c r="AC162" s="298"/>
      <c r="AD162" s="298"/>
      <c r="AE162" s="298"/>
      <c r="AF162" s="298"/>
      <c r="AG162" s="295"/>
      <c r="AH162" s="295"/>
      <c r="AK162" s="105">
        <f>SUM(AK12:AK159)</f>
        <v>39</v>
      </c>
      <c r="AL162" s="105">
        <f>SUM(AL12:AL159)</f>
        <v>10</v>
      </c>
      <c r="AM162" s="105">
        <f>SUM(AM12:AM159)</f>
        <v>61</v>
      </c>
      <c r="AN162" s="20">
        <f>SUM(AN12:AN159)</f>
        <v>0</v>
      </c>
      <c r="AO162" s="20">
        <f>SUM(AO12:AO159)</f>
        <v>110</v>
      </c>
    </row>
    <row r="163" ht="20.15" customHeight="1" spans="5:41">
      <c r="E163" s="297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8"/>
      <c r="Y163" s="298"/>
      <c r="Z163" s="298"/>
      <c r="AA163" s="298"/>
      <c r="AB163" s="298"/>
      <c r="AC163" s="298"/>
      <c r="AD163" s="298"/>
      <c r="AE163" s="298"/>
      <c r="AF163" s="298"/>
    </row>
  </sheetData>
  <autoFilter xmlns:etc="http://www.wps.cn/officeDocument/2017/etCustomData" ref="A11:AR162" etc:filterBottomFollowUsedRange="0">
    <extLst/>
  </autoFilter>
  <mergeCells count="15">
    <mergeCell ref="E10:AH10"/>
    <mergeCell ref="AK10:AN10"/>
    <mergeCell ref="A160:B160"/>
    <mergeCell ref="A10:A11"/>
    <mergeCell ref="B10:B11"/>
    <mergeCell ref="C10:C11"/>
    <mergeCell ref="D10:D11"/>
    <mergeCell ref="AJ10:AJ11"/>
    <mergeCell ref="AO10:AO11"/>
    <mergeCell ref="AP10:AP11"/>
    <mergeCell ref="AQ10:AQ11"/>
    <mergeCell ref="AR10:AR11"/>
    <mergeCell ref="E162:AF163"/>
    <mergeCell ref="E4:AH6"/>
    <mergeCell ref="E7:AH8"/>
  </mergeCells>
  <conditionalFormatting sqref="B54">
    <cfRule type="cellIs" dxfId="0" priority="11" operator="equal">
      <formula>"ALPA"</formula>
    </cfRule>
    <cfRule type="cellIs" dxfId="1" priority="12" operator="equal">
      <formula>"IZIN"</formula>
    </cfRule>
    <cfRule type="cellIs" dxfId="2" priority="13" operator="equal">
      <formula>"SAKIT"</formula>
    </cfRule>
  </conditionalFormatting>
  <conditionalFormatting sqref="E12:AH159">
    <cfRule type="containsText" dxfId="3" priority="14" operator="between" text="OFF">
      <formula>NOT(ISERROR(SEARCH("OFF",E12)))</formula>
    </cfRule>
    <cfRule type="containsText" dxfId="4" priority="15" operator="between" text="OFF">
      <formula>NOT(ISERROR(SEARCH("OFF",E12)))</formula>
    </cfRule>
    <cfRule type="containsText" dxfId="5" priority="16" operator="between" text="S">
      <formula>NOT(ISERROR(SEARCH("S",E12)))</formula>
    </cfRule>
    <cfRule type="containsText" dxfId="6" priority="17" operator="between" text="I">
      <formula>NOT(ISERROR(SEARCH("I",E12)))</formula>
    </cfRule>
    <cfRule type="containsText" dxfId="7" priority="18" operator="between" text="A">
      <formula>NOT(ISERROR(SEARCH("A",E12)))</formula>
    </cfRule>
    <cfRule type="containsText" dxfId="8" priority="19" operator="between" text="L">
      <formula>NOT(ISERROR(SEARCH("L",E12)))</formula>
    </cfRule>
    <cfRule type="containsText" dxfId="6" priority="20" operator="between" text="A">
      <formula>NOT(ISERROR(SEARCH("A",E12)))</formula>
    </cfRule>
    <cfRule type="containsText" dxfId="7" priority="21" operator="between" text="S">
      <formula>NOT(ISERROR(SEARCH("S",E12)))</formula>
    </cfRule>
    <cfRule type="containsText" dxfId="5" priority="22" operator="between" text="OFF">
      <formula>NOT(ISERROR(SEARCH("OFF",E12)))</formula>
    </cfRule>
    <cfRule type="containsText" dxfId="7" priority="23" operator="between" text="OFF">
      <formula>NOT(ISERROR(SEARCH("OFF",E12)))</formula>
    </cfRule>
  </conditionalFormatting>
  <printOptions horizontalCentered="1"/>
  <pageMargins left="0" right="0" top="0" bottom="0" header="0" footer="0"/>
  <pageSetup paperSize="9" scale="29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R173"/>
  <sheetViews>
    <sheetView zoomScale="70" zoomScaleNormal="70" topLeftCell="A10" workbookViewId="0">
      <pane xSplit="2" ySplit="2" topLeftCell="AE85" activePane="bottomRight" state="frozen"/>
      <selection/>
      <selection pane="topRight"/>
      <selection pane="bottomLeft"/>
      <selection pane="bottomRight" activeCell="B85" sqref="B85"/>
    </sheetView>
  </sheetViews>
  <sheetFormatPr defaultColWidth="9" defaultRowHeight="14.5"/>
  <cols>
    <col min="1" max="1" width="10.3636363636364" customWidth="1"/>
    <col min="2" max="3" width="16" customWidth="1"/>
    <col min="4" max="4" width="14.4545454545455" customWidth="1"/>
    <col min="5" max="9" width="7.63636363636364" customWidth="1"/>
    <col min="10" max="10" width="9.36363636363636" customWidth="1"/>
    <col min="11" max="11" width="7.63636363636364" customWidth="1"/>
    <col min="12" max="12" width="7.90909090909091" customWidth="1"/>
    <col min="13" max="14" width="7.63636363636364" customWidth="1"/>
    <col min="15" max="15" width="7" customWidth="1"/>
    <col min="16" max="19" width="7.63636363636364" customWidth="1"/>
    <col min="20" max="20" width="7.45454545454545" customWidth="1"/>
    <col min="21" max="21" width="11.5454545454545" customWidth="1"/>
    <col min="22" max="25" width="7.63636363636364" customWidth="1"/>
    <col min="26" max="26" width="8.45454545454546" customWidth="1"/>
    <col min="27" max="34" width="7.63636363636364" customWidth="1"/>
    <col min="35" max="35" width="8" style="116" customWidth="1"/>
    <col min="36" max="36" width="2.63636363636364" customWidth="1"/>
    <col min="37" max="37" width="9" customWidth="1"/>
    <col min="38" max="39" width="6.36363636363636" customWidth="1"/>
    <col min="40" max="40" width="7" customWidth="1"/>
    <col min="41" max="41" width="7.36363636363636" customWidth="1"/>
    <col min="42" max="42" width="52" customWidth="1"/>
    <col min="43" max="44" width="15.6363636363636" customWidth="1"/>
    <col min="45" max="45" width="9" customWidth="1"/>
  </cols>
  <sheetData>
    <row r="2" ht="20.15" customHeight="1" spans="1:4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133"/>
    </row>
    <row r="3" ht="20.15" customHeight="1" spans="1:44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133"/>
    </row>
    <row r="4" ht="20.15" customHeight="1" spans="1:44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134"/>
    </row>
    <row r="5" ht="20.15" customHeight="1" spans="1:44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134"/>
    </row>
    <row r="6" ht="20.15" customHeight="1" spans="1:44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134"/>
    </row>
    <row r="7" ht="20.15" customHeight="1" spans="1:44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135"/>
    </row>
    <row r="8" ht="20.15" customHeight="1" spans="1:44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135"/>
    </row>
    <row r="9" ht="20.15" customHeight="1" spans="1:4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133"/>
    </row>
    <row r="10" s="20" customFormat="1" ht="16.5" spans="1:44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39"/>
      <c r="AJ10" s="56"/>
      <c r="AK10" s="23" t="s">
        <v>5</v>
      </c>
      <c r="AL10" s="24"/>
      <c r="AM10" s="24"/>
      <c r="AN10" s="25"/>
      <c r="AO10" s="2" t="s">
        <v>6</v>
      </c>
      <c r="AP10" s="2" t="s">
        <v>5</v>
      </c>
      <c r="AQ10" s="26" t="s">
        <v>8</v>
      </c>
      <c r="AR10" s="27" t="s">
        <v>9</v>
      </c>
    </row>
    <row r="11" s="21" customFormat="1" ht="23.15" customHeight="1" spans="1:44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58">
        <v>24</v>
      </c>
      <c r="I11" s="58">
        <v>25</v>
      </c>
      <c r="J11" s="235">
        <v>26</v>
      </c>
      <c r="K11" s="58">
        <v>27</v>
      </c>
      <c r="L11" s="58">
        <v>28</v>
      </c>
      <c r="M11" s="58">
        <v>29</v>
      </c>
      <c r="N11" s="58">
        <v>30</v>
      </c>
      <c r="O11" s="58">
        <v>1</v>
      </c>
      <c r="P11" s="58">
        <v>2</v>
      </c>
      <c r="Q11" s="58">
        <v>3</v>
      </c>
      <c r="R11" s="58">
        <v>4</v>
      </c>
      <c r="S11" s="58">
        <v>5</v>
      </c>
      <c r="T11" s="58">
        <v>6</v>
      </c>
      <c r="U11" s="58">
        <v>7</v>
      </c>
      <c r="V11" s="58">
        <v>8</v>
      </c>
      <c r="W11" s="58">
        <v>9</v>
      </c>
      <c r="X11" s="58">
        <v>10</v>
      </c>
      <c r="Y11" s="258">
        <v>11</v>
      </c>
      <c r="Z11" s="58">
        <v>12</v>
      </c>
      <c r="AA11" s="58">
        <v>13</v>
      </c>
      <c r="AB11" s="58">
        <v>14</v>
      </c>
      <c r="AC11" s="58">
        <v>15</v>
      </c>
      <c r="AD11" s="58">
        <v>16</v>
      </c>
      <c r="AE11" s="58">
        <v>17</v>
      </c>
      <c r="AF11" s="58">
        <v>18</v>
      </c>
      <c r="AG11" s="58">
        <v>19</v>
      </c>
      <c r="AH11" s="58">
        <v>20</v>
      </c>
      <c r="AI11" s="140"/>
      <c r="AJ11" s="148" t="s">
        <v>10</v>
      </c>
      <c r="AK11" s="11" t="s">
        <v>11</v>
      </c>
      <c r="AL11" s="11" t="s">
        <v>12</v>
      </c>
      <c r="AM11" s="11" t="s">
        <v>13</v>
      </c>
      <c r="AN11" s="11" t="s">
        <v>14</v>
      </c>
      <c r="AO11" s="32"/>
      <c r="AP11" s="32"/>
      <c r="AQ11" s="33"/>
      <c r="AR11" s="34"/>
    </row>
    <row r="12" s="105" customFormat="1" ht="20.15" customHeight="1" spans="1:44">
      <c r="A12" s="68">
        <v>1</v>
      </c>
      <c r="B12" s="149" t="s">
        <v>15</v>
      </c>
      <c r="C12" s="164" t="s">
        <v>20</v>
      </c>
      <c r="D12" s="149" t="s">
        <v>217</v>
      </c>
      <c r="E12" s="96"/>
      <c r="F12" s="96"/>
      <c r="G12" s="96"/>
      <c r="H12" s="96"/>
      <c r="I12" s="96"/>
      <c r="J12" s="96"/>
      <c r="K12" s="96"/>
      <c r="L12" s="96"/>
      <c r="M12" s="96"/>
      <c r="N12" s="96" t="s">
        <v>13</v>
      </c>
      <c r="O12" s="96"/>
      <c r="P12" s="96"/>
      <c r="Q12" s="96"/>
      <c r="R12" s="96"/>
      <c r="S12" s="96"/>
      <c r="T12" s="259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113"/>
      <c r="AJ12" s="151">
        <f t="shared" ref="AJ12:AJ75" si="0">COUNTIF(E12:AH12,"H")</f>
        <v>0</v>
      </c>
      <c r="AK12" s="47">
        <f t="shared" ref="AK12:AK75" si="1">COUNTIF(E12:AH12,"S")</f>
        <v>0</v>
      </c>
      <c r="AL12" s="36">
        <f t="shared" ref="AL12:AL75" si="2">COUNTIF(E12:AH12,"I")</f>
        <v>0</v>
      </c>
      <c r="AM12" s="35">
        <f t="shared" ref="AM12:AM75" si="3">COUNTIF(E12:AH12,"A")</f>
        <v>1</v>
      </c>
      <c r="AN12" s="36">
        <f t="shared" ref="AN12:AN75" si="4">COUNTIF(E12:AH12,"OFF")</f>
        <v>0</v>
      </c>
      <c r="AO12" s="48">
        <f t="shared" ref="AO12:AO75" si="5">SUM(AJ12:AM12)</f>
        <v>1</v>
      </c>
      <c r="AP12" s="37" t="s">
        <v>228</v>
      </c>
      <c r="AQ12" s="38">
        <v>16</v>
      </c>
      <c r="AR12" s="39">
        <f t="shared" ref="AR12:AR75" si="6">AO12/AQ12</f>
        <v>0.0625</v>
      </c>
    </row>
    <row r="13" s="105" customFormat="1" ht="20.15" customHeight="1" spans="1:44">
      <c r="A13" s="68">
        <v>2</v>
      </c>
      <c r="B13" s="149" t="s">
        <v>17</v>
      </c>
      <c r="C13" s="149" t="s">
        <v>16</v>
      </c>
      <c r="D13" s="152" t="s">
        <v>265</v>
      </c>
      <c r="E13" s="96"/>
      <c r="F13" s="96" t="s">
        <v>11</v>
      </c>
      <c r="G13" s="96"/>
      <c r="H13" s="96"/>
      <c r="I13" s="96"/>
      <c r="J13" s="96"/>
      <c r="K13" s="96"/>
      <c r="L13" s="96" t="s">
        <v>13</v>
      </c>
      <c r="M13" s="96"/>
      <c r="N13" s="96"/>
      <c r="O13" s="96"/>
      <c r="P13" s="96"/>
      <c r="Q13" s="96"/>
      <c r="R13" s="96" t="s">
        <v>11</v>
      </c>
      <c r="S13" s="96"/>
      <c r="T13" s="259"/>
      <c r="U13" s="96"/>
      <c r="V13" s="96"/>
      <c r="W13" s="96"/>
      <c r="X13" s="96"/>
      <c r="Y13" s="96"/>
      <c r="Z13" s="96" t="s">
        <v>13</v>
      </c>
      <c r="AA13" s="96" t="s">
        <v>11</v>
      </c>
      <c r="AB13" s="96"/>
      <c r="AC13" s="96"/>
      <c r="AD13" s="96"/>
      <c r="AE13" s="96"/>
      <c r="AF13" s="96"/>
      <c r="AG13" s="96"/>
      <c r="AH13" s="96"/>
      <c r="AI13" s="113"/>
      <c r="AJ13" s="151">
        <f t="shared" si="0"/>
        <v>0</v>
      </c>
      <c r="AK13" s="35">
        <f t="shared" si="1"/>
        <v>3</v>
      </c>
      <c r="AL13" s="36">
        <f t="shared" si="2"/>
        <v>0</v>
      </c>
      <c r="AM13" s="35">
        <f t="shared" si="3"/>
        <v>2</v>
      </c>
      <c r="AN13" s="36">
        <f t="shared" si="4"/>
        <v>0</v>
      </c>
      <c r="AO13" s="37">
        <f t="shared" si="5"/>
        <v>5</v>
      </c>
      <c r="AP13" s="37"/>
      <c r="AQ13" s="38">
        <v>16</v>
      </c>
      <c r="AR13" s="39">
        <f t="shared" si="6"/>
        <v>0.3125</v>
      </c>
    </row>
    <row r="14" s="105" customFormat="1" ht="20.15" customHeight="1" spans="1:44">
      <c r="A14" s="68">
        <v>3</v>
      </c>
      <c r="B14" s="149" t="s">
        <v>116</v>
      </c>
      <c r="C14" s="150" t="s">
        <v>59</v>
      </c>
      <c r="D14" s="152" t="s">
        <v>199</v>
      </c>
      <c r="E14" s="96"/>
      <c r="F14" s="96" t="s">
        <v>12</v>
      </c>
      <c r="G14" s="96"/>
      <c r="H14" s="96"/>
      <c r="I14" s="96"/>
      <c r="J14" s="96"/>
      <c r="K14" s="96" t="s">
        <v>12</v>
      </c>
      <c r="L14" s="96"/>
      <c r="M14" s="96"/>
      <c r="N14" s="96"/>
      <c r="O14" s="96"/>
      <c r="P14" s="96"/>
      <c r="Q14" s="96"/>
      <c r="R14" s="96"/>
      <c r="S14" s="96"/>
      <c r="T14" s="259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113"/>
      <c r="AJ14" s="151">
        <f t="shared" si="0"/>
        <v>0</v>
      </c>
      <c r="AK14" s="35">
        <f t="shared" si="1"/>
        <v>0</v>
      </c>
      <c r="AL14" s="35">
        <f t="shared" si="2"/>
        <v>2</v>
      </c>
      <c r="AM14" s="47">
        <f t="shared" si="3"/>
        <v>0</v>
      </c>
      <c r="AN14" s="36">
        <f t="shared" si="4"/>
        <v>0</v>
      </c>
      <c r="AO14" s="48">
        <f t="shared" si="5"/>
        <v>2</v>
      </c>
      <c r="AP14" s="49"/>
      <c r="AQ14" s="38">
        <v>16</v>
      </c>
      <c r="AR14" s="39">
        <f t="shared" si="6"/>
        <v>0.125</v>
      </c>
    </row>
    <row r="15" s="105" customFormat="1" ht="20.15" customHeight="1" spans="1:44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259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113"/>
      <c r="AJ15" s="151">
        <f t="shared" si="0"/>
        <v>0</v>
      </c>
      <c r="AK15" s="35">
        <f t="shared" si="1"/>
        <v>0</v>
      </c>
      <c r="AL15" s="36">
        <f t="shared" si="2"/>
        <v>0</v>
      </c>
      <c r="AM15" s="36">
        <f t="shared" si="3"/>
        <v>0</v>
      </c>
      <c r="AN15" s="36">
        <f t="shared" si="4"/>
        <v>0</v>
      </c>
      <c r="AO15" s="37">
        <f t="shared" si="5"/>
        <v>0</v>
      </c>
      <c r="AP15" s="37"/>
      <c r="AQ15" s="38">
        <v>16</v>
      </c>
      <c r="AR15" s="39">
        <f t="shared" si="6"/>
        <v>0</v>
      </c>
    </row>
    <row r="16" s="105" customFormat="1" ht="20.15" customHeight="1" spans="1:44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259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113"/>
      <c r="AJ16" s="151">
        <f t="shared" si="0"/>
        <v>0</v>
      </c>
      <c r="AK16" s="35">
        <f t="shared" si="1"/>
        <v>0</v>
      </c>
      <c r="AL16" s="36">
        <f t="shared" si="2"/>
        <v>0</v>
      </c>
      <c r="AM16" s="36">
        <f t="shared" si="3"/>
        <v>0</v>
      </c>
      <c r="AN16" s="36">
        <f t="shared" si="4"/>
        <v>0</v>
      </c>
      <c r="AO16" s="37">
        <f t="shared" si="5"/>
        <v>0</v>
      </c>
      <c r="AP16" s="52"/>
      <c r="AQ16" s="38">
        <v>16</v>
      </c>
      <c r="AR16" s="39">
        <f t="shared" si="6"/>
        <v>0</v>
      </c>
    </row>
    <row r="17" s="105" customFormat="1" ht="20.15" customHeight="1" spans="1:44">
      <c r="A17" s="68">
        <v>6</v>
      </c>
      <c r="B17" s="154" t="s">
        <v>23</v>
      </c>
      <c r="C17" s="154" t="s">
        <v>16</v>
      </c>
      <c r="D17" s="149" t="str">
        <f>VLOOKUP(B17,'[1]MASTER DATA 2025'!$C$3:$E$279,3,0)</f>
        <v>1Tahun4 Bulan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259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 t="s">
        <v>11</v>
      </c>
      <c r="AF17" s="96"/>
      <c r="AG17" s="96"/>
      <c r="AH17" s="96"/>
      <c r="AI17" s="113"/>
      <c r="AJ17" s="151">
        <f t="shared" si="0"/>
        <v>0</v>
      </c>
      <c r="AK17" s="35">
        <f t="shared" si="1"/>
        <v>1</v>
      </c>
      <c r="AL17" s="36">
        <f t="shared" si="2"/>
        <v>0</v>
      </c>
      <c r="AM17" s="35">
        <f t="shared" si="3"/>
        <v>0</v>
      </c>
      <c r="AN17" s="36">
        <f t="shared" si="4"/>
        <v>0</v>
      </c>
      <c r="AO17" s="37">
        <f t="shared" si="5"/>
        <v>1</v>
      </c>
      <c r="AP17" s="37" t="s">
        <v>25</v>
      </c>
      <c r="AQ17" s="38">
        <v>16</v>
      </c>
      <c r="AR17" s="39">
        <f t="shared" si="6"/>
        <v>0.0625</v>
      </c>
    </row>
    <row r="18" s="105" customFormat="1" ht="20.15" customHeight="1" spans="1:44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259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113"/>
      <c r="AJ18" s="151">
        <f t="shared" si="0"/>
        <v>0</v>
      </c>
      <c r="AK18" s="36">
        <f t="shared" si="1"/>
        <v>0</v>
      </c>
      <c r="AL18" s="35">
        <f t="shared" si="2"/>
        <v>0</v>
      </c>
      <c r="AM18" s="36">
        <f t="shared" si="3"/>
        <v>0</v>
      </c>
      <c r="AN18" s="36">
        <f t="shared" si="4"/>
        <v>0</v>
      </c>
      <c r="AO18" s="37">
        <f t="shared" si="5"/>
        <v>0</v>
      </c>
      <c r="AP18" s="37"/>
      <c r="AQ18" s="38">
        <v>16</v>
      </c>
      <c r="AR18" s="39">
        <f t="shared" si="6"/>
        <v>0</v>
      </c>
    </row>
    <row r="19" s="105" customFormat="1" ht="20.15" customHeight="1" spans="1:44">
      <c r="A19" s="68">
        <v>8</v>
      </c>
      <c r="B19" s="154" t="s">
        <v>26</v>
      </c>
      <c r="C19" s="150" t="s">
        <v>16</v>
      </c>
      <c r="D19" s="152" t="s">
        <v>219</v>
      </c>
      <c r="E19" s="260"/>
      <c r="F19" s="96"/>
      <c r="G19" s="96"/>
      <c r="H19" s="96"/>
      <c r="I19" s="96"/>
      <c r="J19" s="96"/>
      <c r="K19" s="96"/>
      <c r="L19" s="96"/>
      <c r="M19" s="96" t="s">
        <v>11</v>
      </c>
      <c r="N19" s="96"/>
      <c r="O19" s="96"/>
      <c r="P19" s="96" t="s">
        <v>11</v>
      </c>
      <c r="Q19" s="96"/>
      <c r="R19" s="96"/>
      <c r="S19" s="96"/>
      <c r="T19" s="259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113"/>
      <c r="AJ19" s="151">
        <f t="shared" si="0"/>
        <v>0</v>
      </c>
      <c r="AK19" s="35">
        <f t="shared" si="1"/>
        <v>2</v>
      </c>
      <c r="AL19" s="36">
        <f t="shared" si="2"/>
        <v>0</v>
      </c>
      <c r="AM19" s="36">
        <f t="shared" si="3"/>
        <v>0</v>
      </c>
      <c r="AN19" s="36">
        <f t="shared" si="4"/>
        <v>0</v>
      </c>
      <c r="AO19" s="37">
        <f t="shared" si="5"/>
        <v>2</v>
      </c>
      <c r="AP19" s="37"/>
      <c r="AQ19" s="38">
        <v>16</v>
      </c>
      <c r="AR19" s="39">
        <f t="shared" si="6"/>
        <v>0.125</v>
      </c>
    </row>
    <row r="20" s="105" customFormat="1" ht="20.25" customHeight="1" spans="1:44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260"/>
      <c r="F20" s="96"/>
      <c r="G20" s="96"/>
      <c r="H20" s="96" t="s">
        <v>11</v>
      </c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259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113"/>
      <c r="AJ20" s="151">
        <f t="shared" si="0"/>
        <v>0</v>
      </c>
      <c r="AK20" s="35">
        <f t="shared" si="1"/>
        <v>1</v>
      </c>
      <c r="AL20" s="36">
        <f t="shared" si="2"/>
        <v>0</v>
      </c>
      <c r="AM20" s="36">
        <f t="shared" si="3"/>
        <v>0</v>
      </c>
      <c r="AN20" s="36">
        <f t="shared" si="4"/>
        <v>0</v>
      </c>
      <c r="AO20" s="37">
        <f t="shared" si="5"/>
        <v>1</v>
      </c>
      <c r="AP20" s="52" t="s">
        <v>201</v>
      </c>
      <c r="AQ20" s="38">
        <v>16</v>
      </c>
      <c r="AR20" s="39">
        <f t="shared" si="6"/>
        <v>0.0625</v>
      </c>
    </row>
    <row r="21" s="105" customFormat="1" ht="20.15" customHeight="1" spans="1:44">
      <c r="A21" s="68">
        <v>10</v>
      </c>
      <c r="B21" s="154" t="s">
        <v>28</v>
      </c>
      <c r="C21" s="150" t="s">
        <v>16</v>
      </c>
      <c r="D21" s="152" t="s">
        <v>266</v>
      </c>
      <c r="E21" s="260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259"/>
      <c r="U21" s="96"/>
      <c r="V21" s="96"/>
      <c r="W21" s="96"/>
      <c r="X21" s="96"/>
      <c r="Y21" s="96"/>
      <c r="Z21" s="96"/>
      <c r="AA21" s="96"/>
      <c r="AB21" s="96" t="s">
        <v>11</v>
      </c>
      <c r="AC21" s="96"/>
      <c r="AD21" s="96"/>
      <c r="AE21" s="96"/>
      <c r="AF21" s="96"/>
      <c r="AG21" s="96"/>
      <c r="AH21" s="96"/>
      <c r="AI21" s="113"/>
      <c r="AJ21" s="151">
        <f t="shared" si="0"/>
        <v>0</v>
      </c>
      <c r="AK21" s="35">
        <f t="shared" si="1"/>
        <v>1</v>
      </c>
      <c r="AL21" s="36">
        <f t="shared" si="2"/>
        <v>0</v>
      </c>
      <c r="AM21" s="36">
        <f t="shared" si="3"/>
        <v>0</v>
      </c>
      <c r="AN21" s="36">
        <f t="shared" si="4"/>
        <v>0</v>
      </c>
      <c r="AO21" s="37">
        <f t="shared" si="5"/>
        <v>1</v>
      </c>
      <c r="AP21" s="37"/>
      <c r="AQ21" s="38">
        <v>16</v>
      </c>
      <c r="AR21" s="39">
        <f t="shared" si="6"/>
        <v>0.0625</v>
      </c>
    </row>
    <row r="22" s="105" customFormat="1" ht="20.15" customHeight="1" spans="1:44">
      <c r="A22" s="68">
        <v>11</v>
      </c>
      <c r="B22" s="155" t="s">
        <v>29</v>
      </c>
      <c r="C22" s="150" t="s">
        <v>16</v>
      </c>
      <c r="D22" s="149" t="s">
        <v>267</v>
      </c>
      <c r="E22" s="260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 t="s">
        <v>13</v>
      </c>
      <c r="Q22" s="96"/>
      <c r="R22" s="96"/>
      <c r="S22" s="96"/>
      <c r="T22" s="259"/>
      <c r="U22" s="96"/>
      <c r="V22" s="96"/>
      <c r="W22" s="96"/>
      <c r="X22" s="96"/>
      <c r="Y22" s="96"/>
      <c r="Z22" s="96"/>
      <c r="AA22" s="96" t="s">
        <v>13</v>
      </c>
      <c r="AB22" s="96"/>
      <c r="AC22" s="96"/>
      <c r="AD22" s="96"/>
      <c r="AE22" s="96"/>
      <c r="AF22" s="96"/>
      <c r="AG22" s="96"/>
      <c r="AH22" s="96"/>
      <c r="AI22" s="113"/>
      <c r="AJ22" s="151">
        <f t="shared" si="0"/>
        <v>0</v>
      </c>
      <c r="AK22" s="35">
        <f t="shared" si="1"/>
        <v>0</v>
      </c>
      <c r="AL22" s="36">
        <f t="shared" si="2"/>
        <v>0</v>
      </c>
      <c r="AM22" s="36">
        <f t="shared" si="3"/>
        <v>2</v>
      </c>
      <c r="AN22" s="36">
        <f t="shared" si="4"/>
        <v>0</v>
      </c>
      <c r="AO22" s="37">
        <f t="shared" si="5"/>
        <v>2</v>
      </c>
      <c r="AP22" s="37" t="s">
        <v>228</v>
      </c>
      <c r="AQ22" s="38">
        <v>16</v>
      </c>
      <c r="AR22" s="39">
        <f t="shared" si="6"/>
        <v>0.125</v>
      </c>
    </row>
    <row r="23" s="105" customFormat="1" ht="20.15" customHeight="1" spans="1:44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260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259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113"/>
      <c r="AJ23" s="151">
        <f t="shared" si="0"/>
        <v>0</v>
      </c>
      <c r="AK23" s="35">
        <f t="shared" si="1"/>
        <v>0</v>
      </c>
      <c r="AL23" s="35">
        <f t="shared" si="2"/>
        <v>0</v>
      </c>
      <c r="AM23" s="35">
        <f t="shared" si="3"/>
        <v>0</v>
      </c>
      <c r="AN23" s="36">
        <f t="shared" si="4"/>
        <v>0</v>
      </c>
      <c r="AO23" s="37">
        <f t="shared" si="5"/>
        <v>0</v>
      </c>
      <c r="AP23" s="37" t="s">
        <v>25</v>
      </c>
      <c r="AQ23" s="38">
        <v>16</v>
      </c>
      <c r="AR23" s="39">
        <f t="shared" si="6"/>
        <v>0</v>
      </c>
    </row>
    <row r="24" s="105" customFormat="1" ht="20.15" customHeight="1" spans="1:44">
      <c r="A24" s="68">
        <v>13</v>
      </c>
      <c r="B24" s="155" t="s">
        <v>31</v>
      </c>
      <c r="C24" s="150" t="s">
        <v>16</v>
      </c>
      <c r="D24" s="152" t="s">
        <v>203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259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113"/>
      <c r="AJ24" s="151">
        <f t="shared" si="0"/>
        <v>0</v>
      </c>
      <c r="AK24" s="35">
        <f t="shared" si="1"/>
        <v>0</v>
      </c>
      <c r="AL24" s="35">
        <f t="shared" si="2"/>
        <v>0</v>
      </c>
      <c r="AM24" s="36">
        <f t="shared" si="3"/>
        <v>0</v>
      </c>
      <c r="AN24" s="36">
        <f t="shared" si="4"/>
        <v>0</v>
      </c>
      <c r="AO24" s="37">
        <f t="shared" si="5"/>
        <v>0</v>
      </c>
      <c r="AP24" s="52" t="s">
        <v>204</v>
      </c>
      <c r="AQ24" s="38">
        <v>16</v>
      </c>
      <c r="AR24" s="39">
        <f t="shared" si="6"/>
        <v>0</v>
      </c>
    </row>
    <row r="25" s="105" customFormat="1" ht="20.15" customHeight="1" spans="1:44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259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113"/>
      <c r="AJ25" s="151">
        <f t="shared" si="0"/>
        <v>0</v>
      </c>
      <c r="AK25" s="35">
        <f t="shared" si="1"/>
        <v>0</v>
      </c>
      <c r="AL25" s="35">
        <f t="shared" si="2"/>
        <v>0</v>
      </c>
      <c r="AM25" s="47">
        <f t="shared" si="3"/>
        <v>0</v>
      </c>
      <c r="AN25" s="36">
        <f t="shared" si="4"/>
        <v>0</v>
      </c>
      <c r="AO25" s="37">
        <f t="shared" si="5"/>
        <v>0</v>
      </c>
      <c r="AP25" s="38" t="s">
        <v>168</v>
      </c>
      <c r="AQ25" s="38">
        <v>16</v>
      </c>
      <c r="AR25" s="39">
        <f t="shared" si="6"/>
        <v>0</v>
      </c>
    </row>
    <row r="26" s="105" customFormat="1" ht="20.15" customHeight="1" spans="1:44">
      <c r="A26" s="68">
        <v>15</v>
      </c>
      <c r="B26" s="154" t="s">
        <v>33</v>
      </c>
      <c r="C26" s="150" t="s">
        <v>16</v>
      </c>
      <c r="D26" s="149" t="s">
        <v>163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259"/>
      <c r="U26" s="96"/>
      <c r="V26" s="96"/>
      <c r="W26" s="96"/>
      <c r="X26" s="96"/>
      <c r="Y26" s="96"/>
      <c r="Z26" s="96"/>
      <c r="AA26" s="96" t="s">
        <v>13</v>
      </c>
      <c r="AB26" s="96"/>
      <c r="AC26" s="96"/>
      <c r="AD26" s="96"/>
      <c r="AE26" s="96"/>
      <c r="AF26" s="96"/>
      <c r="AG26" s="96"/>
      <c r="AH26" s="96"/>
      <c r="AI26" s="113"/>
      <c r="AJ26" s="151">
        <f t="shared" si="0"/>
        <v>0</v>
      </c>
      <c r="AK26" s="35">
        <f t="shared" si="1"/>
        <v>0</v>
      </c>
      <c r="AL26" s="36">
        <f t="shared" si="2"/>
        <v>0</v>
      </c>
      <c r="AM26" s="36">
        <f t="shared" si="3"/>
        <v>1</v>
      </c>
      <c r="AN26" s="36">
        <f t="shared" si="4"/>
        <v>0</v>
      </c>
      <c r="AO26" s="37">
        <f t="shared" si="5"/>
        <v>1</v>
      </c>
      <c r="AP26" s="37" t="s">
        <v>228</v>
      </c>
      <c r="AQ26" s="38">
        <v>16</v>
      </c>
      <c r="AR26" s="39">
        <f t="shared" si="6"/>
        <v>0.0625</v>
      </c>
    </row>
    <row r="27" s="105" customFormat="1" ht="20.15" customHeight="1" spans="1:44">
      <c r="A27" s="68">
        <v>16</v>
      </c>
      <c r="B27" s="154" t="s">
        <v>34</v>
      </c>
      <c r="C27" s="150" t="s">
        <v>16</v>
      </c>
      <c r="D27" s="149" t="str">
        <f>VLOOKUP(B27,'[1]MASTER DATA 2025'!$C$3:$E$279,3,0)</f>
        <v>0Tahun8 Bulan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259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113"/>
      <c r="AJ27" s="151">
        <f t="shared" si="0"/>
        <v>0</v>
      </c>
      <c r="AK27" s="35">
        <f t="shared" si="1"/>
        <v>0</v>
      </c>
      <c r="AL27" s="36">
        <f t="shared" si="2"/>
        <v>0</v>
      </c>
      <c r="AM27" s="36">
        <f t="shared" si="3"/>
        <v>0</v>
      </c>
      <c r="AN27" s="36">
        <f t="shared" si="4"/>
        <v>0</v>
      </c>
      <c r="AO27" s="37">
        <f t="shared" si="5"/>
        <v>0</v>
      </c>
      <c r="AP27" s="37" t="s">
        <v>25</v>
      </c>
      <c r="AQ27" s="38">
        <v>16</v>
      </c>
      <c r="AR27" s="39">
        <f t="shared" si="6"/>
        <v>0</v>
      </c>
    </row>
    <row r="28" s="105" customFormat="1" ht="20.15" customHeight="1" spans="1:44">
      <c r="A28" s="68">
        <v>17</v>
      </c>
      <c r="B28" s="154" t="s">
        <v>35</v>
      </c>
      <c r="C28" s="150" t="s">
        <v>16</v>
      </c>
      <c r="D28" s="149" t="s">
        <v>205</v>
      </c>
      <c r="E28" s="96"/>
      <c r="F28" s="96"/>
      <c r="G28" s="96"/>
      <c r="H28" s="96"/>
      <c r="I28" s="96"/>
      <c r="J28" s="96"/>
      <c r="K28" s="96"/>
      <c r="L28" s="96"/>
      <c r="M28" s="96"/>
      <c r="N28" s="96" t="s">
        <v>11</v>
      </c>
      <c r="O28" s="96"/>
      <c r="P28" s="96"/>
      <c r="Q28" s="96"/>
      <c r="R28" s="96"/>
      <c r="S28" s="96"/>
      <c r="T28" s="259"/>
      <c r="U28" s="96"/>
      <c r="V28" s="96"/>
      <c r="W28" s="96"/>
      <c r="X28" s="96"/>
      <c r="Y28" s="96"/>
      <c r="Z28" s="96" t="s">
        <v>13</v>
      </c>
      <c r="AA28" s="96"/>
      <c r="AB28" s="96"/>
      <c r="AC28" s="96"/>
      <c r="AD28" s="96"/>
      <c r="AE28" s="96"/>
      <c r="AF28" s="96"/>
      <c r="AG28" s="96"/>
      <c r="AH28" s="96"/>
      <c r="AI28" s="113"/>
      <c r="AJ28" s="151">
        <f t="shared" si="0"/>
        <v>0</v>
      </c>
      <c r="AK28" s="35">
        <f t="shared" si="1"/>
        <v>1</v>
      </c>
      <c r="AL28" s="36">
        <f t="shared" si="2"/>
        <v>0</v>
      </c>
      <c r="AM28" s="36">
        <f t="shared" si="3"/>
        <v>1</v>
      </c>
      <c r="AN28" s="36">
        <f t="shared" si="4"/>
        <v>0</v>
      </c>
      <c r="AO28" s="37">
        <f t="shared" si="5"/>
        <v>2</v>
      </c>
      <c r="AP28" s="37" t="s">
        <v>228</v>
      </c>
      <c r="AQ28" s="38">
        <v>16</v>
      </c>
      <c r="AR28" s="39">
        <f t="shared" si="6"/>
        <v>0.125</v>
      </c>
    </row>
    <row r="29" s="105" customFormat="1" ht="20.15" customHeight="1" spans="1:44">
      <c r="A29" s="68">
        <v>18</v>
      </c>
      <c r="B29" s="149" t="s">
        <v>36</v>
      </c>
      <c r="C29" s="150" t="s">
        <v>20</v>
      </c>
      <c r="D29" s="149" t="str">
        <f>VLOOKUP(B29,'[1]MASTER DATA 2025'!$C$3:$E$279,3,0)</f>
        <v>0Tahun7 Bulan</v>
      </c>
      <c r="E29" s="96"/>
      <c r="F29" s="96"/>
      <c r="G29" s="96" t="s">
        <v>11</v>
      </c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259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 t="s">
        <v>13</v>
      </c>
      <c r="AF29" s="96"/>
      <c r="AG29" s="96"/>
      <c r="AH29" s="96"/>
      <c r="AI29" s="113"/>
      <c r="AJ29" s="151">
        <f t="shared" si="0"/>
        <v>0</v>
      </c>
      <c r="AK29" s="35">
        <f t="shared" si="1"/>
        <v>1</v>
      </c>
      <c r="AL29" s="35">
        <f t="shared" si="2"/>
        <v>0</v>
      </c>
      <c r="AM29" s="47">
        <f t="shared" si="3"/>
        <v>1</v>
      </c>
      <c r="AN29" s="36">
        <f t="shared" si="4"/>
        <v>0</v>
      </c>
      <c r="AO29" s="37">
        <f t="shared" si="5"/>
        <v>2</v>
      </c>
      <c r="AP29" s="38" t="s">
        <v>207</v>
      </c>
      <c r="AQ29" s="38">
        <v>16</v>
      </c>
      <c r="AR29" s="39">
        <f t="shared" si="6"/>
        <v>0.125</v>
      </c>
    </row>
    <row r="30" s="105" customFormat="1" ht="20.15" customHeight="1" spans="1:44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259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113"/>
      <c r="AJ30" s="151">
        <f t="shared" si="0"/>
        <v>0</v>
      </c>
      <c r="AK30" s="35">
        <f t="shared" si="1"/>
        <v>0</v>
      </c>
      <c r="AL30" s="35">
        <f t="shared" si="2"/>
        <v>0</v>
      </c>
      <c r="AM30" s="35">
        <f t="shared" si="3"/>
        <v>0</v>
      </c>
      <c r="AN30" s="36">
        <f t="shared" si="4"/>
        <v>0</v>
      </c>
      <c r="AO30" s="37">
        <f t="shared" si="5"/>
        <v>0</v>
      </c>
      <c r="AP30" s="52" t="s">
        <v>208</v>
      </c>
      <c r="AQ30" s="38">
        <v>16</v>
      </c>
      <c r="AR30" s="39">
        <f t="shared" si="6"/>
        <v>0</v>
      </c>
    </row>
    <row r="31" s="105" customFormat="1" ht="20.15" customHeight="1" spans="1:44">
      <c r="A31" s="68">
        <v>20</v>
      </c>
      <c r="B31" s="154" t="s">
        <v>39</v>
      </c>
      <c r="C31" s="150" t="s">
        <v>16</v>
      </c>
      <c r="D31" s="152" t="s">
        <v>199</v>
      </c>
      <c r="E31" s="96"/>
      <c r="F31" s="96"/>
      <c r="G31" s="96"/>
      <c r="H31" s="96"/>
      <c r="I31" s="96"/>
      <c r="J31" s="96"/>
      <c r="K31" s="96"/>
      <c r="L31" s="96"/>
      <c r="M31" s="96" t="s">
        <v>13</v>
      </c>
      <c r="N31" s="96"/>
      <c r="O31" s="96"/>
      <c r="P31" s="96"/>
      <c r="Q31" s="96"/>
      <c r="R31" s="96"/>
      <c r="S31" s="96"/>
      <c r="T31" s="259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 t="s">
        <v>13</v>
      </c>
      <c r="AI31" s="113"/>
      <c r="AJ31" s="151">
        <f t="shared" si="0"/>
        <v>0</v>
      </c>
      <c r="AK31" s="35">
        <f t="shared" si="1"/>
        <v>0</v>
      </c>
      <c r="AL31" s="36">
        <f t="shared" si="2"/>
        <v>0</v>
      </c>
      <c r="AM31" s="36">
        <f t="shared" si="3"/>
        <v>2</v>
      </c>
      <c r="AN31" s="36">
        <f t="shared" si="4"/>
        <v>0</v>
      </c>
      <c r="AO31" s="37">
        <f t="shared" si="5"/>
        <v>2</v>
      </c>
      <c r="AP31" s="37" t="s">
        <v>228</v>
      </c>
      <c r="AQ31" s="38">
        <v>16</v>
      </c>
      <c r="AR31" s="39">
        <f t="shared" si="6"/>
        <v>0.125</v>
      </c>
    </row>
    <row r="32" s="105" customFormat="1" ht="20.15" customHeight="1" spans="1:44">
      <c r="A32" s="68">
        <v>21</v>
      </c>
      <c r="B32" s="154" t="s">
        <v>41</v>
      </c>
      <c r="C32" s="150" t="s">
        <v>16</v>
      </c>
      <c r="D32" s="149" t="str">
        <f>VLOOKUP(B32,'[1]MASTER DATA 2025'!$C$3:$E$279,3,0)</f>
        <v>0Tahun2 Bulan</v>
      </c>
      <c r="E32" s="96"/>
      <c r="F32" s="96"/>
      <c r="G32" s="96"/>
      <c r="H32" s="96"/>
      <c r="I32" s="96"/>
      <c r="J32" s="96"/>
      <c r="K32" s="96"/>
      <c r="L32" s="96" t="s">
        <v>13</v>
      </c>
      <c r="M32" s="96"/>
      <c r="N32" s="96"/>
      <c r="O32" s="96"/>
      <c r="P32" s="96" t="s">
        <v>13</v>
      </c>
      <c r="Q32" s="96" t="s">
        <v>13</v>
      </c>
      <c r="R32" s="96"/>
      <c r="S32" s="96"/>
      <c r="T32" s="259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113"/>
      <c r="AJ32" s="151">
        <f t="shared" si="0"/>
        <v>0</v>
      </c>
      <c r="AK32" s="35">
        <f t="shared" si="1"/>
        <v>0</v>
      </c>
      <c r="AL32" s="35">
        <f t="shared" si="2"/>
        <v>0</v>
      </c>
      <c r="AM32" s="36">
        <f t="shared" si="3"/>
        <v>3</v>
      </c>
      <c r="AN32" s="36">
        <f t="shared" si="4"/>
        <v>0</v>
      </c>
      <c r="AO32" s="37">
        <f t="shared" si="5"/>
        <v>3</v>
      </c>
      <c r="AP32" s="37" t="s">
        <v>228</v>
      </c>
      <c r="AQ32" s="38">
        <v>16</v>
      </c>
      <c r="AR32" s="39">
        <f t="shared" si="6"/>
        <v>0.1875</v>
      </c>
    </row>
    <row r="33" s="105" customFormat="1" ht="20.15" customHeight="1" spans="1:44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259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113"/>
      <c r="AJ33" s="151">
        <f t="shared" si="0"/>
        <v>0</v>
      </c>
      <c r="AK33" s="35">
        <f t="shared" si="1"/>
        <v>0</v>
      </c>
      <c r="AL33" s="36">
        <f t="shared" si="2"/>
        <v>0</v>
      </c>
      <c r="AM33" s="36">
        <f t="shared" si="3"/>
        <v>0</v>
      </c>
      <c r="AN33" s="36">
        <f t="shared" si="4"/>
        <v>0</v>
      </c>
      <c r="AO33" s="37">
        <f t="shared" si="5"/>
        <v>0</v>
      </c>
      <c r="AP33" s="37"/>
      <c r="AQ33" s="38">
        <v>16</v>
      </c>
      <c r="AR33" s="39">
        <f t="shared" si="6"/>
        <v>0</v>
      </c>
    </row>
    <row r="34" s="105" customFormat="1" ht="20.15" customHeight="1" spans="1:44">
      <c r="A34" s="68">
        <v>23</v>
      </c>
      <c r="B34" s="157" t="s">
        <v>44</v>
      </c>
      <c r="C34" s="150" t="s">
        <v>16</v>
      </c>
      <c r="D34" s="149" t="s">
        <v>268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259"/>
      <c r="U34" s="96"/>
      <c r="V34" s="96"/>
      <c r="W34" s="96"/>
      <c r="X34" s="96"/>
      <c r="Y34" s="96"/>
      <c r="Z34" s="96" t="s">
        <v>11</v>
      </c>
      <c r="AA34" s="96" t="s">
        <v>11</v>
      </c>
      <c r="AB34" s="96"/>
      <c r="AC34" s="96"/>
      <c r="AD34" s="96"/>
      <c r="AE34" s="96"/>
      <c r="AF34" s="96"/>
      <c r="AG34" s="96"/>
      <c r="AH34" s="96"/>
      <c r="AI34" s="113"/>
      <c r="AJ34" s="151">
        <f t="shared" si="0"/>
        <v>0</v>
      </c>
      <c r="AK34" s="35">
        <f t="shared" si="1"/>
        <v>2</v>
      </c>
      <c r="AL34" s="35">
        <f t="shared" si="2"/>
        <v>0</v>
      </c>
      <c r="AM34" s="36">
        <f t="shared" si="3"/>
        <v>0</v>
      </c>
      <c r="AN34" s="36">
        <f t="shared" si="4"/>
        <v>0</v>
      </c>
      <c r="AO34" s="37">
        <f t="shared" si="5"/>
        <v>2</v>
      </c>
      <c r="AP34" s="37"/>
      <c r="AQ34" s="38">
        <v>16</v>
      </c>
      <c r="AR34" s="39">
        <f t="shared" si="6"/>
        <v>0.125</v>
      </c>
    </row>
    <row r="35" s="105" customFormat="1" ht="20.15" customHeight="1" spans="1:44">
      <c r="A35" s="68">
        <v>24</v>
      </c>
      <c r="B35" s="249" t="s">
        <v>117</v>
      </c>
      <c r="C35" s="150" t="s">
        <v>16</v>
      </c>
      <c r="D35" s="149" t="str">
        <f>VLOOKUP(B35,'[1]MASTER DATA 2025'!$C$3:$E$279,3,0)</f>
        <v>2Tahun8 Bulan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259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113"/>
      <c r="AJ35" s="151">
        <f t="shared" si="0"/>
        <v>0</v>
      </c>
      <c r="AK35" s="35">
        <f t="shared" si="1"/>
        <v>0</v>
      </c>
      <c r="AL35" s="36">
        <f t="shared" si="2"/>
        <v>0</v>
      </c>
      <c r="AM35" s="35">
        <f t="shared" si="3"/>
        <v>0</v>
      </c>
      <c r="AN35" s="36">
        <f t="shared" si="4"/>
        <v>0</v>
      </c>
      <c r="AO35" s="37">
        <f t="shared" si="5"/>
        <v>0</v>
      </c>
      <c r="AP35" s="52" t="s">
        <v>210</v>
      </c>
      <c r="AQ35" s="38">
        <v>16</v>
      </c>
      <c r="AR35" s="39">
        <f t="shared" si="6"/>
        <v>0</v>
      </c>
    </row>
    <row r="36" s="105" customFormat="1" ht="20.15" customHeight="1" spans="1:44">
      <c r="A36" s="68">
        <v>25</v>
      </c>
      <c r="B36" s="153" t="s">
        <v>46</v>
      </c>
      <c r="C36" s="150" t="s">
        <v>16</v>
      </c>
      <c r="D36" s="152" t="s">
        <v>163</v>
      </c>
      <c r="E36" s="96"/>
      <c r="F36" s="96"/>
      <c r="G36" s="96"/>
      <c r="H36" s="96"/>
      <c r="I36" s="96"/>
      <c r="J36" s="96"/>
      <c r="K36" s="96" t="s">
        <v>13</v>
      </c>
      <c r="L36" s="96"/>
      <c r="M36" s="96"/>
      <c r="N36" s="96"/>
      <c r="O36" s="96"/>
      <c r="P36" s="96" t="s">
        <v>12</v>
      </c>
      <c r="Q36" s="96"/>
      <c r="R36" s="96" t="s">
        <v>13</v>
      </c>
      <c r="S36" s="96"/>
      <c r="T36" s="259"/>
      <c r="U36" s="96"/>
      <c r="V36" s="96"/>
      <c r="W36" s="96" t="s">
        <v>12</v>
      </c>
      <c r="X36" s="96"/>
      <c r="Y36" s="96"/>
      <c r="Z36" s="96"/>
      <c r="AA36" s="96"/>
      <c r="AB36" s="96" t="s">
        <v>12</v>
      </c>
      <c r="AC36" s="96"/>
      <c r="AD36" s="96"/>
      <c r="AE36" s="96"/>
      <c r="AF36" s="96"/>
      <c r="AG36" s="96"/>
      <c r="AH36" s="96"/>
      <c r="AI36" s="113"/>
      <c r="AJ36" s="151">
        <f t="shared" si="0"/>
        <v>0</v>
      </c>
      <c r="AK36" s="35">
        <f t="shared" si="1"/>
        <v>0</v>
      </c>
      <c r="AL36" s="35">
        <f t="shared" si="2"/>
        <v>3</v>
      </c>
      <c r="AM36" s="35">
        <f t="shared" si="3"/>
        <v>2</v>
      </c>
      <c r="AN36" s="36">
        <f t="shared" si="4"/>
        <v>0</v>
      </c>
      <c r="AO36" s="37">
        <f t="shared" si="5"/>
        <v>5</v>
      </c>
      <c r="AP36" s="37" t="s">
        <v>269</v>
      </c>
      <c r="AQ36" s="38">
        <v>16</v>
      </c>
      <c r="AR36" s="39">
        <f t="shared" si="6"/>
        <v>0.3125</v>
      </c>
    </row>
    <row r="37" s="105" customFormat="1" ht="20.15" customHeight="1" spans="1:44">
      <c r="A37" s="68">
        <v>26</v>
      </c>
      <c r="B37" s="149" t="s">
        <v>47</v>
      </c>
      <c r="C37" s="150" t="s">
        <v>211</v>
      </c>
      <c r="D37" s="152" t="s">
        <v>212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259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113"/>
      <c r="AJ37" s="151">
        <f t="shared" si="0"/>
        <v>0</v>
      </c>
      <c r="AK37" s="35">
        <f t="shared" si="1"/>
        <v>0</v>
      </c>
      <c r="AL37" s="36">
        <f t="shared" si="2"/>
        <v>0</v>
      </c>
      <c r="AM37" s="36">
        <f t="shared" si="3"/>
        <v>0</v>
      </c>
      <c r="AN37" s="36">
        <f t="shared" si="4"/>
        <v>0</v>
      </c>
      <c r="AO37" s="37">
        <f t="shared" si="5"/>
        <v>0</v>
      </c>
      <c r="AP37" s="52" t="s">
        <v>201</v>
      </c>
      <c r="AQ37" s="38">
        <v>16</v>
      </c>
      <c r="AR37" s="39">
        <f t="shared" si="6"/>
        <v>0</v>
      </c>
    </row>
    <row r="38" s="105" customFormat="1" ht="20.15" customHeight="1" spans="1:44">
      <c r="A38" s="68">
        <v>27</v>
      </c>
      <c r="B38" s="149" t="s">
        <v>48</v>
      </c>
      <c r="C38" s="150" t="s">
        <v>16</v>
      </c>
      <c r="D38" s="149" t="str">
        <f>VLOOKUP(B38,'[1]MASTER DATA 2025'!$C$3:$E$279,3,0)</f>
        <v>0Tahun9 Bulan</v>
      </c>
      <c r="E38" s="96"/>
      <c r="F38" s="96"/>
      <c r="G38" s="96"/>
      <c r="H38" s="96"/>
      <c r="I38" s="96"/>
      <c r="J38" s="96"/>
      <c r="K38" s="96"/>
      <c r="L38" s="96"/>
      <c r="M38" s="96" t="s">
        <v>13</v>
      </c>
      <c r="N38" s="96"/>
      <c r="O38" s="96"/>
      <c r="P38" s="96"/>
      <c r="Q38" s="96"/>
      <c r="R38" s="96"/>
      <c r="S38" s="96"/>
      <c r="T38" s="259"/>
      <c r="U38" s="96"/>
      <c r="V38" s="96"/>
      <c r="W38" s="96"/>
      <c r="X38" s="96"/>
      <c r="Y38" s="96"/>
      <c r="Z38" s="96" t="s">
        <v>13</v>
      </c>
      <c r="AA38" s="96"/>
      <c r="AB38" s="96"/>
      <c r="AC38" s="96"/>
      <c r="AD38" s="96"/>
      <c r="AE38" s="96"/>
      <c r="AF38" s="96"/>
      <c r="AG38" s="96"/>
      <c r="AH38" s="96"/>
      <c r="AI38" s="113"/>
      <c r="AJ38" s="151">
        <f t="shared" si="0"/>
        <v>0</v>
      </c>
      <c r="AK38" s="35">
        <f t="shared" si="1"/>
        <v>0</v>
      </c>
      <c r="AL38" s="35">
        <f t="shared" si="2"/>
        <v>0</v>
      </c>
      <c r="AM38" s="47">
        <f t="shared" si="3"/>
        <v>2</v>
      </c>
      <c r="AN38" s="36">
        <f t="shared" si="4"/>
        <v>0</v>
      </c>
      <c r="AO38" s="37">
        <f t="shared" si="5"/>
        <v>2</v>
      </c>
      <c r="AP38" s="37" t="s">
        <v>228</v>
      </c>
      <c r="AQ38" s="38">
        <v>16</v>
      </c>
      <c r="AR38" s="39">
        <f t="shared" si="6"/>
        <v>0.125</v>
      </c>
    </row>
    <row r="39" s="105" customFormat="1" ht="20.15" customHeight="1" spans="1:44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259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113"/>
      <c r="AJ39" s="151">
        <f t="shared" si="0"/>
        <v>0</v>
      </c>
      <c r="AK39" s="35">
        <f t="shared" si="1"/>
        <v>0</v>
      </c>
      <c r="AL39" s="36">
        <f t="shared" si="2"/>
        <v>0</v>
      </c>
      <c r="AM39" s="35">
        <f t="shared" si="3"/>
        <v>0</v>
      </c>
      <c r="AN39" s="36">
        <f t="shared" si="4"/>
        <v>0</v>
      </c>
      <c r="AO39" s="37">
        <f t="shared" si="5"/>
        <v>0</v>
      </c>
      <c r="AP39" s="49" t="s">
        <v>118</v>
      </c>
      <c r="AQ39" s="38">
        <v>16</v>
      </c>
      <c r="AR39" s="39">
        <f t="shared" si="6"/>
        <v>0</v>
      </c>
    </row>
    <row r="40" s="105" customFormat="1" ht="20.15" customHeight="1" spans="1:44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96"/>
      <c r="F40" s="96"/>
      <c r="G40" s="96"/>
      <c r="H40" s="96"/>
      <c r="I40" s="96"/>
      <c r="J40" s="96"/>
      <c r="K40" s="96" t="s">
        <v>11</v>
      </c>
      <c r="L40" s="96" t="s">
        <v>11</v>
      </c>
      <c r="M40" s="96"/>
      <c r="N40" s="96"/>
      <c r="O40" s="96"/>
      <c r="P40" s="96"/>
      <c r="Q40" s="96"/>
      <c r="R40" s="96"/>
      <c r="S40" s="96"/>
      <c r="T40" s="259"/>
      <c r="U40" s="96"/>
      <c r="V40" s="96"/>
      <c r="W40" s="96"/>
      <c r="X40" s="96"/>
      <c r="Y40" s="96" t="s">
        <v>13</v>
      </c>
      <c r="Z40" s="96"/>
      <c r="AA40" s="96"/>
      <c r="AB40" s="96"/>
      <c r="AC40" s="96"/>
      <c r="AD40" s="96"/>
      <c r="AE40" s="96"/>
      <c r="AF40" s="96"/>
      <c r="AG40" s="96"/>
      <c r="AH40" s="96"/>
      <c r="AI40" s="113"/>
      <c r="AJ40" s="151">
        <f t="shared" si="0"/>
        <v>0</v>
      </c>
      <c r="AK40" s="35">
        <f t="shared" si="1"/>
        <v>2</v>
      </c>
      <c r="AL40" s="36">
        <f t="shared" si="2"/>
        <v>0</v>
      </c>
      <c r="AM40" s="36">
        <f t="shared" si="3"/>
        <v>1</v>
      </c>
      <c r="AN40" s="36">
        <f t="shared" si="4"/>
        <v>0</v>
      </c>
      <c r="AO40" s="128">
        <f t="shared" si="5"/>
        <v>3</v>
      </c>
      <c r="AP40" s="37" t="s">
        <v>228</v>
      </c>
      <c r="AQ40" s="38">
        <v>16</v>
      </c>
      <c r="AR40" s="72">
        <f t="shared" si="6"/>
        <v>0.1875</v>
      </c>
    </row>
    <row r="41" s="105" customFormat="1" ht="20.15" customHeight="1" spans="1:44">
      <c r="A41" s="68">
        <v>30</v>
      </c>
      <c r="B41" s="154" t="s">
        <v>51</v>
      </c>
      <c r="C41" s="150" t="s">
        <v>16</v>
      </c>
      <c r="D41" s="149" t="str">
        <f>VLOOKUP(B41,'[1]MASTER DATA 2025'!$C$3:$E$279,3,0)</f>
        <v>0Tahun9 Bulan</v>
      </c>
      <c r="E41" s="96"/>
      <c r="F41" s="96"/>
      <c r="G41" s="96"/>
      <c r="H41" s="96"/>
      <c r="I41" s="96"/>
      <c r="J41" s="96"/>
      <c r="K41" s="96" t="s">
        <v>13</v>
      </c>
      <c r="L41" s="96" t="s">
        <v>12</v>
      </c>
      <c r="M41" s="96"/>
      <c r="N41" s="96"/>
      <c r="O41" s="96"/>
      <c r="P41" s="96"/>
      <c r="Q41" s="96"/>
      <c r="R41" s="96"/>
      <c r="S41" s="96"/>
      <c r="T41" s="259"/>
      <c r="U41" s="96"/>
      <c r="V41" s="96"/>
      <c r="W41" s="96"/>
      <c r="X41" s="96" t="s">
        <v>11</v>
      </c>
      <c r="Y41" s="96" t="s">
        <v>11</v>
      </c>
      <c r="Z41" s="96"/>
      <c r="AA41" s="96"/>
      <c r="AB41" s="96"/>
      <c r="AC41" s="96"/>
      <c r="AD41" s="96"/>
      <c r="AE41" s="96"/>
      <c r="AF41" s="96"/>
      <c r="AG41" s="96"/>
      <c r="AH41" s="96"/>
      <c r="AI41" s="113"/>
      <c r="AJ41" s="151">
        <f t="shared" si="0"/>
        <v>0</v>
      </c>
      <c r="AK41" s="35">
        <f t="shared" si="1"/>
        <v>2</v>
      </c>
      <c r="AL41" s="36">
        <f t="shared" si="2"/>
        <v>1</v>
      </c>
      <c r="AM41" s="36">
        <f t="shared" si="3"/>
        <v>1</v>
      </c>
      <c r="AN41" s="36">
        <f t="shared" si="4"/>
        <v>0</v>
      </c>
      <c r="AO41" s="37">
        <f t="shared" si="5"/>
        <v>4</v>
      </c>
      <c r="AP41" s="37" t="s">
        <v>270</v>
      </c>
      <c r="AQ41" s="38">
        <v>26</v>
      </c>
      <c r="AR41" s="39">
        <f t="shared" si="6"/>
        <v>0.153846153846154</v>
      </c>
    </row>
    <row r="42" s="105" customFormat="1" ht="20.15" customHeight="1" spans="1:44">
      <c r="A42" s="68">
        <v>31</v>
      </c>
      <c r="B42" s="154" t="s">
        <v>52</v>
      </c>
      <c r="C42" s="150" t="s">
        <v>16</v>
      </c>
      <c r="D42" s="149" t="str">
        <f>VLOOKUP(B42,'[1]MASTER DATA 2025'!$C$3:$E$279,3,0)</f>
        <v>2Tahun3 Bulan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259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113"/>
      <c r="AJ42" s="151">
        <f t="shared" si="0"/>
        <v>0</v>
      </c>
      <c r="AK42" s="35">
        <f t="shared" si="1"/>
        <v>0</v>
      </c>
      <c r="AL42" s="36">
        <f t="shared" si="2"/>
        <v>0</v>
      </c>
      <c r="AM42" s="36">
        <f t="shared" si="3"/>
        <v>0</v>
      </c>
      <c r="AN42" s="36">
        <f t="shared" si="4"/>
        <v>0</v>
      </c>
      <c r="AO42" s="37">
        <f t="shared" si="5"/>
        <v>0</v>
      </c>
      <c r="AP42" s="37" t="s">
        <v>198</v>
      </c>
      <c r="AQ42" s="38">
        <v>26</v>
      </c>
      <c r="AR42" s="39">
        <f t="shared" si="6"/>
        <v>0</v>
      </c>
    </row>
    <row r="43" s="105" customFormat="1" ht="20.15" customHeight="1" spans="1:44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259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142"/>
      <c r="AJ43" s="151">
        <f t="shared" si="0"/>
        <v>0</v>
      </c>
      <c r="AK43" s="35">
        <f t="shared" si="1"/>
        <v>0</v>
      </c>
      <c r="AL43" s="36">
        <f t="shared" si="2"/>
        <v>0</v>
      </c>
      <c r="AM43" s="36">
        <f t="shared" si="3"/>
        <v>0</v>
      </c>
      <c r="AN43" s="36">
        <f t="shared" si="4"/>
        <v>0</v>
      </c>
      <c r="AO43" s="37">
        <f t="shared" si="5"/>
        <v>0</v>
      </c>
      <c r="AP43" s="37" t="s">
        <v>25</v>
      </c>
      <c r="AQ43" s="38">
        <v>26</v>
      </c>
      <c r="AR43" s="39">
        <f t="shared" si="6"/>
        <v>0</v>
      </c>
    </row>
    <row r="44" s="105" customFormat="1" ht="20.15" customHeight="1" spans="1:44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259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113"/>
      <c r="AJ44" s="151">
        <f t="shared" si="0"/>
        <v>0</v>
      </c>
      <c r="AK44" s="35">
        <f t="shared" si="1"/>
        <v>0</v>
      </c>
      <c r="AL44" s="36">
        <f t="shared" si="2"/>
        <v>0</v>
      </c>
      <c r="AM44" s="36">
        <f t="shared" si="3"/>
        <v>0</v>
      </c>
      <c r="AN44" s="36">
        <f t="shared" si="4"/>
        <v>0</v>
      </c>
      <c r="AO44" s="37">
        <f t="shared" si="5"/>
        <v>0</v>
      </c>
      <c r="AP44" s="37" t="s">
        <v>25</v>
      </c>
      <c r="AQ44" s="38">
        <v>26</v>
      </c>
      <c r="AR44" s="39">
        <f t="shared" si="6"/>
        <v>0</v>
      </c>
    </row>
    <row r="45" s="105" customFormat="1" ht="20.15" customHeight="1" spans="1:44">
      <c r="A45" s="68">
        <v>34</v>
      </c>
      <c r="B45" s="158" t="s">
        <v>55</v>
      </c>
      <c r="C45" s="150" t="s">
        <v>16</v>
      </c>
      <c r="D45" s="149" t="str">
        <f>VLOOKUP(B45,'[1]MASTER DATA 2025'!$C$3:$E$279,3,0)</f>
        <v>2Tahun1 Bulan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259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113"/>
      <c r="AJ45" s="151">
        <f t="shared" si="0"/>
        <v>0</v>
      </c>
      <c r="AK45" s="35">
        <f t="shared" si="1"/>
        <v>0</v>
      </c>
      <c r="AL45" s="36">
        <f t="shared" si="2"/>
        <v>0</v>
      </c>
      <c r="AM45" s="36">
        <f t="shared" si="3"/>
        <v>0</v>
      </c>
      <c r="AN45" s="36">
        <f t="shared" si="4"/>
        <v>0</v>
      </c>
      <c r="AO45" s="37">
        <f t="shared" si="5"/>
        <v>0</v>
      </c>
      <c r="AP45" s="37"/>
      <c r="AQ45" s="38">
        <v>26</v>
      </c>
      <c r="AR45" s="39">
        <f t="shared" si="6"/>
        <v>0</v>
      </c>
    </row>
    <row r="46" s="105" customFormat="1" ht="20.15" customHeight="1" spans="1:44">
      <c r="A46" s="68">
        <v>35</v>
      </c>
      <c r="B46" s="154" t="s">
        <v>56</v>
      </c>
      <c r="C46" s="150" t="s">
        <v>16</v>
      </c>
      <c r="D46" s="149" t="str">
        <f>VLOOKUP(B46,'[1]MASTER DATA 2025'!$C$3:$E$279,3,0)</f>
        <v>0Tahun11 Bulan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259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113"/>
      <c r="AJ46" s="151">
        <f t="shared" si="0"/>
        <v>0</v>
      </c>
      <c r="AK46" s="35">
        <f t="shared" si="1"/>
        <v>0</v>
      </c>
      <c r="AL46" s="36">
        <f t="shared" si="2"/>
        <v>0</v>
      </c>
      <c r="AM46" s="35">
        <f t="shared" si="3"/>
        <v>0</v>
      </c>
      <c r="AN46" s="36">
        <f t="shared" si="4"/>
        <v>0</v>
      </c>
      <c r="AO46" s="37">
        <f t="shared" si="5"/>
        <v>0</v>
      </c>
      <c r="AP46" s="38" t="s">
        <v>213</v>
      </c>
      <c r="AQ46" s="38">
        <v>26</v>
      </c>
      <c r="AR46" s="39">
        <f t="shared" si="6"/>
        <v>0</v>
      </c>
    </row>
    <row r="47" s="105" customFormat="1" ht="20.15" customHeight="1" spans="1:44">
      <c r="A47" s="68">
        <v>36</v>
      </c>
      <c r="B47" s="159" t="s">
        <v>57</v>
      </c>
      <c r="C47" s="150" t="s">
        <v>16</v>
      </c>
      <c r="D47" s="149" t="str">
        <f>VLOOKUP(B47,'[1]MASTER DATA 2025'!$C$3:$E$279,3,0)</f>
        <v>0Tahun2 Bulan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 t="s">
        <v>40</v>
      </c>
      <c r="Q47" s="96"/>
      <c r="R47" s="96"/>
      <c r="S47" s="96"/>
      <c r="T47" s="259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113"/>
      <c r="AJ47" s="151">
        <f t="shared" si="0"/>
        <v>0</v>
      </c>
      <c r="AK47" s="35">
        <f t="shared" si="1"/>
        <v>1</v>
      </c>
      <c r="AL47" s="36">
        <f t="shared" si="2"/>
        <v>0</v>
      </c>
      <c r="AM47" s="36">
        <f t="shared" si="3"/>
        <v>0</v>
      </c>
      <c r="AN47" s="36">
        <f t="shared" si="4"/>
        <v>0</v>
      </c>
      <c r="AO47" s="37">
        <f t="shared" si="5"/>
        <v>1</v>
      </c>
      <c r="AP47" s="37"/>
      <c r="AQ47" s="38">
        <v>26</v>
      </c>
      <c r="AR47" s="39">
        <f t="shared" si="6"/>
        <v>0.0384615384615385</v>
      </c>
    </row>
    <row r="48" s="105" customFormat="1" ht="19.5" customHeight="1" spans="1:44">
      <c r="A48" s="68">
        <v>37</v>
      </c>
      <c r="B48" s="149" t="s">
        <v>58</v>
      </c>
      <c r="C48" s="150" t="s">
        <v>59</v>
      </c>
      <c r="D48" s="149" t="s">
        <v>271</v>
      </c>
      <c r="E48" s="96"/>
      <c r="F48" s="96"/>
      <c r="G48" s="96" t="s">
        <v>13</v>
      </c>
      <c r="H48" s="96"/>
      <c r="I48" s="96"/>
      <c r="J48" s="96"/>
      <c r="K48" s="96"/>
      <c r="L48" s="96" t="s">
        <v>11</v>
      </c>
      <c r="M48" s="96"/>
      <c r="N48" s="96"/>
      <c r="O48" s="96"/>
      <c r="P48" s="96"/>
      <c r="Q48" s="96"/>
      <c r="R48" s="96"/>
      <c r="S48" s="96"/>
      <c r="T48" s="259" t="s">
        <v>13</v>
      </c>
      <c r="U48" s="96" t="s">
        <v>13</v>
      </c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113"/>
      <c r="AJ48" s="151">
        <f t="shared" si="0"/>
        <v>0</v>
      </c>
      <c r="AK48" s="35">
        <f t="shared" si="1"/>
        <v>1</v>
      </c>
      <c r="AL48" s="36">
        <f t="shared" si="2"/>
        <v>0</v>
      </c>
      <c r="AM48" s="35">
        <f t="shared" si="3"/>
        <v>3</v>
      </c>
      <c r="AN48" s="36">
        <f t="shared" si="4"/>
        <v>0</v>
      </c>
      <c r="AO48" s="37">
        <f t="shared" si="5"/>
        <v>4</v>
      </c>
      <c r="AP48" s="37" t="s">
        <v>228</v>
      </c>
      <c r="AQ48" s="38">
        <v>26</v>
      </c>
      <c r="AR48" s="39">
        <f t="shared" si="6"/>
        <v>0.153846153846154</v>
      </c>
    </row>
    <row r="49" s="105" customFormat="1" ht="19.5" customHeight="1" spans="1:44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259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113"/>
      <c r="AJ49" s="151">
        <f t="shared" si="0"/>
        <v>0</v>
      </c>
      <c r="AK49" s="36">
        <f t="shared" si="1"/>
        <v>0</v>
      </c>
      <c r="AL49" s="36">
        <f t="shared" si="2"/>
        <v>0</v>
      </c>
      <c r="AM49" s="36">
        <f t="shared" si="3"/>
        <v>0</v>
      </c>
      <c r="AN49" s="36">
        <f t="shared" si="4"/>
        <v>0</v>
      </c>
      <c r="AO49" s="37">
        <f t="shared" si="5"/>
        <v>0</v>
      </c>
      <c r="AP49" s="37"/>
      <c r="AQ49" s="38">
        <v>26</v>
      </c>
      <c r="AR49" s="39">
        <f t="shared" si="6"/>
        <v>0</v>
      </c>
    </row>
    <row r="50" s="105" customFormat="1" ht="19.5" customHeight="1" spans="1:44">
      <c r="A50" s="68">
        <v>39</v>
      </c>
      <c r="B50" s="161" t="s">
        <v>62</v>
      </c>
      <c r="C50" s="150" t="s">
        <v>59</v>
      </c>
      <c r="D50" s="149" t="str">
        <f>VLOOKUP(B50,'[1]MASTER DATA 2025'!$C$3:$E$279,3,0)</f>
        <v>3Tahun8 Bulan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259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113"/>
      <c r="AJ50" s="151">
        <f t="shared" si="0"/>
        <v>0</v>
      </c>
      <c r="AK50" s="35">
        <f t="shared" si="1"/>
        <v>0</v>
      </c>
      <c r="AL50" s="36">
        <f t="shared" si="2"/>
        <v>0</v>
      </c>
      <c r="AM50" s="36">
        <f t="shared" si="3"/>
        <v>0</v>
      </c>
      <c r="AN50" s="36">
        <f t="shared" si="4"/>
        <v>0</v>
      </c>
      <c r="AO50" s="37">
        <f t="shared" si="5"/>
        <v>0</v>
      </c>
      <c r="AP50" s="38" t="s">
        <v>169</v>
      </c>
      <c r="AQ50" s="38">
        <v>26</v>
      </c>
      <c r="AR50" s="39">
        <f t="shared" si="6"/>
        <v>0</v>
      </c>
    </row>
    <row r="51" s="105" customFormat="1" ht="19.5" customHeight="1" spans="1:44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259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113"/>
      <c r="AJ51" s="151">
        <f t="shared" si="0"/>
        <v>0</v>
      </c>
      <c r="AK51" s="35">
        <f t="shared" si="1"/>
        <v>0</v>
      </c>
      <c r="AL51" s="35">
        <f t="shared" si="2"/>
        <v>0</v>
      </c>
      <c r="AM51" s="36">
        <f t="shared" si="3"/>
        <v>0</v>
      </c>
      <c r="AN51" s="36">
        <f t="shared" si="4"/>
        <v>0</v>
      </c>
      <c r="AO51" s="37">
        <f t="shared" si="5"/>
        <v>0</v>
      </c>
      <c r="AP51" s="37"/>
      <c r="AQ51" s="38">
        <v>26</v>
      </c>
      <c r="AR51" s="39">
        <f t="shared" si="6"/>
        <v>0</v>
      </c>
    </row>
    <row r="52" s="105" customFormat="1" ht="19.5" customHeight="1" spans="1:44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259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113"/>
      <c r="AJ52" s="151">
        <f t="shared" si="0"/>
        <v>0</v>
      </c>
      <c r="AK52" s="35">
        <f t="shared" si="1"/>
        <v>0</v>
      </c>
      <c r="AL52" s="36">
        <f t="shared" si="2"/>
        <v>0</v>
      </c>
      <c r="AM52" s="36">
        <f t="shared" si="3"/>
        <v>0</v>
      </c>
      <c r="AN52" s="36">
        <f t="shared" si="4"/>
        <v>0</v>
      </c>
      <c r="AO52" s="37">
        <f t="shared" si="5"/>
        <v>0</v>
      </c>
      <c r="AP52" s="37"/>
      <c r="AQ52" s="38">
        <v>26</v>
      </c>
      <c r="AR52" s="39">
        <f t="shared" si="6"/>
        <v>0</v>
      </c>
    </row>
    <row r="53" s="105" customFormat="1" ht="19.5" customHeight="1" spans="1:44">
      <c r="A53" s="68">
        <v>42</v>
      </c>
      <c r="B53" s="219" t="s">
        <v>65</v>
      </c>
      <c r="C53" s="150" t="s">
        <v>16</v>
      </c>
      <c r="D53" s="149" t="str">
        <f>VLOOKUP(B53,'[1]MASTER DATA 2025'!$C$3:$E$279,3,0)</f>
        <v>0Tahun7 Bulan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259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113"/>
      <c r="AJ53" s="151">
        <f t="shared" si="0"/>
        <v>0</v>
      </c>
      <c r="AK53" s="35">
        <f t="shared" si="1"/>
        <v>0</v>
      </c>
      <c r="AL53" s="36">
        <f t="shared" si="2"/>
        <v>0</v>
      </c>
      <c r="AM53" s="36">
        <f t="shared" si="3"/>
        <v>0</v>
      </c>
      <c r="AN53" s="36">
        <f t="shared" si="4"/>
        <v>0</v>
      </c>
      <c r="AO53" s="37">
        <f t="shared" si="5"/>
        <v>0</v>
      </c>
      <c r="AP53" s="37" t="s">
        <v>170</v>
      </c>
      <c r="AQ53" s="38">
        <v>26</v>
      </c>
      <c r="AR53" s="39">
        <f t="shared" si="6"/>
        <v>0</v>
      </c>
    </row>
    <row r="54" s="105" customFormat="1" ht="19.5" customHeight="1" spans="1:44">
      <c r="A54" s="68">
        <v>43</v>
      </c>
      <c r="B54" s="163" t="s">
        <v>66</v>
      </c>
      <c r="C54" s="150" t="s">
        <v>16</v>
      </c>
      <c r="D54" s="149" t="s">
        <v>219</v>
      </c>
      <c r="E54" s="96"/>
      <c r="F54" s="96"/>
      <c r="G54" s="96"/>
      <c r="H54" s="96"/>
      <c r="I54" s="96"/>
      <c r="J54" s="96" t="s">
        <v>13</v>
      </c>
      <c r="K54" s="96"/>
      <c r="L54" s="96"/>
      <c r="M54" s="96"/>
      <c r="N54" s="96"/>
      <c r="O54" s="96"/>
      <c r="P54" s="96"/>
      <c r="Q54" s="96"/>
      <c r="R54" s="96"/>
      <c r="S54" s="96"/>
      <c r="T54" s="259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 t="s">
        <v>13</v>
      </c>
      <c r="AI54" s="113"/>
      <c r="AJ54" s="151">
        <f t="shared" si="0"/>
        <v>0</v>
      </c>
      <c r="AK54" s="35">
        <f t="shared" si="1"/>
        <v>0</v>
      </c>
      <c r="AL54" s="35">
        <f t="shared" si="2"/>
        <v>0</v>
      </c>
      <c r="AM54" s="47">
        <f t="shared" si="3"/>
        <v>2</v>
      </c>
      <c r="AN54" s="36">
        <f t="shared" si="4"/>
        <v>0</v>
      </c>
      <c r="AO54" s="37">
        <f t="shared" si="5"/>
        <v>2</v>
      </c>
      <c r="AP54" s="37" t="s">
        <v>228</v>
      </c>
      <c r="AQ54" s="38">
        <v>26</v>
      </c>
      <c r="AR54" s="39">
        <f t="shared" si="6"/>
        <v>0.0769230769230769</v>
      </c>
    </row>
    <row r="55" s="105" customFormat="1" ht="19.5" customHeight="1" spans="1:44">
      <c r="A55" s="68">
        <v>44</v>
      </c>
      <c r="B55" s="219" t="s">
        <v>67</v>
      </c>
      <c r="C55" s="150" t="s">
        <v>16</v>
      </c>
      <c r="D55" s="149" t="str">
        <f>VLOOKUP(B55,'[1]MASTER DATA 2025'!$C$3:$E$279,3,0)</f>
        <v>1Tahun3 Bulan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259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113"/>
      <c r="AJ55" s="151">
        <f t="shared" si="0"/>
        <v>0</v>
      </c>
      <c r="AK55" s="35">
        <f t="shared" si="1"/>
        <v>0</v>
      </c>
      <c r="AL55" s="36">
        <f t="shared" si="2"/>
        <v>0</v>
      </c>
      <c r="AM55" s="36">
        <f t="shared" si="3"/>
        <v>0</v>
      </c>
      <c r="AN55" s="36">
        <f t="shared" si="4"/>
        <v>0</v>
      </c>
      <c r="AO55" s="37">
        <f t="shared" si="5"/>
        <v>0</v>
      </c>
      <c r="AP55" s="37" t="s">
        <v>25</v>
      </c>
      <c r="AQ55" s="38">
        <v>26</v>
      </c>
      <c r="AR55" s="39">
        <f t="shared" si="6"/>
        <v>0</v>
      </c>
    </row>
    <row r="56" s="105" customFormat="1" ht="19.5" customHeight="1" spans="1:44">
      <c r="A56" s="68">
        <v>45</v>
      </c>
      <c r="B56" s="219" t="s">
        <v>68</v>
      </c>
      <c r="C56" s="150" t="s">
        <v>16</v>
      </c>
      <c r="D56" s="152" t="s">
        <v>205</v>
      </c>
      <c r="E56" s="96"/>
      <c r="F56" s="96"/>
      <c r="G56" s="96" t="s">
        <v>13</v>
      </c>
      <c r="H56" s="96"/>
      <c r="I56" s="96"/>
      <c r="J56" s="96"/>
      <c r="K56" s="96" t="s">
        <v>13</v>
      </c>
      <c r="L56" s="96"/>
      <c r="M56" s="96"/>
      <c r="N56" s="96"/>
      <c r="O56" s="96"/>
      <c r="P56" s="96"/>
      <c r="Q56" s="96"/>
      <c r="R56" s="96"/>
      <c r="S56" s="96"/>
      <c r="T56" s="259"/>
      <c r="U56" s="96"/>
      <c r="V56" s="96" t="s">
        <v>13</v>
      </c>
      <c r="W56" s="96"/>
      <c r="X56" s="96"/>
      <c r="Y56" s="96"/>
      <c r="Z56" s="96"/>
      <c r="AA56" s="96"/>
      <c r="AB56" s="96"/>
      <c r="AC56" s="96"/>
      <c r="AD56" s="96"/>
      <c r="AE56" s="96"/>
      <c r="AF56" s="96" t="s">
        <v>11</v>
      </c>
      <c r="AG56" s="96" t="s">
        <v>13</v>
      </c>
      <c r="AH56" s="96"/>
      <c r="AI56" s="113"/>
      <c r="AJ56" s="151">
        <f t="shared" si="0"/>
        <v>0</v>
      </c>
      <c r="AK56" s="35">
        <f t="shared" si="1"/>
        <v>1</v>
      </c>
      <c r="AL56" s="36">
        <f t="shared" si="2"/>
        <v>0</v>
      </c>
      <c r="AM56" s="35">
        <f t="shared" si="3"/>
        <v>4</v>
      </c>
      <c r="AN56" s="36">
        <f t="shared" si="4"/>
        <v>0</v>
      </c>
      <c r="AO56" s="37">
        <f t="shared" si="5"/>
        <v>5</v>
      </c>
      <c r="AP56" s="37" t="s">
        <v>272</v>
      </c>
      <c r="AQ56" s="38">
        <v>26</v>
      </c>
      <c r="AR56" s="39">
        <f t="shared" si="6"/>
        <v>0.192307692307692</v>
      </c>
    </row>
    <row r="57" s="105" customFormat="1" ht="19.5" customHeight="1" spans="1:44">
      <c r="A57" s="68">
        <v>46</v>
      </c>
      <c r="B57" s="219" t="s">
        <v>69</v>
      </c>
      <c r="C57" s="150" t="s">
        <v>16</v>
      </c>
      <c r="D57" s="149" t="s">
        <v>217</v>
      </c>
      <c r="E57" s="96"/>
      <c r="F57" s="96"/>
      <c r="G57" s="96"/>
      <c r="H57" s="96"/>
      <c r="I57" s="96"/>
      <c r="J57" s="96" t="s">
        <v>11</v>
      </c>
      <c r="K57" s="96"/>
      <c r="L57" s="96"/>
      <c r="M57" s="96"/>
      <c r="N57" s="96"/>
      <c r="O57" s="96"/>
      <c r="P57" s="96"/>
      <c r="Q57" s="96"/>
      <c r="R57" s="96"/>
      <c r="S57" s="96"/>
      <c r="T57" s="259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113"/>
      <c r="AJ57" s="151">
        <f t="shared" si="0"/>
        <v>0</v>
      </c>
      <c r="AK57" s="35">
        <f t="shared" si="1"/>
        <v>1</v>
      </c>
      <c r="AL57" s="36">
        <f t="shared" si="2"/>
        <v>0</v>
      </c>
      <c r="AM57" s="36">
        <f t="shared" si="3"/>
        <v>0</v>
      </c>
      <c r="AN57" s="36">
        <f t="shared" si="4"/>
        <v>0</v>
      </c>
      <c r="AO57" s="37">
        <f t="shared" si="5"/>
        <v>1</v>
      </c>
      <c r="AP57" s="37" t="s">
        <v>228</v>
      </c>
      <c r="AQ57" s="38">
        <v>26</v>
      </c>
      <c r="AR57" s="39">
        <f t="shared" si="6"/>
        <v>0.0384615384615385</v>
      </c>
    </row>
    <row r="58" s="105" customFormat="1" ht="19.5" customHeight="1" spans="1:44">
      <c r="A58" s="68">
        <v>47</v>
      </c>
      <c r="B58" s="219" t="s">
        <v>70</v>
      </c>
      <c r="C58" s="150" t="s">
        <v>59</v>
      </c>
      <c r="D58" s="152" t="s">
        <v>273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259"/>
      <c r="U58" s="96"/>
      <c r="V58" s="96"/>
      <c r="W58" s="96"/>
      <c r="X58" s="96"/>
      <c r="Y58" s="96"/>
      <c r="Z58" s="96"/>
      <c r="AA58" s="96"/>
      <c r="AB58" s="96"/>
      <c r="AC58" s="96" t="s">
        <v>13</v>
      </c>
      <c r="AD58" s="96"/>
      <c r="AE58" s="96"/>
      <c r="AF58" s="96"/>
      <c r="AG58" s="96"/>
      <c r="AH58" s="96"/>
      <c r="AI58" s="113"/>
      <c r="AJ58" s="151">
        <f t="shared" si="0"/>
        <v>0</v>
      </c>
      <c r="AK58" s="35">
        <f t="shared" si="1"/>
        <v>0</v>
      </c>
      <c r="AL58" s="36">
        <f t="shared" si="2"/>
        <v>0</v>
      </c>
      <c r="AM58" s="36">
        <f t="shared" si="3"/>
        <v>1</v>
      </c>
      <c r="AN58" s="36">
        <f t="shared" si="4"/>
        <v>0</v>
      </c>
      <c r="AO58" s="37">
        <f t="shared" si="5"/>
        <v>1</v>
      </c>
      <c r="AP58" s="37" t="s">
        <v>228</v>
      </c>
      <c r="AQ58" s="38">
        <v>26</v>
      </c>
      <c r="AR58" s="39">
        <f t="shared" si="6"/>
        <v>0.0384615384615385</v>
      </c>
    </row>
    <row r="59" s="105" customFormat="1" ht="19.5" customHeight="1" spans="1:44">
      <c r="A59" s="68">
        <v>48</v>
      </c>
      <c r="B59" s="219" t="s">
        <v>71</v>
      </c>
      <c r="C59" s="150" t="s">
        <v>59</v>
      </c>
      <c r="D59" s="149" t="str">
        <f>VLOOKUP(B59,'[1]MASTER DATA 2025'!$C$3:$E$279,3,0)</f>
        <v>0Tahun5 Bulan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259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113"/>
      <c r="AJ59" s="151">
        <f t="shared" si="0"/>
        <v>0</v>
      </c>
      <c r="AK59" s="35">
        <f t="shared" si="1"/>
        <v>0</v>
      </c>
      <c r="AL59" s="36">
        <f t="shared" si="2"/>
        <v>0</v>
      </c>
      <c r="AM59" s="36">
        <f t="shared" si="3"/>
        <v>0</v>
      </c>
      <c r="AN59" s="36">
        <f t="shared" si="4"/>
        <v>0</v>
      </c>
      <c r="AO59" s="37">
        <f t="shared" si="5"/>
        <v>0</v>
      </c>
      <c r="AP59" s="37" t="s">
        <v>25</v>
      </c>
      <c r="AQ59" s="38">
        <v>26</v>
      </c>
      <c r="AR59" s="39">
        <f t="shared" si="6"/>
        <v>0</v>
      </c>
    </row>
    <row r="60" s="105" customFormat="1" ht="19.5" customHeight="1" spans="1:44">
      <c r="A60" s="68">
        <v>49</v>
      </c>
      <c r="B60" s="221" t="s">
        <v>72</v>
      </c>
      <c r="C60" s="163" t="s">
        <v>16</v>
      </c>
      <c r="D60" s="149" t="s">
        <v>219</v>
      </c>
      <c r="E60" s="96"/>
      <c r="F60" s="96"/>
      <c r="G60" s="96"/>
      <c r="H60" s="96"/>
      <c r="I60" s="96"/>
      <c r="J60" s="96"/>
      <c r="K60" s="96"/>
      <c r="L60" s="96"/>
      <c r="M60" s="96" t="s">
        <v>13</v>
      </c>
      <c r="N60" s="96"/>
      <c r="O60" s="96"/>
      <c r="P60" s="96"/>
      <c r="Q60" s="96"/>
      <c r="R60" s="96"/>
      <c r="S60" s="96"/>
      <c r="T60" s="259" t="s">
        <v>13</v>
      </c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113"/>
      <c r="AJ60" s="151">
        <f t="shared" si="0"/>
        <v>0</v>
      </c>
      <c r="AK60" s="35">
        <f t="shared" si="1"/>
        <v>0</v>
      </c>
      <c r="AL60" s="36">
        <f t="shared" si="2"/>
        <v>0</v>
      </c>
      <c r="AM60" s="35">
        <f t="shared" si="3"/>
        <v>2</v>
      </c>
      <c r="AN60" s="36">
        <f t="shared" si="4"/>
        <v>0</v>
      </c>
      <c r="AO60" s="37">
        <f t="shared" si="5"/>
        <v>2</v>
      </c>
      <c r="AP60" s="37" t="s">
        <v>228</v>
      </c>
      <c r="AQ60" s="38">
        <v>26</v>
      </c>
      <c r="AR60" s="39">
        <f t="shared" si="6"/>
        <v>0.0769230769230769</v>
      </c>
    </row>
    <row r="61" s="105" customFormat="1" ht="19.5" customHeight="1" spans="1:44">
      <c r="A61" s="68">
        <v>50</v>
      </c>
      <c r="B61" s="219" t="s">
        <v>73</v>
      </c>
      <c r="C61" s="150" t="s">
        <v>16</v>
      </c>
      <c r="D61" s="152" t="s">
        <v>136</v>
      </c>
      <c r="E61" s="96"/>
      <c r="F61" s="96"/>
      <c r="G61" s="96"/>
      <c r="H61" s="96"/>
      <c r="I61" s="96"/>
      <c r="J61" s="96"/>
      <c r="K61" s="96"/>
      <c r="L61" s="96" t="s">
        <v>13</v>
      </c>
      <c r="M61" s="96"/>
      <c r="N61" s="96" t="s">
        <v>13</v>
      </c>
      <c r="O61" s="96"/>
      <c r="P61" s="96"/>
      <c r="Q61" s="96"/>
      <c r="R61" s="96"/>
      <c r="S61" s="96"/>
      <c r="T61" s="259"/>
      <c r="U61" s="96" t="s">
        <v>13</v>
      </c>
      <c r="V61" s="96"/>
      <c r="W61" s="96" t="s">
        <v>13</v>
      </c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113"/>
      <c r="AJ61" s="151">
        <f t="shared" si="0"/>
        <v>0</v>
      </c>
      <c r="AK61" s="35">
        <f t="shared" si="1"/>
        <v>0</v>
      </c>
      <c r="AL61" s="36">
        <f t="shared" si="2"/>
        <v>0</v>
      </c>
      <c r="AM61" s="35">
        <f t="shared" si="3"/>
        <v>4</v>
      </c>
      <c r="AN61" s="36">
        <f t="shared" si="4"/>
        <v>0</v>
      </c>
      <c r="AO61" s="37">
        <f t="shared" si="5"/>
        <v>4</v>
      </c>
      <c r="AP61" s="130" t="s">
        <v>171</v>
      </c>
      <c r="AQ61" s="38">
        <v>26</v>
      </c>
      <c r="AR61" s="39">
        <f t="shared" si="6"/>
        <v>0.153846153846154</v>
      </c>
    </row>
    <row r="62" s="105" customFormat="1" ht="19.5" customHeight="1" spans="1:44">
      <c r="A62" s="68">
        <v>51</v>
      </c>
      <c r="B62" s="219" t="s">
        <v>74</v>
      </c>
      <c r="C62" s="150" t="s">
        <v>16</v>
      </c>
      <c r="D62" s="149" t="str">
        <f>VLOOKUP(B62,'[1]MASTER DATA 2025'!$C$3:$E$279,3,0)</f>
        <v>0Tahun1 Bulan</v>
      </c>
      <c r="E62" s="96"/>
      <c r="F62" s="96" t="s">
        <v>11</v>
      </c>
      <c r="G62" s="96"/>
      <c r="H62" s="96"/>
      <c r="I62" s="96"/>
      <c r="J62" s="96"/>
      <c r="K62" s="96" t="s">
        <v>13</v>
      </c>
      <c r="L62" s="96"/>
      <c r="M62" s="96" t="s">
        <v>13</v>
      </c>
      <c r="N62" s="96"/>
      <c r="O62" s="96"/>
      <c r="P62" s="96"/>
      <c r="Q62" s="96"/>
      <c r="R62" s="96"/>
      <c r="S62" s="96"/>
      <c r="T62" s="259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113"/>
      <c r="AJ62" s="151">
        <f t="shared" si="0"/>
        <v>0</v>
      </c>
      <c r="AK62" s="35">
        <f t="shared" si="1"/>
        <v>1</v>
      </c>
      <c r="AL62" s="36">
        <f t="shared" si="2"/>
        <v>0</v>
      </c>
      <c r="AM62" s="36">
        <f t="shared" si="3"/>
        <v>2</v>
      </c>
      <c r="AN62" s="36">
        <f t="shared" si="4"/>
        <v>0</v>
      </c>
      <c r="AO62" s="37">
        <f t="shared" si="5"/>
        <v>3</v>
      </c>
      <c r="AP62" s="130" t="s">
        <v>171</v>
      </c>
      <c r="AQ62" s="38">
        <v>26</v>
      </c>
      <c r="AR62" s="39">
        <f t="shared" si="6"/>
        <v>0.115384615384615</v>
      </c>
    </row>
    <row r="63" s="105" customFormat="1" ht="19.5" customHeight="1" spans="1:44">
      <c r="A63" s="68">
        <v>52</v>
      </c>
      <c r="B63" s="219" t="s">
        <v>75</v>
      </c>
      <c r="C63" s="150" t="s">
        <v>16</v>
      </c>
      <c r="D63" s="149" t="str">
        <f>VLOOKUP(B63,'[1]MASTER DATA 2025'!$C$3:$E$279,3,0)</f>
        <v>0Tahun1 Bulan</v>
      </c>
      <c r="E63" s="96"/>
      <c r="F63" s="96"/>
      <c r="G63" s="96" t="s">
        <v>11</v>
      </c>
      <c r="H63" s="96"/>
      <c r="I63" s="96"/>
      <c r="J63" s="96"/>
      <c r="K63" s="96"/>
      <c r="L63" s="96"/>
      <c r="M63" s="96"/>
      <c r="N63" s="96" t="s">
        <v>13</v>
      </c>
      <c r="O63" s="96"/>
      <c r="P63" s="96"/>
      <c r="Q63" s="96"/>
      <c r="R63" s="96"/>
      <c r="S63" s="96"/>
      <c r="T63" s="259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113"/>
      <c r="AJ63" s="151">
        <f t="shared" si="0"/>
        <v>0</v>
      </c>
      <c r="AK63" s="35">
        <f t="shared" si="1"/>
        <v>1</v>
      </c>
      <c r="AL63" s="36">
        <f t="shared" si="2"/>
        <v>0</v>
      </c>
      <c r="AM63" s="36">
        <f t="shared" si="3"/>
        <v>1</v>
      </c>
      <c r="AN63" s="36">
        <f t="shared" si="4"/>
        <v>0</v>
      </c>
      <c r="AO63" s="37">
        <f t="shared" si="5"/>
        <v>2</v>
      </c>
      <c r="AP63" s="130" t="s">
        <v>171</v>
      </c>
      <c r="AQ63" s="38">
        <v>26</v>
      </c>
      <c r="AR63" s="39">
        <f t="shared" si="6"/>
        <v>0.0769230769230769</v>
      </c>
    </row>
    <row r="64" s="105" customFormat="1" ht="19.5" customHeight="1" spans="1:44">
      <c r="A64" s="68">
        <v>53</v>
      </c>
      <c r="B64" s="219" t="s">
        <v>76</v>
      </c>
      <c r="C64" s="150" t="s">
        <v>59</v>
      </c>
      <c r="D64" s="152" t="s">
        <v>220</v>
      </c>
      <c r="E64" s="96" t="s">
        <v>13</v>
      </c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259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113"/>
      <c r="AJ64" s="151">
        <f t="shared" si="0"/>
        <v>0</v>
      </c>
      <c r="AK64" s="35">
        <f t="shared" si="1"/>
        <v>0</v>
      </c>
      <c r="AL64" s="36">
        <f t="shared" si="2"/>
        <v>0</v>
      </c>
      <c r="AM64" s="36">
        <f t="shared" si="3"/>
        <v>1</v>
      </c>
      <c r="AN64" s="36">
        <f t="shared" si="4"/>
        <v>0</v>
      </c>
      <c r="AO64" s="37">
        <f t="shared" si="5"/>
        <v>1</v>
      </c>
      <c r="AP64" s="38" t="s">
        <v>221</v>
      </c>
      <c r="AQ64" s="38">
        <v>26</v>
      </c>
      <c r="AR64" s="39">
        <f t="shared" si="6"/>
        <v>0.0384615384615385</v>
      </c>
    </row>
    <row r="65" s="105" customFormat="1" ht="19.5" customHeight="1" spans="1:44">
      <c r="A65" s="68">
        <v>54</v>
      </c>
      <c r="B65" s="219" t="s">
        <v>77</v>
      </c>
      <c r="C65" s="150" t="s">
        <v>16</v>
      </c>
      <c r="D65" s="149" t="str">
        <f>VLOOKUP(B65,'[1]MASTER DATA 2025'!$C$3:$E$279,3,0)</f>
        <v>0Tahun8 Bulan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259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113"/>
      <c r="AJ65" s="151">
        <f t="shared" si="0"/>
        <v>0</v>
      </c>
      <c r="AK65" s="35">
        <f t="shared" si="1"/>
        <v>0</v>
      </c>
      <c r="AL65" s="36">
        <f t="shared" si="2"/>
        <v>0</v>
      </c>
      <c r="AM65" s="36">
        <f t="shared" si="3"/>
        <v>0</v>
      </c>
      <c r="AN65" s="36">
        <f t="shared" si="4"/>
        <v>0</v>
      </c>
      <c r="AO65" s="37">
        <f t="shared" si="5"/>
        <v>0</v>
      </c>
      <c r="AP65" s="37"/>
      <c r="AQ65" s="38">
        <v>26</v>
      </c>
      <c r="AR65" s="39">
        <f t="shared" si="6"/>
        <v>0</v>
      </c>
    </row>
    <row r="66" s="105" customFormat="1" ht="19.5" customHeight="1" spans="1:44">
      <c r="A66" s="68">
        <v>55</v>
      </c>
      <c r="B66" s="219" t="s">
        <v>78</v>
      </c>
      <c r="C66" s="150" t="s">
        <v>16</v>
      </c>
      <c r="D66" s="152" t="s">
        <v>274</v>
      </c>
      <c r="E66" s="96"/>
      <c r="F66" s="96"/>
      <c r="G66" s="96"/>
      <c r="H66" s="96"/>
      <c r="I66" s="96"/>
      <c r="J66" s="96"/>
      <c r="K66" s="96"/>
      <c r="L66" s="96"/>
      <c r="M66" s="96"/>
      <c r="N66" s="96" t="s">
        <v>11</v>
      </c>
      <c r="O66" s="96"/>
      <c r="P66" s="96"/>
      <c r="Q66" s="96"/>
      <c r="R66" s="96"/>
      <c r="S66" s="96"/>
      <c r="T66" s="259"/>
      <c r="U66" s="96"/>
      <c r="V66" s="96" t="s">
        <v>11</v>
      </c>
      <c r="W66" s="96"/>
      <c r="X66" s="96"/>
      <c r="Y66" s="96" t="s">
        <v>11</v>
      </c>
      <c r="Z66" s="96" t="s">
        <v>11</v>
      </c>
      <c r="AA66" s="96"/>
      <c r="AB66" s="96"/>
      <c r="AC66" s="96"/>
      <c r="AD66" s="96"/>
      <c r="AE66" s="96"/>
      <c r="AF66" s="96"/>
      <c r="AG66" s="96"/>
      <c r="AH66" s="96"/>
      <c r="AI66" s="113"/>
      <c r="AJ66" s="151">
        <f t="shared" si="0"/>
        <v>0</v>
      </c>
      <c r="AK66" s="35">
        <f t="shared" si="1"/>
        <v>4</v>
      </c>
      <c r="AL66" s="36">
        <f t="shared" si="2"/>
        <v>0</v>
      </c>
      <c r="AM66" s="36">
        <f t="shared" si="3"/>
        <v>0</v>
      </c>
      <c r="AN66" s="36">
        <f t="shared" si="4"/>
        <v>0</v>
      </c>
      <c r="AO66" s="37">
        <f t="shared" si="5"/>
        <v>4</v>
      </c>
      <c r="AP66" s="37"/>
      <c r="AQ66" s="38">
        <v>26</v>
      </c>
      <c r="AR66" s="39">
        <f t="shared" si="6"/>
        <v>0.153846153846154</v>
      </c>
    </row>
    <row r="67" s="105" customFormat="1" ht="19.5" customHeight="1" spans="1:44">
      <c r="A67" s="68">
        <v>56</v>
      </c>
      <c r="B67" s="219" t="s">
        <v>79</v>
      </c>
      <c r="C67" s="150" t="s">
        <v>16</v>
      </c>
      <c r="D67" s="149" t="str">
        <f>VLOOKUP(B67,'[1]MASTER DATA 2025'!$C$3:$E$279,3,0)</f>
        <v>1Tahun5 Bulan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259"/>
      <c r="U67" s="96"/>
      <c r="V67" s="96"/>
      <c r="W67" s="96"/>
      <c r="X67" s="96"/>
      <c r="Y67" s="96"/>
      <c r="Z67" s="96"/>
      <c r="AA67" s="96"/>
      <c r="AB67" s="96"/>
      <c r="AC67" s="96" t="s">
        <v>11</v>
      </c>
      <c r="AD67" s="96"/>
      <c r="AE67" s="96"/>
      <c r="AF67" s="96"/>
      <c r="AG67" s="96"/>
      <c r="AH67" s="96"/>
      <c r="AI67" s="113"/>
      <c r="AJ67" s="151">
        <f t="shared" si="0"/>
        <v>0</v>
      </c>
      <c r="AK67" s="35">
        <f t="shared" si="1"/>
        <v>1</v>
      </c>
      <c r="AL67" s="36">
        <f t="shared" si="2"/>
        <v>0</v>
      </c>
      <c r="AM67" s="36">
        <f t="shared" si="3"/>
        <v>0</v>
      </c>
      <c r="AN67" s="36">
        <f t="shared" si="4"/>
        <v>0</v>
      </c>
      <c r="AO67" s="37">
        <f t="shared" si="5"/>
        <v>1</v>
      </c>
      <c r="AP67" s="37"/>
      <c r="AQ67" s="38">
        <v>26</v>
      </c>
      <c r="AR67" s="39">
        <f t="shared" si="6"/>
        <v>0.0384615384615385</v>
      </c>
    </row>
    <row r="68" s="105" customFormat="1" ht="19.5" customHeight="1" spans="1:44">
      <c r="A68" s="68">
        <v>57</v>
      </c>
      <c r="B68" s="219" t="s">
        <v>80</v>
      </c>
      <c r="C68" s="150" t="s">
        <v>16</v>
      </c>
      <c r="D68" s="149" t="str">
        <f>VLOOKUP(B68,'[1]MASTER DATA 2025'!$C$3:$E$279,3,0)</f>
        <v>0Tahun7 Bulan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259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113"/>
      <c r="AJ68" s="151">
        <f t="shared" si="0"/>
        <v>0</v>
      </c>
      <c r="AK68" s="35">
        <f t="shared" si="1"/>
        <v>0</v>
      </c>
      <c r="AL68" s="35">
        <f t="shared" si="2"/>
        <v>0</v>
      </c>
      <c r="AM68" s="47">
        <f t="shared" si="3"/>
        <v>0</v>
      </c>
      <c r="AN68" s="36">
        <f t="shared" si="4"/>
        <v>0</v>
      </c>
      <c r="AO68" s="37">
        <f t="shared" si="5"/>
        <v>0</v>
      </c>
      <c r="AP68" s="49">
        <v>45967</v>
      </c>
      <c r="AQ68" s="38">
        <v>26</v>
      </c>
      <c r="AR68" s="39">
        <f t="shared" si="6"/>
        <v>0</v>
      </c>
    </row>
    <row r="69" s="105" customFormat="1" ht="19.5" customHeight="1" spans="1:44">
      <c r="A69" s="68">
        <v>58</v>
      </c>
      <c r="B69" s="219" t="s">
        <v>81</v>
      </c>
      <c r="C69" s="150" t="s">
        <v>16</v>
      </c>
      <c r="D69" s="149" t="str">
        <f>VLOOKUP(B69,'[1]MASTER DATA 2025'!$C$3:$E$279,3,0)</f>
        <v>2Tahun1 Bulan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 t="s">
        <v>13</v>
      </c>
      <c r="Q69" s="96"/>
      <c r="R69" s="96"/>
      <c r="S69" s="96"/>
      <c r="T69" s="259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113"/>
      <c r="AJ69" s="151">
        <f t="shared" si="0"/>
        <v>0</v>
      </c>
      <c r="AK69" s="35">
        <f t="shared" si="1"/>
        <v>0</v>
      </c>
      <c r="AL69" s="36">
        <f t="shared" si="2"/>
        <v>0</v>
      </c>
      <c r="AM69" s="36">
        <f t="shared" si="3"/>
        <v>1</v>
      </c>
      <c r="AN69" s="36">
        <f t="shared" si="4"/>
        <v>0</v>
      </c>
      <c r="AO69" s="37">
        <f t="shared" si="5"/>
        <v>1</v>
      </c>
      <c r="AP69" s="37" t="s">
        <v>228</v>
      </c>
      <c r="AQ69" s="38">
        <v>26</v>
      </c>
      <c r="AR69" s="39">
        <f t="shared" si="6"/>
        <v>0.0384615384615385</v>
      </c>
    </row>
    <row r="70" s="105" customFormat="1" ht="19.5" customHeight="1" spans="1:44">
      <c r="A70" s="68">
        <v>59</v>
      </c>
      <c r="B70" s="219" t="s">
        <v>82</v>
      </c>
      <c r="C70" s="150" t="s">
        <v>16</v>
      </c>
      <c r="D70" s="149" t="str">
        <f>VLOOKUP(B70,'[1]MASTER DATA 2025'!$C$3:$E$279,3,0)</f>
        <v>0Tahun1 Bulan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259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113"/>
      <c r="AJ70" s="151">
        <f t="shared" si="0"/>
        <v>0</v>
      </c>
      <c r="AK70" s="35">
        <f t="shared" si="1"/>
        <v>0</v>
      </c>
      <c r="AL70" s="35">
        <f t="shared" si="2"/>
        <v>0</v>
      </c>
      <c r="AM70" s="47">
        <f t="shared" si="3"/>
        <v>0</v>
      </c>
      <c r="AN70" s="36">
        <f t="shared" si="4"/>
        <v>0</v>
      </c>
      <c r="AO70" s="37">
        <f t="shared" si="5"/>
        <v>0</v>
      </c>
      <c r="AP70" s="37" t="s">
        <v>25</v>
      </c>
      <c r="AQ70" s="38">
        <v>26</v>
      </c>
      <c r="AR70" s="39">
        <f t="shared" si="6"/>
        <v>0</v>
      </c>
    </row>
    <row r="71" s="105" customFormat="1" ht="19.5" customHeight="1" spans="1:44">
      <c r="A71" s="68">
        <v>60</v>
      </c>
      <c r="B71" s="219" t="s">
        <v>83</v>
      </c>
      <c r="C71" s="150" t="s">
        <v>16</v>
      </c>
      <c r="D71" s="149" t="str">
        <f>VLOOKUP(B71,'[1]MASTER DATA 2025'!$C$3:$E$279,3,0)</f>
        <v>2Tahun1 Bulan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259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113"/>
      <c r="AJ71" s="151">
        <f t="shared" si="0"/>
        <v>0</v>
      </c>
      <c r="AK71" s="35">
        <f t="shared" si="1"/>
        <v>0</v>
      </c>
      <c r="AL71" s="36">
        <f t="shared" si="2"/>
        <v>0</v>
      </c>
      <c r="AM71" s="36">
        <f t="shared" si="3"/>
        <v>0</v>
      </c>
      <c r="AN71" s="36">
        <f t="shared" si="4"/>
        <v>0</v>
      </c>
      <c r="AO71" s="37">
        <f t="shared" si="5"/>
        <v>0</v>
      </c>
      <c r="AP71" s="37"/>
      <c r="AQ71" s="38">
        <v>26</v>
      </c>
      <c r="AR71" s="39">
        <f t="shared" si="6"/>
        <v>0</v>
      </c>
    </row>
    <row r="72" s="105" customFormat="1" ht="19.5" customHeight="1" spans="1:44">
      <c r="A72" s="68">
        <v>61</v>
      </c>
      <c r="B72" s="219" t="s">
        <v>84</v>
      </c>
      <c r="C72" s="150" t="s">
        <v>59</v>
      </c>
      <c r="D72" s="149" t="str">
        <f>VLOOKUP(B72,'[1]MASTER DATA 2025'!$C$3:$E$279,3,0)</f>
        <v>0Tahun7 Bulan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 t="s">
        <v>13</v>
      </c>
      <c r="Q72" s="96"/>
      <c r="R72" s="96"/>
      <c r="S72" s="96"/>
      <c r="T72" s="259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113"/>
      <c r="AJ72" s="151">
        <f t="shared" si="0"/>
        <v>0</v>
      </c>
      <c r="AK72" s="35">
        <f t="shared" si="1"/>
        <v>0</v>
      </c>
      <c r="AL72" s="36">
        <f t="shared" si="2"/>
        <v>0</v>
      </c>
      <c r="AM72" s="36">
        <f t="shared" si="3"/>
        <v>1</v>
      </c>
      <c r="AN72" s="36">
        <f t="shared" si="4"/>
        <v>0</v>
      </c>
      <c r="AO72" s="37">
        <f t="shared" si="5"/>
        <v>1</v>
      </c>
      <c r="AP72" s="37" t="s">
        <v>228</v>
      </c>
      <c r="AQ72" s="38">
        <v>26</v>
      </c>
      <c r="AR72" s="39">
        <f t="shared" si="6"/>
        <v>0.0384615384615385</v>
      </c>
    </row>
    <row r="73" s="105" customFormat="1" ht="19.5" customHeight="1" spans="1:44">
      <c r="A73" s="68">
        <v>62</v>
      </c>
      <c r="B73" s="219" t="s">
        <v>85</v>
      </c>
      <c r="C73" s="150" t="s">
        <v>59</v>
      </c>
      <c r="D73" s="149" t="str">
        <f>VLOOKUP(B73,'[1]MASTER DATA 2025'!$C$3:$E$279,3,0)</f>
        <v>1Tahun3 Bulan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 t="s">
        <v>13</v>
      </c>
      <c r="Q73" s="96"/>
      <c r="R73" s="96"/>
      <c r="S73" s="96"/>
      <c r="T73" s="259"/>
      <c r="U73" s="96"/>
      <c r="V73" s="96"/>
      <c r="W73" s="96"/>
      <c r="X73" s="96"/>
      <c r="Y73" s="96"/>
      <c r="Z73" s="96" t="s">
        <v>11</v>
      </c>
      <c r="AA73" s="96"/>
      <c r="AB73" s="96"/>
      <c r="AC73" s="96"/>
      <c r="AD73" s="96"/>
      <c r="AE73" s="96"/>
      <c r="AF73" s="96"/>
      <c r="AG73" s="96"/>
      <c r="AH73" s="96"/>
      <c r="AI73" s="113"/>
      <c r="AJ73" s="151">
        <f t="shared" si="0"/>
        <v>0</v>
      </c>
      <c r="AK73" s="35">
        <f t="shared" si="1"/>
        <v>1</v>
      </c>
      <c r="AL73" s="35">
        <f t="shared" si="2"/>
        <v>0</v>
      </c>
      <c r="AM73" s="47">
        <f t="shared" si="3"/>
        <v>1</v>
      </c>
      <c r="AN73" s="36">
        <f t="shared" si="4"/>
        <v>0</v>
      </c>
      <c r="AO73" s="37">
        <f t="shared" si="5"/>
        <v>2</v>
      </c>
      <c r="AP73" s="37" t="s">
        <v>228</v>
      </c>
      <c r="AQ73" s="38">
        <v>26</v>
      </c>
      <c r="AR73" s="39">
        <f t="shared" si="6"/>
        <v>0.0769230769230769</v>
      </c>
    </row>
    <row r="74" s="105" customFormat="1" ht="19.5" customHeight="1" spans="1:44">
      <c r="A74" s="68">
        <v>63</v>
      </c>
      <c r="B74" s="219" t="s">
        <v>86</v>
      </c>
      <c r="C74" s="150" t="s">
        <v>59</v>
      </c>
      <c r="D74" s="149" t="str">
        <f>VLOOKUP(B74,'[1]MASTER DATA 2025'!$C$3:$E$279,3,0)</f>
        <v>2Tahun7 Bulan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259"/>
      <c r="U74" s="96" t="s">
        <v>13</v>
      </c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113"/>
      <c r="AJ74" s="151">
        <f t="shared" si="0"/>
        <v>0</v>
      </c>
      <c r="AK74" s="35">
        <f t="shared" si="1"/>
        <v>0</v>
      </c>
      <c r="AL74" s="35">
        <f t="shared" si="2"/>
        <v>0</v>
      </c>
      <c r="AM74" s="36">
        <f t="shared" si="3"/>
        <v>1</v>
      </c>
      <c r="AN74" s="36">
        <f t="shared" si="4"/>
        <v>0</v>
      </c>
      <c r="AO74" s="37">
        <f t="shared" si="5"/>
        <v>1</v>
      </c>
      <c r="AP74" s="37"/>
      <c r="AQ74" s="38">
        <v>26</v>
      </c>
      <c r="AR74" s="39">
        <f t="shared" si="6"/>
        <v>0.0384615384615385</v>
      </c>
    </row>
    <row r="75" s="105" customFormat="1" ht="19.5" customHeight="1" spans="1:44">
      <c r="A75" s="68">
        <v>64</v>
      </c>
      <c r="B75" s="219" t="s">
        <v>119</v>
      </c>
      <c r="C75" s="150" t="s">
        <v>59</v>
      </c>
      <c r="D75" s="152" t="s">
        <v>153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259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113"/>
      <c r="AJ75" s="151">
        <f t="shared" si="0"/>
        <v>0</v>
      </c>
      <c r="AK75" s="35">
        <f t="shared" si="1"/>
        <v>0</v>
      </c>
      <c r="AL75" s="36">
        <f t="shared" si="2"/>
        <v>0</v>
      </c>
      <c r="AM75" s="35">
        <f t="shared" si="3"/>
        <v>0</v>
      </c>
      <c r="AN75" s="36">
        <f t="shared" si="4"/>
        <v>0</v>
      </c>
      <c r="AO75" s="37">
        <f t="shared" si="5"/>
        <v>0</v>
      </c>
      <c r="AP75" s="37" t="s">
        <v>222</v>
      </c>
      <c r="AQ75" s="38">
        <v>26</v>
      </c>
      <c r="AR75" s="39">
        <f t="shared" si="6"/>
        <v>0</v>
      </c>
    </row>
    <row r="76" s="105" customFormat="1" ht="19.5" customHeight="1" spans="1:44">
      <c r="A76" s="68">
        <v>65</v>
      </c>
      <c r="B76" s="219" t="s">
        <v>88</v>
      </c>
      <c r="C76" s="150" t="s">
        <v>16</v>
      </c>
      <c r="D76" s="149" t="str">
        <f>VLOOKUP(B76,'[1]MASTER DATA 2025'!$C$3:$E$279,3,0)</f>
        <v>1Tahun2 Bulan</v>
      </c>
      <c r="E76" s="96"/>
      <c r="F76" s="96" t="s">
        <v>11</v>
      </c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259"/>
      <c r="U76" s="96"/>
      <c r="V76" s="96"/>
      <c r="W76" s="96"/>
      <c r="X76" s="96" t="s">
        <v>13</v>
      </c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113"/>
      <c r="AJ76" s="151">
        <f t="shared" ref="AJ76:AJ139" si="7">COUNTIF(E76:AH76,"H")</f>
        <v>0</v>
      </c>
      <c r="AK76" s="35">
        <f t="shared" ref="AK76:AK139" si="8">COUNTIF(E76:AH76,"S")</f>
        <v>1</v>
      </c>
      <c r="AL76" s="36">
        <f t="shared" ref="AL76:AL139" si="9">COUNTIF(E76:AH76,"I")</f>
        <v>0</v>
      </c>
      <c r="AM76" s="35">
        <f t="shared" ref="AM76:AM139" si="10">COUNTIF(E76:AH76,"A")</f>
        <v>1</v>
      </c>
      <c r="AN76" s="36">
        <f t="shared" ref="AN76:AN130" si="11">COUNTIF(E76:AH76,"OFF")</f>
        <v>0</v>
      </c>
      <c r="AO76" s="37">
        <f t="shared" ref="AO76:AO139" si="12">SUM(AJ76:AM76)</f>
        <v>2</v>
      </c>
      <c r="AP76" s="37" t="s">
        <v>228</v>
      </c>
      <c r="AQ76" s="38">
        <v>26</v>
      </c>
      <c r="AR76" s="39">
        <f t="shared" ref="AR76:AR91" si="13">AO76/AQ76</f>
        <v>0.0769230769230769</v>
      </c>
    </row>
    <row r="77" s="105" customFormat="1" ht="19.5" customHeight="1" spans="1:44">
      <c r="A77" s="68">
        <v>66</v>
      </c>
      <c r="B77" s="219" t="s">
        <v>89</v>
      </c>
      <c r="C77" s="150" t="s">
        <v>16</v>
      </c>
      <c r="D77" s="149" t="str">
        <f>VLOOKUP(B77,'[1]MASTER DATA 2025'!$C$3:$E$279,3,0)</f>
        <v>0Tahun2 Bulan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259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113"/>
      <c r="AJ77" s="151">
        <f t="shared" si="7"/>
        <v>0</v>
      </c>
      <c r="AK77" s="35">
        <f t="shared" si="8"/>
        <v>0</v>
      </c>
      <c r="AL77" s="36">
        <f t="shared" si="9"/>
        <v>0</v>
      </c>
      <c r="AM77" s="35">
        <f t="shared" si="10"/>
        <v>0</v>
      </c>
      <c r="AN77" s="36">
        <f t="shared" si="11"/>
        <v>0</v>
      </c>
      <c r="AO77" s="37">
        <f t="shared" si="12"/>
        <v>0</v>
      </c>
      <c r="AP77" s="37" t="s">
        <v>228</v>
      </c>
      <c r="AQ77" s="38">
        <v>26</v>
      </c>
      <c r="AR77" s="39">
        <f t="shared" si="13"/>
        <v>0</v>
      </c>
    </row>
    <row r="78" s="105" customFormat="1" ht="19.5" customHeight="1" spans="1:44">
      <c r="A78" s="68">
        <v>67</v>
      </c>
      <c r="B78" s="219" t="s">
        <v>90</v>
      </c>
      <c r="C78" s="150" t="s">
        <v>16</v>
      </c>
      <c r="D78" s="149" t="s">
        <v>266</v>
      </c>
      <c r="E78" s="96"/>
      <c r="F78" s="96"/>
      <c r="G78" s="96"/>
      <c r="H78" s="96"/>
      <c r="I78" s="96"/>
      <c r="J78" s="96" t="s">
        <v>11</v>
      </c>
      <c r="K78" s="96"/>
      <c r="L78" s="96"/>
      <c r="M78" s="96"/>
      <c r="N78" s="96"/>
      <c r="O78" s="96"/>
      <c r="P78" s="96"/>
      <c r="Q78" s="96"/>
      <c r="R78" s="96"/>
      <c r="S78" s="96"/>
      <c r="T78" s="259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113"/>
      <c r="AJ78" s="151">
        <f t="shared" si="7"/>
        <v>0</v>
      </c>
      <c r="AK78" s="35">
        <f t="shared" si="8"/>
        <v>1</v>
      </c>
      <c r="AL78" s="36">
        <f t="shared" si="9"/>
        <v>0</v>
      </c>
      <c r="AM78" s="36">
        <f t="shared" si="10"/>
        <v>0</v>
      </c>
      <c r="AN78" s="36">
        <f t="shared" si="11"/>
        <v>0</v>
      </c>
      <c r="AO78" s="37">
        <f t="shared" si="12"/>
        <v>1</v>
      </c>
      <c r="AP78" s="37" t="s">
        <v>275</v>
      </c>
      <c r="AQ78" s="38">
        <v>26</v>
      </c>
      <c r="AR78" s="39">
        <f t="shared" si="13"/>
        <v>0.0384615384615385</v>
      </c>
    </row>
    <row r="79" s="105" customFormat="1" ht="19.5" customHeight="1" spans="1:44">
      <c r="A79" s="68">
        <v>68</v>
      </c>
      <c r="B79" s="264" t="s">
        <v>91</v>
      </c>
      <c r="C79" s="150" t="s">
        <v>16</v>
      </c>
      <c r="D79" s="149" t="str">
        <f>VLOOKUP(B79,'[1]MASTER DATA 2025'!$C$3:$E$279,3,0)</f>
        <v>0Tahun7Bulan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259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113"/>
      <c r="AJ79" s="151">
        <f t="shared" si="7"/>
        <v>0</v>
      </c>
      <c r="AK79" s="35">
        <f t="shared" si="8"/>
        <v>0</v>
      </c>
      <c r="AL79" s="36">
        <f t="shared" si="9"/>
        <v>0</v>
      </c>
      <c r="AM79" s="36">
        <f t="shared" si="10"/>
        <v>0</v>
      </c>
      <c r="AN79" s="36">
        <f t="shared" si="11"/>
        <v>0</v>
      </c>
      <c r="AO79" s="37">
        <f t="shared" si="12"/>
        <v>0</v>
      </c>
      <c r="AP79" s="52" t="s">
        <v>201</v>
      </c>
      <c r="AQ79" s="38">
        <v>26</v>
      </c>
      <c r="AR79" s="39">
        <f t="shared" si="13"/>
        <v>0</v>
      </c>
    </row>
    <row r="80" s="105" customFormat="1" ht="19.5" customHeight="1" spans="1:44">
      <c r="A80" s="68">
        <v>69</v>
      </c>
      <c r="B80" s="219" t="s">
        <v>92</v>
      </c>
      <c r="C80" s="150" t="s">
        <v>16</v>
      </c>
      <c r="D80" s="152" t="s">
        <v>219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259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 t="s">
        <v>13</v>
      </c>
      <c r="AI80" s="113"/>
      <c r="AJ80" s="151">
        <f t="shared" si="7"/>
        <v>0</v>
      </c>
      <c r="AK80" s="35">
        <f t="shared" si="8"/>
        <v>0</v>
      </c>
      <c r="AL80" s="36">
        <f t="shared" si="9"/>
        <v>0</v>
      </c>
      <c r="AM80" s="35">
        <f t="shared" si="10"/>
        <v>1</v>
      </c>
      <c r="AN80" s="36">
        <f t="shared" si="11"/>
        <v>0</v>
      </c>
      <c r="AO80" s="37">
        <f t="shared" si="12"/>
        <v>1</v>
      </c>
      <c r="AP80" s="37" t="s">
        <v>228</v>
      </c>
      <c r="AQ80" s="38">
        <v>26</v>
      </c>
      <c r="AR80" s="39">
        <f t="shared" si="13"/>
        <v>0.0384615384615385</v>
      </c>
    </row>
    <row r="81" s="105" customFormat="1" ht="19.5" customHeight="1" spans="1:44">
      <c r="A81" s="68">
        <v>70</v>
      </c>
      <c r="B81" s="219" t="s">
        <v>93</v>
      </c>
      <c r="C81" s="150" t="s">
        <v>16</v>
      </c>
      <c r="D81" s="149" t="str">
        <f>VLOOKUP(B81,'[1]MASTER DATA 2025'!$C$3:$E$279,3,0)</f>
        <v>0Tahun2 Bulan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259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113"/>
      <c r="AJ81" s="151">
        <f t="shared" si="7"/>
        <v>0</v>
      </c>
      <c r="AK81" s="35">
        <f t="shared" si="8"/>
        <v>0</v>
      </c>
      <c r="AL81" s="36">
        <f t="shared" si="9"/>
        <v>0</v>
      </c>
      <c r="AM81" s="35">
        <f t="shared" si="10"/>
        <v>0</v>
      </c>
      <c r="AN81" s="36">
        <f t="shared" si="11"/>
        <v>0</v>
      </c>
      <c r="AO81" s="37">
        <f t="shared" si="12"/>
        <v>0</v>
      </c>
      <c r="AP81" s="37"/>
      <c r="AQ81" s="38">
        <v>26</v>
      </c>
      <c r="AR81" s="39">
        <f t="shared" si="13"/>
        <v>0</v>
      </c>
    </row>
    <row r="82" s="105" customFormat="1" ht="19.5" customHeight="1" spans="1:44">
      <c r="A82" s="68">
        <v>71</v>
      </c>
      <c r="B82" s="219" t="s">
        <v>94</v>
      </c>
      <c r="C82" s="150" t="s">
        <v>16</v>
      </c>
      <c r="D82" s="149" t="str">
        <f>VLOOKUP(B82,'[1]MASTER DATA 2025'!$C$3:$E$279,3,0)</f>
        <v>0Tahun2 Bulan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259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113"/>
      <c r="AJ82" s="151">
        <f t="shared" si="7"/>
        <v>0</v>
      </c>
      <c r="AK82" s="35">
        <f t="shared" si="8"/>
        <v>0</v>
      </c>
      <c r="AL82" s="36">
        <f t="shared" si="9"/>
        <v>0</v>
      </c>
      <c r="AM82" s="36">
        <f t="shared" si="10"/>
        <v>0</v>
      </c>
      <c r="AN82" s="36">
        <f t="shared" si="11"/>
        <v>0</v>
      </c>
      <c r="AO82" s="37">
        <f t="shared" si="12"/>
        <v>0</v>
      </c>
      <c r="AP82" s="37" t="s">
        <v>25</v>
      </c>
      <c r="AQ82" s="38">
        <v>26</v>
      </c>
      <c r="AR82" s="39">
        <f t="shared" si="13"/>
        <v>0</v>
      </c>
    </row>
    <row r="83" s="105" customFormat="1" ht="19.5" customHeight="1" spans="1:44">
      <c r="A83" s="68">
        <v>72</v>
      </c>
      <c r="B83" s="219" t="s">
        <v>95</v>
      </c>
      <c r="C83" s="150" t="s">
        <v>59</v>
      </c>
      <c r="D83" s="152" t="s">
        <v>225</v>
      </c>
      <c r="E83" s="96"/>
      <c r="F83" s="96" t="s">
        <v>11</v>
      </c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259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113"/>
      <c r="AJ83" s="151">
        <f t="shared" si="7"/>
        <v>0</v>
      </c>
      <c r="AK83" s="35">
        <f t="shared" si="8"/>
        <v>1</v>
      </c>
      <c r="AL83" s="36">
        <f t="shared" si="9"/>
        <v>0</v>
      </c>
      <c r="AM83" s="36">
        <f t="shared" si="10"/>
        <v>0</v>
      </c>
      <c r="AN83" s="36">
        <f t="shared" si="11"/>
        <v>0</v>
      </c>
      <c r="AO83" s="37">
        <f t="shared" si="12"/>
        <v>1</v>
      </c>
      <c r="AP83" s="38" t="s">
        <v>226</v>
      </c>
      <c r="AQ83" s="38">
        <v>26</v>
      </c>
      <c r="AR83" s="39">
        <f t="shared" si="13"/>
        <v>0.0384615384615385</v>
      </c>
    </row>
    <row r="84" s="105" customFormat="1" ht="19.5" customHeight="1" spans="1:44">
      <c r="A84" s="68">
        <v>73</v>
      </c>
      <c r="B84" s="219" t="s">
        <v>96</v>
      </c>
      <c r="C84" s="150" t="s">
        <v>59</v>
      </c>
      <c r="D84" s="152" t="s">
        <v>276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259"/>
      <c r="U84" s="96" t="s">
        <v>13</v>
      </c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113"/>
      <c r="AJ84" s="151">
        <f t="shared" si="7"/>
        <v>0</v>
      </c>
      <c r="AK84" s="35">
        <f t="shared" si="8"/>
        <v>0</v>
      </c>
      <c r="AL84" s="35">
        <f t="shared" si="9"/>
        <v>0</v>
      </c>
      <c r="AM84" s="47">
        <f t="shared" si="10"/>
        <v>1</v>
      </c>
      <c r="AN84" s="36">
        <f t="shared" si="11"/>
        <v>0</v>
      </c>
      <c r="AO84" s="37">
        <f t="shared" si="12"/>
        <v>1</v>
      </c>
      <c r="AP84" s="37" t="s">
        <v>228</v>
      </c>
      <c r="AQ84" s="38">
        <v>26</v>
      </c>
      <c r="AR84" s="39">
        <f t="shared" si="13"/>
        <v>0.0384615384615385</v>
      </c>
    </row>
    <row r="85" s="105" customFormat="1" ht="19.5" customHeight="1" spans="1:44">
      <c r="A85" s="68">
        <v>74</v>
      </c>
      <c r="B85" s="219" t="s">
        <v>97</v>
      </c>
      <c r="C85" s="150" t="s">
        <v>59</v>
      </c>
      <c r="D85" s="152" t="s">
        <v>277</v>
      </c>
      <c r="E85" s="96" t="s">
        <v>13</v>
      </c>
      <c r="F85" s="96"/>
      <c r="G85" s="96"/>
      <c r="H85" s="96"/>
      <c r="I85" s="96"/>
      <c r="J85" s="96"/>
      <c r="K85" s="96"/>
      <c r="L85" s="96"/>
      <c r="M85" s="96" t="s">
        <v>12</v>
      </c>
      <c r="N85" s="96" t="s">
        <v>13</v>
      </c>
      <c r="O85" s="96"/>
      <c r="P85" s="96"/>
      <c r="Q85" s="96"/>
      <c r="R85" s="96"/>
      <c r="S85" s="96"/>
      <c r="T85" s="259"/>
      <c r="U85" s="96"/>
      <c r="V85" s="96"/>
      <c r="W85" s="96"/>
      <c r="X85" s="96"/>
      <c r="Y85" s="96"/>
      <c r="Z85" s="96"/>
      <c r="AA85" s="96" t="s">
        <v>13</v>
      </c>
      <c r="AB85" s="96"/>
      <c r="AC85" s="96"/>
      <c r="AD85" s="96"/>
      <c r="AE85" s="96"/>
      <c r="AF85" s="96"/>
      <c r="AG85" s="96" t="s">
        <v>11</v>
      </c>
      <c r="AH85" s="96" t="s">
        <v>11</v>
      </c>
      <c r="AI85" s="113"/>
      <c r="AJ85" s="151">
        <f t="shared" si="7"/>
        <v>0</v>
      </c>
      <c r="AK85" s="35">
        <f t="shared" si="8"/>
        <v>2</v>
      </c>
      <c r="AL85" s="35">
        <f t="shared" si="9"/>
        <v>1</v>
      </c>
      <c r="AM85" s="47">
        <f t="shared" si="10"/>
        <v>3</v>
      </c>
      <c r="AN85" s="36">
        <f t="shared" si="11"/>
        <v>0</v>
      </c>
      <c r="AO85" s="37">
        <f t="shared" si="12"/>
        <v>6</v>
      </c>
      <c r="AP85" s="37" t="s">
        <v>278</v>
      </c>
      <c r="AQ85" s="38">
        <v>26</v>
      </c>
      <c r="AR85" s="39">
        <f t="shared" si="13"/>
        <v>0.230769230769231</v>
      </c>
    </row>
    <row r="86" s="105" customFormat="1" ht="19.5" customHeight="1" spans="1:44">
      <c r="A86" s="68">
        <v>75</v>
      </c>
      <c r="B86" s="219" t="s">
        <v>98</v>
      </c>
      <c r="C86" s="150" t="s">
        <v>59</v>
      </c>
      <c r="D86" s="152" t="s">
        <v>279</v>
      </c>
      <c r="E86" s="96"/>
      <c r="F86" s="96"/>
      <c r="G86" s="96" t="s">
        <v>12</v>
      </c>
      <c r="H86" s="96" t="s">
        <v>12</v>
      </c>
      <c r="I86" s="96"/>
      <c r="J86" s="96"/>
      <c r="K86" s="96"/>
      <c r="L86" s="96"/>
      <c r="M86" s="96"/>
      <c r="N86" s="96"/>
      <c r="O86" s="96"/>
      <c r="P86" s="96" t="s">
        <v>13</v>
      </c>
      <c r="Q86" s="96"/>
      <c r="R86" s="96"/>
      <c r="S86" s="96"/>
      <c r="T86" s="259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 t="s">
        <v>12</v>
      </c>
      <c r="AF86" s="96" t="s">
        <v>12</v>
      </c>
      <c r="AG86" s="96" t="s">
        <v>12</v>
      </c>
      <c r="AH86" s="96" t="s">
        <v>12</v>
      </c>
      <c r="AI86" s="113"/>
      <c r="AJ86" s="151">
        <f t="shared" si="7"/>
        <v>0</v>
      </c>
      <c r="AK86" s="35">
        <f t="shared" si="8"/>
        <v>0</v>
      </c>
      <c r="AL86" s="36">
        <f t="shared" si="9"/>
        <v>6</v>
      </c>
      <c r="AM86" s="36">
        <f t="shared" si="10"/>
        <v>1</v>
      </c>
      <c r="AN86" s="36">
        <f t="shared" si="11"/>
        <v>0</v>
      </c>
      <c r="AO86" s="37">
        <f t="shared" si="12"/>
        <v>7</v>
      </c>
      <c r="AP86" s="37"/>
      <c r="AQ86" s="38">
        <v>26</v>
      </c>
      <c r="AR86" s="39">
        <f t="shared" si="13"/>
        <v>0.269230769230769</v>
      </c>
    </row>
    <row r="87" s="105" customFormat="1" ht="19.5" customHeight="1" spans="1:44">
      <c r="A87" s="68">
        <v>76</v>
      </c>
      <c r="B87" s="219" t="s">
        <v>99</v>
      </c>
      <c r="C87" s="150" t="s">
        <v>16</v>
      </c>
      <c r="D87" s="149" t="s">
        <v>271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259"/>
      <c r="U87" s="96" t="s">
        <v>13</v>
      </c>
      <c r="V87" s="96" t="s">
        <v>13</v>
      </c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113"/>
      <c r="AJ87" s="151">
        <f t="shared" si="7"/>
        <v>0</v>
      </c>
      <c r="AK87" s="35">
        <f t="shared" si="8"/>
        <v>0</v>
      </c>
      <c r="AL87" s="36">
        <f t="shared" si="9"/>
        <v>0</v>
      </c>
      <c r="AM87" s="36">
        <f t="shared" si="10"/>
        <v>2</v>
      </c>
      <c r="AN87" s="36">
        <f t="shared" si="11"/>
        <v>0</v>
      </c>
      <c r="AO87" s="37">
        <f t="shared" si="12"/>
        <v>2</v>
      </c>
      <c r="AP87" s="37" t="s">
        <v>228</v>
      </c>
      <c r="AQ87" s="38">
        <v>26</v>
      </c>
      <c r="AR87" s="39">
        <f t="shared" si="13"/>
        <v>0.0769230769230769</v>
      </c>
    </row>
    <row r="88" s="105" customFormat="1" ht="19.5" customHeight="1" spans="1:44">
      <c r="A88" s="68">
        <v>77</v>
      </c>
      <c r="B88" s="219" t="s">
        <v>100</v>
      </c>
      <c r="C88" s="150" t="s">
        <v>101</v>
      </c>
      <c r="D88" s="149" t="s">
        <v>231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259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113"/>
      <c r="AJ88" s="151">
        <f t="shared" si="7"/>
        <v>0</v>
      </c>
      <c r="AK88" s="35">
        <f t="shared" si="8"/>
        <v>0</v>
      </c>
      <c r="AL88" s="35">
        <f t="shared" si="9"/>
        <v>0</v>
      </c>
      <c r="AM88" s="47">
        <f t="shared" si="10"/>
        <v>0</v>
      </c>
      <c r="AN88" s="36">
        <f t="shared" si="11"/>
        <v>0</v>
      </c>
      <c r="AO88" s="37">
        <f t="shared" si="12"/>
        <v>0</v>
      </c>
      <c r="AP88" s="37" t="s">
        <v>216</v>
      </c>
      <c r="AQ88" s="38">
        <v>26</v>
      </c>
      <c r="AR88" s="39">
        <f t="shared" si="13"/>
        <v>0</v>
      </c>
    </row>
    <row r="89" s="105" customFormat="1" ht="19.5" customHeight="1" spans="1:44">
      <c r="A89" s="68">
        <v>79</v>
      </c>
      <c r="B89" s="219" t="s">
        <v>104</v>
      </c>
      <c r="C89" s="150" t="s">
        <v>16</v>
      </c>
      <c r="D89" s="149" t="str">
        <f>VLOOKUP(B89,'[1]MASTER DATA 2025'!$C$3:$E$279,3,0)</f>
        <v>2Tahun10 Bulan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259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113"/>
      <c r="AJ89" s="151">
        <f t="shared" si="7"/>
        <v>0</v>
      </c>
      <c r="AK89" s="35">
        <f t="shared" si="8"/>
        <v>0</v>
      </c>
      <c r="AL89" s="36">
        <f t="shared" si="9"/>
        <v>0</v>
      </c>
      <c r="AM89" s="36">
        <f t="shared" si="10"/>
        <v>0</v>
      </c>
      <c r="AN89" s="36">
        <f t="shared" si="11"/>
        <v>0</v>
      </c>
      <c r="AO89" s="37">
        <f t="shared" si="12"/>
        <v>0</v>
      </c>
      <c r="AP89" s="37" t="s">
        <v>25</v>
      </c>
      <c r="AQ89" s="38">
        <v>26</v>
      </c>
      <c r="AR89" s="39">
        <f t="shared" si="13"/>
        <v>0</v>
      </c>
    </row>
    <row r="90" s="105" customFormat="1" ht="19.5" customHeight="1" spans="1:44">
      <c r="A90" s="68">
        <v>80</v>
      </c>
      <c r="B90" s="219" t="s">
        <v>121</v>
      </c>
      <c r="C90" s="150" t="s">
        <v>16</v>
      </c>
      <c r="D90" s="149" t="str">
        <f>VLOOKUP(B90,'[1]MASTER DATA 2025'!$C$3:$E$279,3,0)</f>
        <v>0Tahun5 Bulan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259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113"/>
      <c r="AJ90" s="151">
        <f t="shared" si="7"/>
        <v>0</v>
      </c>
      <c r="AK90" s="35">
        <f t="shared" si="8"/>
        <v>0</v>
      </c>
      <c r="AL90" s="36">
        <f t="shared" si="9"/>
        <v>0</v>
      </c>
      <c r="AM90" s="35">
        <f t="shared" si="10"/>
        <v>0</v>
      </c>
      <c r="AN90" s="36">
        <f t="shared" si="11"/>
        <v>0</v>
      </c>
      <c r="AO90" s="37">
        <f t="shared" si="12"/>
        <v>0</v>
      </c>
      <c r="AP90" s="37" t="s">
        <v>25</v>
      </c>
      <c r="AQ90" s="38">
        <v>26</v>
      </c>
      <c r="AR90" s="39">
        <f t="shared" si="13"/>
        <v>0</v>
      </c>
    </row>
    <row r="91" s="105" customFormat="1" ht="19.5" customHeight="1" spans="1:44">
      <c r="A91" s="68">
        <v>81</v>
      </c>
      <c r="B91" s="219" t="s">
        <v>106</v>
      </c>
      <c r="C91" s="150" t="s">
        <v>59</v>
      </c>
      <c r="D91" s="149" t="str">
        <f>VLOOKUP(B91,'[1]MASTER DATA 2025'!$C$3:$E$279,3,0)</f>
        <v>0Tahun8 Bulan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259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113"/>
      <c r="AJ91" s="151">
        <f t="shared" si="7"/>
        <v>0</v>
      </c>
      <c r="AK91" s="35">
        <f t="shared" si="8"/>
        <v>0</v>
      </c>
      <c r="AL91" s="36">
        <f t="shared" si="9"/>
        <v>0</v>
      </c>
      <c r="AM91" s="35">
        <f t="shared" si="10"/>
        <v>0</v>
      </c>
      <c r="AN91" s="36">
        <f t="shared" si="11"/>
        <v>0</v>
      </c>
      <c r="AO91" s="37">
        <f t="shared" si="12"/>
        <v>0</v>
      </c>
      <c r="AP91" s="49" t="s">
        <v>120</v>
      </c>
      <c r="AQ91" s="38">
        <v>26</v>
      </c>
      <c r="AR91" s="39">
        <f t="shared" si="13"/>
        <v>0</v>
      </c>
    </row>
    <row r="92" s="105" customFormat="1" ht="19.5" customHeight="1" spans="1:44">
      <c r="A92" s="68">
        <v>82</v>
      </c>
      <c r="B92" s="265" t="s">
        <v>107</v>
      </c>
      <c r="C92" s="150" t="s">
        <v>108</v>
      </c>
      <c r="D92" s="149" t="s">
        <v>271</v>
      </c>
      <c r="E92" s="96"/>
      <c r="F92" s="96" t="s">
        <v>13</v>
      </c>
      <c r="G92" s="96"/>
      <c r="H92" s="96"/>
      <c r="I92" s="96"/>
      <c r="J92" s="96" t="s">
        <v>13</v>
      </c>
      <c r="K92" s="96"/>
      <c r="L92" s="96"/>
      <c r="M92" s="96"/>
      <c r="N92" s="96"/>
      <c r="O92" s="96"/>
      <c r="P92" s="96"/>
      <c r="Q92" s="96"/>
      <c r="R92" s="96"/>
      <c r="S92" s="96" t="s">
        <v>13</v>
      </c>
      <c r="T92" s="259" t="s">
        <v>13</v>
      </c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113"/>
      <c r="AJ92" s="151">
        <f t="shared" si="7"/>
        <v>0</v>
      </c>
      <c r="AK92" s="47">
        <f t="shared" si="8"/>
        <v>0</v>
      </c>
      <c r="AL92" s="36">
        <f t="shared" si="9"/>
        <v>0</v>
      </c>
      <c r="AM92" s="35">
        <f t="shared" si="10"/>
        <v>4</v>
      </c>
      <c r="AN92" s="36">
        <f t="shared" si="11"/>
        <v>0</v>
      </c>
      <c r="AO92" s="48">
        <f t="shared" si="12"/>
        <v>4</v>
      </c>
      <c r="AP92" s="37" t="s">
        <v>214</v>
      </c>
      <c r="AQ92" s="38"/>
      <c r="AR92" s="39"/>
    </row>
    <row r="93" s="105" customFormat="1" ht="19.5" customHeight="1" spans="1:44">
      <c r="A93" s="68">
        <v>83</v>
      </c>
      <c r="B93" s="265" t="s">
        <v>109</v>
      </c>
      <c r="C93" s="150" t="s">
        <v>16</v>
      </c>
      <c r="D93" s="149" t="str">
        <f>VLOOKUP(B93,'[1]MASTER DATA 2025'!$C$3:$E$279,3,0)</f>
        <v>0Tahun1 Bulan</v>
      </c>
      <c r="E93" s="96"/>
      <c r="F93" s="96"/>
      <c r="G93" s="96"/>
      <c r="H93" s="96"/>
      <c r="I93" s="96"/>
      <c r="J93" s="96"/>
      <c r="K93" s="96" t="s">
        <v>13</v>
      </c>
      <c r="L93" s="96"/>
      <c r="M93" s="96"/>
      <c r="N93" s="96"/>
      <c r="O93" s="96"/>
      <c r="P93" s="96"/>
      <c r="Q93" s="96" t="s">
        <v>13</v>
      </c>
      <c r="R93" s="96"/>
      <c r="S93" s="96"/>
      <c r="T93" s="259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113"/>
      <c r="AJ93" s="151">
        <f t="shared" si="7"/>
        <v>0</v>
      </c>
      <c r="AK93" s="35">
        <f t="shared" si="8"/>
        <v>0</v>
      </c>
      <c r="AL93" s="35">
        <f t="shared" si="9"/>
        <v>0</v>
      </c>
      <c r="AM93" s="35">
        <f t="shared" si="10"/>
        <v>2</v>
      </c>
      <c r="AN93" s="36">
        <f t="shared" si="11"/>
        <v>0</v>
      </c>
      <c r="AO93" s="37">
        <f t="shared" si="12"/>
        <v>2</v>
      </c>
      <c r="AP93" s="37" t="s">
        <v>228</v>
      </c>
      <c r="AQ93" s="38"/>
      <c r="AR93" s="39"/>
    </row>
    <row r="94" s="105" customFormat="1" ht="19.5" customHeight="1" spans="1:44">
      <c r="A94" s="68">
        <v>84</v>
      </c>
      <c r="B94" s="265" t="s">
        <v>110</v>
      </c>
      <c r="C94" s="164" t="s">
        <v>111</v>
      </c>
      <c r="D94" s="149" t="s">
        <v>205</v>
      </c>
      <c r="E94" s="96"/>
      <c r="F94" s="96"/>
      <c r="G94" s="96"/>
      <c r="H94" s="96"/>
      <c r="I94" s="96"/>
      <c r="J94" s="96"/>
      <c r="K94" s="96"/>
      <c r="L94" s="112"/>
      <c r="M94" s="96"/>
      <c r="N94" s="96"/>
      <c r="O94" s="96"/>
      <c r="P94" s="96"/>
      <c r="Q94" s="96"/>
      <c r="R94" s="96"/>
      <c r="S94" s="96"/>
      <c r="T94" s="259"/>
      <c r="U94" s="96"/>
      <c r="V94" s="96"/>
      <c r="W94" s="96"/>
      <c r="X94" s="96"/>
      <c r="Y94" s="96"/>
      <c r="Z94" s="96" t="s">
        <v>12</v>
      </c>
      <c r="AA94" s="96"/>
      <c r="AB94" s="96"/>
      <c r="AC94" s="96"/>
      <c r="AD94" s="96"/>
      <c r="AE94" s="96"/>
      <c r="AF94" s="96"/>
      <c r="AG94" s="96" t="s">
        <v>12</v>
      </c>
      <c r="AH94" s="96" t="s">
        <v>12</v>
      </c>
      <c r="AI94" s="113"/>
      <c r="AJ94" s="151">
        <f t="shared" si="7"/>
        <v>0</v>
      </c>
      <c r="AK94" s="35">
        <f t="shared" si="8"/>
        <v>0</v>
      </c>
      <c r="AL94" s="36">
        <f t="shared" si="9"/>
        <v>3</v>
      </c>
      <c r="AM94" s="36">
        <f t="shared" si="10"/>
        <v>0</v>
      </c>
      <c r="AN94" s="36">
        <f t="shared" si="11"/>
        <v>0</v>
      </c>
      <c r="AO94" s="37">
        <f t="shared" si="12"/>
        <v>3</v>
      </c>
      <c r="AP94" s="37" t="s">
        <v>280</v>
      </c>
      <c r="AQ94" s="38"/>
      <c r="AR94" s="39"/>
    </row>
    <row r="95" s="105" customFormat="1" ht="19.5" customHeight="1" spans="1:44">
      <c r="A95" s="68">
        <v>85</v>
      </c>
      <c r="B95" s="249" t="s">
        <v>113</v>
      </c>
      <c r="C95" s="164" t="s">
        <v>16</v>
      </c>
      <c r="D95" s="149" t="s">
        <v>215</v>
      </c>
      <c r="E95" s="96"/>
      <c r="F95" s="96"/>
      <c r="G95" s="96"/>
      <c r="H95" s="96"/>
      <c r="I95" s="96"/>
      <c r="J95" s="96"/>
      <c r="K95" s="96"/>
      <c r="L95" s="96"/>
      <c r="M95" s="96"/>
      <c r="N95" s="96" t="s">
        <v>13</v>
      </c>
      <c r="O95" s="96"/>
      <c r="P95" s="96"/>
      <c r="Q95" s="96"/>
      <c r="R95" s="96"/>
      <c r="S95" s="96" t="s">
        <v>11</v>
      </c>
      <c r="T95" s="259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113"/>
      <c r="AJ95" s="151">
        <f t="shared" si="7"/>
        <v>0</v>
      </c>
      <c r="AK95" s="35">
        <f t="shared" si="8"/>
        <v>1</v>
      </c>
      <c r="AL95" s="35">
        <f t="shared" si="9"/>
        <v>0</v>
      </c>
      <c r="AM95" s="35">
        <f t="shared" si="10"/>
        <v>1</v>
      </c>
      <c r="AN95" s="36">
        <f t="shared" si="11"/>
        <v>0</v>
      </c>
      <c r="AO95" s="37">
        <f t="shared" si="12"/>
        <v>2</v>
      </c>
      <c r="AP95" s="37" t="s">
        <v>214</v>
      </c>
      <c r="AQ95" s="38">
        <v>26</v>
      </c>
      <c r="AR95" s="39">
        <f t="shared" ref="AR95:AR101" si="14">AO95/AQ95</f>
        <v>0.0769230769230769</v>
      </c>
    </row>
    <row r="96" s="105" customFormat="1" ht="19.5" customHeight="1" spans="1:44">
      <c r="A96" s="68">
        <v>86</v>
      </c>
      <c r="B96" s="249" t="s">
        <v>114</v>
      </c>
      <c r="C96" s="164" t="s">
        <v>16</v>
      </c>
      <c r="D96" s="149" t="s">
        <v>215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 t="s">
        <v>13</v>
      </c>
      <c r="T96" s="259"/>
      <c r="U96" s="96"/>
      <c r="V96" s="96"/>
      <c r="W96" s="96"/>
      <c r="X96" s="96" t="s">
        <v>13</v>
      </c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113"/>
      <c r="AJ96" s="151">
        <f t="shared" si="7"/>
        <v>0</v>
      </c>
      <c r="AK96" s="35">
        <f t="shared" si="8"/>
        <v>0</v>
      </c>
      <c r="AL96" s="36">
        <f t="shared" si="9"/>
        <v>0</v>
      </c>
      <c r="AM96" s="36">
        <f t="shared" si="10"/>
        <v>2</v>
      </c>
      <c r="AN96" s="36">
        <f t="shared" si="11"/>
        <v>0</v>
      </c>
      <c r="AO96" s="37">
        <f t="shared" si="12"/>
        <v>2</v>
      </c>
      <c r="AP96" s="37" t="s">
        <v>228</v>
      </c>
      <c r="AQ96" s="38">
        <v>26</v>
      </c>
      <c r="AR96" s="39">
        <f t="shared" si="14"/>
        <v>0.0769230769230769</v>
      </c>
    </row>
    <row r="97" s="105" customFormat="1" ht="19.5" customHeight="1" spans="1:44">
      <c r="A97" s="68">
        <v>87</v>
      </c>
      <c r="B97" s="249" t="s">
        <v>115</v>
      </c>
      <c r="C97" s="164" t="s">
        <v>16</v>
      </c>
      <c r="D97" s="149" t="str">
        <f>VLOOKUP(B97,'[1]MASTER DATA 2025'!$C$3:$E$279,3,0)</f>
        <v>0Tahun1 Bulan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259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113"/>
      <c r="AJ97" s="151">
        <f t="shared" si="7"/>
        <v>0</v>
      </c>
      <c r="AK97" s="35">
        <f t="shared" si="8"/>
        <v>0</v>
      </c>
      <c r="AL97" s="36">
        <f t="shared" si="9"/>
        <v>0</v>
      </c>
      <c r="AM97" s="36">
        <f t="shared" si="10"/>
        <v>0</v>
      </c>
      <c r="AN97" s="36">
        <f t="shared" si="11"/>
        <v>0</v>
      </c>
      <c r="AO97" s="37">
        <f t="shared" si="12"/>
        <v>0</v>
      </c>
      <c r="AP97" s="37" t="s">
        <v>228</v>
      </c>
      <c r="AQ97" s="38">
        <v>26</v>
      </c>
      <c r="AR97" s="39">
        <f t="shared" si="14"/>
        <v>0</v>
      </c>
    </row>
    <row r="98" s="105" customFormat="1" ht="19.5" customHeight="1" spans="1:44">
      <c r="A98" s="68">
        <v>88</v>
      </c>
      <c r="B98" s="249" t="s">
        <v>122</v>
      </c>
      <c r="C98" s="164" t="s">
        <v>20</v>
      </c>
      <c r="D98" s="149" t="str">
        <f>VLOOKUP(B98,'[1]MASTER DATA 2025'!$C$3:$E$279,3,0)</f>
        <v>0Tahun2 Bulan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259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113"/>
      <c r="AJ98" s="151">
        <f t="shared" si="7"/>
        <v>0</v>
      </c>
      <c r="AK98" s="35">
        <f t="shared" si="8"/>
        <v>0</v>
      </c>
      <c r="AL98" s="35">
        <f t="shared" si="9"/>
        <v>0</v>
      </c>
      <c r="AM98" s="47">
        <f t="shared" si="10"/>
        <v>0</v>
      </c>
      <c r="AN98" s="36">
        <f t="shared" si="11"/>
        <v>0</v>
      </c>
      <c r="AO98" s="48">
        <f t="shared" si="12"/>
        <v>0</v>
      </c>
      <c r="AP98" s="37" t="s">
        <v>228</v>
      </c>
      <c r="AQ98" s="38">
        <v>26</v>
      </c>
      <c r="AR98" s="39">
        <f t="shared" si="14"/>
        <v>0</v>
      </c>
    </row>
    <row r="99" s="105" customFormat="1" ht="19.5" customHeight="1" spans="1:44">
      <c r="A99" s="68">
        <v>89</v>
      </c>
      <c r="B99" s="265" t="s">
        <v>123</v>
      </c>
      <c r="C99" s="164" t="s">
        <v>124</v>
      </c>
      <c r="D99" s="149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259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113"/>
      <c r="AJ99" s="151">
        <f t="shared" si="7"/>
        <v>0</v>
      </c>
      <c r="AK99" s="47">
        <f t="shared" si="8"/>
        <v>0</v>
      </c>
      <c r="AL99" s="35">
        <f t="shared" si="9"/>
        <v>0</v>
      </c>
      <c r="AM99" s="35">
        <f t="shared" si="10"/>
        <v>0</v>
      </c>
      <c r="AN99" s="36">
        <f t="shared" si="11"/>
        <v>0</v>
      </c>
      <c r="AO99" s="48">
        <f t="shared" si="12"/>
        <v>0</v>
      </c>
      <c r="AP99" s="49" t="s">
        <v>125</v>
      </c>
      <c r="AQ99" s="38">
        <v>26</v>
      </c>
      <c r="AR99" s="39">
        <f t="shared" si="14"/>
        <v>0</v>
      </c>
    </row>
    <row r="100" s="105" customFormat="1" ht="19.5" customHeight="1" spans="1:44">
      <c r="A100" s="68">
        <v>90</v>
      </c>
      <c r="B100" s="265" t="s">
        <v>126</v>
      </c>
      <c r="C100" s="164" t="s">
        <v>16</v>
      </c>
      <c r="D100" s="149" t="str">
        <f>VLOOKUP(B100,'[1]MASTER DATA 2025'!$C$3:$E$279,3,0)</f>
        <v>0Tahun7 Bulan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259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113"/>
      <c r="AJ100" s="151">
        <f t="shared" si="7"/>
        <v>0</v>
      </c>
      <c r="AK100" s="35">
        <f t="shared" si="8"/>
        <v>0</v>
      </c>
      <c r="AL100" s="35">
        <f t="shared" si="9"/>
        <v>0</v>
      </c>
      <c r="AM100" s="47">
        <f t="shared" si="10"/>
        <v>0</v>
      </c>
      <c r="AN100" s="36">
        <f t="shared" si="11"/>
        <v>0</v>
      </c>
      <c r="AO100" s="37">
        <f t="shared" si="12"/>
        <v>0</v>
      </c>
      <c r="AP100" s="49">
        <v>45946</v>
      </c>
      <c r="AQ100" s="38">
        <v>26</v>
      </c>
      <c r="AR100" s="39">
        <f t="shared" si="14"/>
        <v>0</v>
      </c>
    </row>
    <row r="101" s="105" customFormat="1" ht="19.5" customHeight="1" spans="1:44">
      <c r="A101" s="68">
        <v>91</v>
      </c>
      <c r="B101" s="265" t="s">
        <v>127</v>
      </c>
      <c r="C101" s="164" t="s">
        <v>61</v>
      </c>
      <c r="D101" s="149" t="str">
        <f>VLOOKUP(B101,'[1]MASTER DATA 2025'!$C$3:$E$279,3,0)</f>
        <v>0Tahun8 Bulan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259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113"/>
      <c r="AJ101" s="151">
        <f t="shared" si="7"/>
        <v>0</v>
      </c>
      <c r="AK101" s="47">
        <f t="shared" si="8"/>
        <v>0</v>
      </c>
      <c r="AL101" s="35">
        <f t="shared" si="9"/>
        <v>0</v>
      </c>
      <c r="AM101" s="35">
        <f t="shared" si="10"/>
        <v>0</v>
      </c>
      <c r="AN101" s="36">
        <f t="shared" si="11"/>
        <v>0</v>
      </c>
      <c r="AO101" s="48">
        <f t="shared" si="12"/>
        <v>0</v>
      </c>
      <c r="AP101" s="81" t="s">
        <v>128</v>
      </c>
      <c r="AQ101" s="38">
        <v>26</v>
      </c>
      <c r="AR101" s="39">
        <f t="shared" si="14"/>
        <v>0</v>
      </c>
    </row>
    <row r="102" s="105" customFormat="1" ht="19.5" customHeight="1" spans="1:44">
      <c r="A102" s="68">
        <v>92</v>
      </c>
      <c r="B102" s="265" t="s">
        <v>129</v>
      </c>
      <c r="C102" s="164" t="s">
        <v>235</v>
      </c>
      <c r="D102" s="149" t="s">
        <v>236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259"/>
      <c r="U102" s="96" t="s">
        <v>13</v>
      </c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113"/>
      <c r="AJ102" s="151">
        <f t="shared" si="7"/>
        <v>0</v>
      </c>
      <c r="AK102" s="35">
        <f t="shared" si="8"/>
        <v>0</v>
      </c>
      <c r="AL102" s="36">
        <f t="shared" si="9"/>
        <v>0</v>
      </c>
      <c r="AM102" s="35">
        <f t="shared" si="10"/>
        <v>1</v>
      </c>
      <c r="AN102" s="36">
        <f t="shared" si="11"/>
        <v>0</v>
      </c>
      <c r="AO102" s="37">
        <f t="shared" si="12"/>
        <v>1</v>
      </c>
      <c r="AP102" s="37" t="s">
        <v>228</v>
      </c>
      <c r="AQ102" s="38"/>
      <c r="AR102" s="39"/>
    </row>
    <row r="103" s="105" customFormat="1" ht="19.5" customHeight="1" spans="1:44">
      <c r="A103" s="68">
        <v>93</v>
      </c>
      <c r="B103" s="265" t="s">
        <v>130</v>
      </c>
      <c r="C103" s="164" t="s">
        <v>131</v>
      </c>
      <c r="D103" s="149" t="str">
        <f>VLOOKUP(B103,'[1]MASTER DATA 2025'!$C$3:$E$279,3,0)</f>
        <v>3Tahun1 Bulan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259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113"/>
      <c r="AJ103" s="151">
        <f t="shared" si="7"/>
        <v>0</v>
      </c>
      <c r="AK103" s="35">
        <f t="shared" si="8"/>
        <v>0</v>
      </c>
      <c r="AL103" s="35">
        <f t="shared" si="9"/>
        <v>0</v>
      </c>
      <c r="AM103" s="35">
        <f t="shared" si="10"/>
        <v>0</v>
      </c>
      <c r="AN103" s="36">
        <f t="shared" si="11"/>
        <v>0</v>
      </c>
      <c r="AO103" s="37">
        <f t="shared" si="12"/>
        <v>0</v>
      </c>
      <c r="AP103" s="37"/>
      <c r="AQ103" s="38"/>
      <c r="AR103" s="39"/>
    </row>
    <row r="104" s="105" customFormat="1" ht="19.5" customHeight="1" spans="1:44">
      <c r="A104" s="68">
        <v>94</v>
      </c>
      <c r="B104" s="265" t="s">
        <v>132</v>
      </c>
      <c r="C104" s="164" t="s">
        <v>16</v>
      </c>
      <c r="D104" s="149" t="str">
        <f>VLOOKUP(B104,'[1]MASTER DATA 2025'!$C$3:$E$279,3,0)</f>
        <v>0Tahun1 Bulan</v>
      </c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259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113"/>
      <c r="AJ104" s="151">
        <f t="shared" si="7"/>
        <v>0</v>
      </c>
      <c r="AK104" s="35">
        <f t="shared" si="8"/>
        <v>0</v>
      </c>
      <c r="AL104" s="36">
        <f t="shared" si="9"/>
        <v>0</v>
      </c>
      <c r="AM104" s="35">
        <f t="shared" si="10"/>
        <v>0</v>
      </c>
      <c r="AN104" s="36">
        <f t="shared" si="11"/>
        <v>0</v>
      </c>
      <c r="AO104" s="37">
        <f t="shared" si="12"/>
        <v>0</v>
      </c>
      <c r="AP104" s="37" t="s">
        <v>25</v>
      </c>
      <c r="AQ104" s="38">
        <v>26</v>
      </c>
      <c r="AR104" s="39">
        <f t="shared" ref="AR104:AR109" si="15">AO104/AQ104</f>
        <v>0</v>
      </c>
    </row>
    <row r="105" s="105" customFormat="1" ht="19.5" customHeight="1" spans="1:44">
      <c r="A105" s="68">
        <v>95</v>
      </c>
      <c r="B105" s="265" t="s">
        <v>133</v>
      </c>
      <c r="C105" s="164" t="s">
        <v>16</v>
      </c>
      <c r="D105" s="149" t="s">
        <v>205</v>
      </c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259" t="s">
        <v>13</v>
      </c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113"/>
      <c r="AJ105" s="151">
        <f t="shared" si="7"/>
        <v>0</v>
      </c>
      <c r="AK105" s="35">
        <f t="shared" si="8"/>
        <v>0</v>
      </c>
      <c r="AL105" s="36">
        <f t="shared" si="9"/>
        <v>0</v>
      </c>
      <c r="AM105" s="36">
        <f t="shared" si="10"/>
        <v>1</v>
      </c>
      <c r="AN105" s="36">
        <f t="shared" si="11"/>
        <v>0</v>
      </c>
      <c r="AO105" s="37">
        <f t="shared" si="12"/>
        <v>1</v>
      </c>
      <c r="AP105" s="37" t="s">
        <v>214</v>
      </c>
      <c r="AQ105" s="38">
        <v>26</v>
      </c>
      <c r="AR105" s="39">
        <f t="shared" si="15"/>
        <v>0.0384615384615385</v>
      </c>
    </row>
    <row r="106" s="105" customFormat="1" ht="19.5" customHeight="1" spans="1:44">
      <c r="A106" s="68">
        <v>96</v>
      </c>
      <c r="B106" s="265" t="s">
        <v>134</v>
      </c>
      <c r="C106" s="164" t="s">
        <v>16</v>
      </c>
      <c r="D106" s="152" t="s">
        <v>238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259"/>
      <c r="U106" s="96"/>
      <c r="V106" s="96"/>
      <c r="W106" s="96"/>
      <c r="X106" s="96"/>
      <c r="Y106" s="96"/>
      <c r="Z106" s="96" t="s">
        <v>13</v>
      </c>
      <c r="AA106" s="96"/>
      <c r="AB106" s="96"/>
      <c r="AC106" s="96"/>
      <c r="AD106" s="96"/>
      <c r="AE106" s="96" t="s">
        <v>11</v>
      </c>
      <c r="AF106" s="96"/>
      <c r="AG106" s="96"/>
      <c r="AH106" s="96"/>
      <c r="AI106" s="113"/>
      <c r="AJ106" s="151">
        <f t="shared" si="7"/>
        <v>0</v>
      </c>
      <c r="AK106" s="35">
        <f t="shared" si="8"/>
        <v>1</v>
      </c>
      <c r="AL106" s="36">
        <f t="shared" si="9"/>
        <v>0</v>
      </c>
      <c r="AM106" s="36">
        <f t="shared" si="10"/>
        <v>1</v>
      </c>
      <c r="AN106" s="36">
        <f t="shared" si="11"/>
        <v>0</v>
      </c>
      <c r="AO106" s="37">
        <f t="shared" si="12"/>
        <v>2</v>
      </c>
      <c r="AP106" s="37" t="s">
        <v>228</v>
      </c>
      <c r="AQ106" s="38">
        <v>26</v>
      </c>
      <c r="AR106" s="39">
        <f t="shared" si="15"/>
        <v>0.0769230769230769</v>
      </c>
    </row>
    <row r="107" s="105" customFormat="1" ht="19.5" customHeight="1" spans="1:44">
      <c r="A107" s="68">
        <v>97</v>
      </c>
      <c r="B107" s="264" t="s">
        <v>135</v>
      </c>
      <c r="C107" s="164" t="s">
        <v>16</v>
      </c>
      <c r="D107" s="149" t="s">
        <v>268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259" t="s">
        <v>13</v>
      </c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113"/>
      <c r="AJ107" s="151">
        <f t="shared" si="7"/>
        <v>0</v>
      </c>
      <c r="AK107" s="47">
        <f t="shared" si="8"/>
        <v>0</v>
      </c>
      <c r="AL107" s="35">
        <f t="shared" si="9"/>
        <v>0</v>
      </c>
      <c r="AM107" s="35">
        <f t="shared" si="10"/>
        <v>1</v>
      </c>
      <c r="AN107" s="36">
        <f t="shared" si="11"/>
        <v>0</v>
      </c>
      <c r="AO107" s="48">
        <f t="shared" si="12"/>
        <v>1</v>
      </c>
      <c r="AP107" s="37" t="s">
        <v>228</v>
      </c>
      <c r="AQ107" s="38">
        <v>26</v>
      </c>
      <c r="AR107" s="39">
        <f t="shared" si="15"/>
        <v>0.0384615384615385</v>
      </c>
    </row>
    <row r="108" s="105" customFormat="1" ht="19.5" customHeight="1" spans="1:44">
      <c r="A108" s="68">
        <v>98</v>
      </c>
      <c r="B108" s="167" t="s">
        <v>137</v>
      </c>
      <c r="C108" s="164" t="s">
        <v>16</v>
      </c>
      <c r="D108" s="149" t="str">
        <f>VLOOKUP(B108,'[1]MASTER DATA 2025'!$C$3:$E$279,3,0)</f>
        <v>1Tahun7 Bulan</v>
      </c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259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113"/>
      <c r="AJ108" s="151">
        <f t="shared" si="7"/>
        <v>0</v>
      </c>
      <c r="AK108" s="35">
        <f t="shared" si="8"/>
        <v>0</v>
      </c>
      <c r="AL108" s="35">
        <f t="shared" si="9"/>
        <v>0</v>
      </c>
      <c r="AM108" s="36">
        <f t="shared" si="10"/>
        <v>0</v>
      </c>
      <c r="AN108" s="36">
        <f t="shared" si="11"/>
        <v>0</v>
      </c>
      <c r="AO108" s="37">
        <f t="shared" si="12"/>
        <v>0</v>
      </c>
      <c r="AP108" s="37" t="s">
        <v>228</v>
      </c>
      <c r="AQ108" s="38">
        <v>26</v>
      </c>
      <c r="AR108" s="39">
        <f t="shared" si="15"/>
        <v>0</v>
      </c>
    </row>
    <row r="109" s="105" customFormat="1" ht="19.5" customHeight="1" spans="1:44">
      <c r="A109" s="68">
        <v>99</v>
      </c>
      <c r="B109" s="167" t="s">
        <v>138</v>
      </c>
      <c r="C109" s="150" t="s">
        <v>101</v>
      </c>
      <c r="D109" s="149" t="str">
        <f>VLOOKUP(B109,'[1]MASTER DATA 2025'!$C$3:$E$279,3,0)</f>
        <v>1Tahun1 Bulan</v>
      </c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259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113"/>
      <c r="AJ109" s="151">
        <f t="shared" si="7"/>
        <v>0</v>
      </c>
      <c r="AK109" s="35">
        <f t="shared" si="8"/>
        <v>0</v>
      </c>
      <c r="AL109" s="36">
        <f t="shared" si="9"/>
        <v>0</v>
      </c>
      <c r="AM109" s="35">
        <f t="shared" si="10"/>
        <v>0</v>
      </c>
      <c r="AN109" s="36">
        <f t="shared" si="11"/>
        <v>0</v>
      </c>
      <c r="AO109" s="37">
        <f t="shared" si="12"/>
        <v>0</v>
      </c>
      <c r="AP109" s="37" t="s">
        <v>228</v>
      </c>
      <c r="AQ109" s="38">
        <v>26</v>
      </c>
      <c r="AR109" s="39">
        <f t="shared" si="15"/>
        <v>0</v>
      </c>
    </row>
    <row r="110" s="105" customFormat="1" ht="19.5" customHeight="1" spans="1:44">
      <c r="A110" s="68">
        <v>100</v>
      </c>
      <c r="B110" s="167" t="s">
        <v>139</v>
      </c>
      <c r="C110" s="164" t="s">
        <v>16</v>
      </c>
      <c r="D110" s="149" t="str">
        <f>VLOOKUP(B110,'[1]MASTER DATA 2025'!$C$3:$E$279,3,0)</f>
        <v>0Tahun5 Bulan</v>
      </c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259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113"/>
      <c r="AJ110" s="151">
        <f t="shared" si="7"/>
        <v>0</v>
      </c>
      <c r="AK110" s="35">
        <f t="shared" si="8"/>
        <v>0</v>
      </c>
      <c r="AL110" s="36">
        <f t="shared" si="9"/>
        <v>0</v>
      </c>
      <c r="AM110" s="35">
        <f t="shared" si="10"/>
        <v>0</v>
      </c>
      <c r="AN110" s="36">
        <f t="shared" si="11"/>
        <v>0</v>
      </c>
      <c r="AO110" s="37">
        <f t="shared" si="12"/>
        <v>0</v>
      </c>
      <c r="AP110" s="37"/>
      <c r="AQ110" s="38"/>
      <c r="AR110" s="39"/>
    </row>
    <row r="111" s="105" customFormat="1" ht="19.5" customHeight="1" spans="1:44">
      <c r="A111" s="68">
        <v>101</v>
      </c>
      <c r="B111" s="265" t="s">
        <v>140</v>
      </c>
      <c r="C111" s="164" t="s">
        <v>16</v>
      </c>
      <c r="D111" s="149" t="str">
        <f>VLOOKUP(B111,'[1]MASTER DATA 2025'!$C$3:$E$279,3,0)</f>
        <v>2Tahun2 Bulan</v>
      </c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259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113"/>
      <c r="AJ111" s="151">
        <f t="shared" si="7"/>
        <v>0</v>
      </c>
      <c r="AK111" s="35">
        <f t="shared" si="8"/>
        <v>0</v>
      </c>
      <c r="AL111" s="36">
        <f t="shared" si="9"/>
        <v>0</v>
      </c>
      <c r="AM111" s="35">
        <f t="shared" si="10"/>
        <v>0</v>
      </c>
      <c r="AN111" s="36">
        <f t="shared" si="11"/>
        <v>0</v>
      </c>
      <c r="AO111" s="37">
        <f t="shared" si="12"/>
        <v>0</v>
      </c>
      <c r="AP111" s="37" t="s">
        <v>25</v>
      </c>
      <c r="AQ111" s="38"/>
      <c r="AR111" s="39"/>
    </row>
    <row r="112" s="105" customFormat="1" ht="19.5" customHeight="1" spans="1:44">
      <c r="A112" s="68">
        <v>102</v>
      </c>
      <c r="B112" s="265" t="s">
        <v>141</v>
      </c>
      <c r="C112" s="164" t="s">
        <v>20</v>
      </c>
      <c r="D112" s="149" t="str">
        <f>VLOOKUP(B112,'[1]MASTER DATA 2025'!$C$3:$E$279,3,0)</f>
        <v>0Tahun1 Bulan</v>
      </c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259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113"/>
      <c r="AJ112" s="151">
        <f t="shared" si="7"/>
        <v>0</v>
      </c>
      <c r="AK112" s="35">
        <f t="shared" si="8"/>
        <v>0</v>
      </c>
      <c r="AL112" s="36">
        <f t="shared" si="9"/>
        <v>0</v>
      </c>
      <c r="AM112" s="35">
        <f t="shared" si="10"/>
        <v>0</v>
      </c>
      <c r="AN112" s="36">
        <f t="shared" si="11"/>
        <v>0</v>
      </c>
      <c r="AO112" s="37">
        <f t="shared" si="12"/>
        <v>0</v>
      </c>
      <c r="AP112" s="49">
        <v>45967</v>
      </c>
      <c r="AQ112" s="38">
        <v>26</v>
      </c>
      <c r="AR112" s="39">
        <f t="shared" ref="AR112:AR117" si="16">AO112/AQ112</f>
        <v>0</v>
      </c>
    </row>
    <row r="113" s="105" customFormat="1" ht="19.5" customHeight="1" spans="1:44">
      <c r="A113" s="68">
        <v>103</v>
      </c>
      <c r="B113" s="265" t="s">
        <v>142</v>
      </c>
      <c r="C113" s="164" t="s">
        <v>20</v>
      </c>
      <c r="D113" s="149" t="str">
        <f>VLOOKUP(B113,'[1]MASTER DATA 2025'!$C$3:$E$279,3,0)</f>
        <v>0Tahun2 Bulan</v>
      </c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259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113"/>
      <c r="AJ113" s="151">
        <f t="shared" si="7"/>
        <v>0</v>
      </c>
      <c r="AK113" s="35">
        <f t="shared" si="8"/>
        <v>0</v>
      </c>
      <c r="AL113" s="35">
        <f t="shared" si="9"/>
        <v>0</v>
      </c>
      <c r="AM113" s="47">
        <f t="shared" si="10"/>
        <v>0</v>
      </c>
      <c r="AN113" s="36">
        <f t="shared" si="11"/>
        <v>0</v>
      </c>
      <c r="AO113" s="37">
        <f t="shared" si="12"/>
        <v>0</v>
      </c>
      <c r="AP113" s="37" t="s">
        <v>173</v>
      </c>
      <c r="AQ113" s="38">
        <v>26</v>
      </c>
      <c r="AR113" s="39">
        <f t="shared" si="16"/>
        <v>0</v>
      </c>
    </row>
    <row r="114" s="105" customFormat="1" ht="19.5" customHeight="1" spans="1:44">
      <c r="A114" s="68">
        <v>104</v>
      </c>
      <c r="B114" s="265" t="s">
        <v>143</v>
      </c>
      <c r="C114" s="164" t="s">
        <v>61</v>
      </c>
      <c r="D114" s="149" t="str">
        <f>VLOOKUP(B114,'[1]MASTER DATA 2025'!$C$3:$E$279,3,0)</f>
        <v>0Tahun9 Bulan</v>
      </c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259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113"/>
      <c r="AJ114" s="151">
        <f t="shared" si="7"/>
        <v>0</v>
      </c>
      <c r="AK114" s="47">
        <f t="shared" si="8"/>
        <v>0</v>
      </c>
      <c r="AL114" s="35">
        <f t="shared" si="9"/>
        <v>0</v>
      </c>
      <c r="AM114" s="35">
        <f t="shared" si="10"/>
        <v>0</v>
      </c>
      <c r="AN114" s="36">
        <f t="shared" si="11"/>
        <v>0</v>
      </c>
      <c r="AO114" s="48">
        <f t="shared" si="12"/>
        <v>0</v>
      </c>
      <c r="AP114" s="37" t="s">
        <v>25</v>
      </c>
      <c r="AQ114" s="38">
        <v>26</v>
      </c>
      <c r="AR114" s="39">
        <f t="shared" si="16"/>
        <v>0</v>
      </c>
    </row>
    <row r="115" s="105" customFormat="1" ht="19.5" customHeight="1" spans="1:44">
      <c r="A115" s="68">
        <v>105</v>
      </c>
      <c r="B115" s="265" t="s">
        <v>144</v>
      </c>
      <c r="C115" s="164" t="s">
        <v>61</v>
      </c>
      <c r="D115" s="149" t="str">
        <f>VLOOKUP(B115,'[1]MASTER DATA 2025'!$C$3:$E$279,3,0)</f>
        <v>0Tahun7 Bulan</v>
      </c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259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113"/>
      <c r="AJ115" s="151">
        <f t="shared" si="7"/>
        <v>0</v>
      </c>
      <c r="AK115" s="47">
        <f t="shared" si="8"/>
        <v>0</v>
      </c>
      <c r="AL115" s="35">
        <f t="shared" si="9"/>
        <v>0</v>
      </c>
      <c r="AM115" s="35">
        <f t="shared" si="10"/>
        <v>0</v>
      </c>
      <c r="AN115" s="36">
        <f t="shared" si="11"/>
        <v>0</v>
      </c>
      <c r="AO115" s="48">
        <f t="shared" si="12"/>
        <v>0</v>
      </c>
      <c r="AP115" s="37" t="s">
        <v>25</v>
      </c>
      <c r="AQ115" s="38">
        <v>26</v>
      </c>
      <c r="AR115" s="39">
        <f t="shared" si="16"/>
        <v>0</v>
      </c>
    </row>
    <row r="116" s="105" customFormat="1" ht="19.5" customHeight="1" spans="1:44">
      <c r="A116" s="68">
        <v>106</v>
      </c>
      <c r="B116" s="265" t="s">
        <v>145</v>
      </c>
      <c r="C116" s="164" t="s">
        <v>16</v>
      </c>
      <c r="D116" s="149" t="s">
        <v>219</v>
      </c>
      <c r="E116" s="96"/>
      <c r="F116" s="96"/>
      <c r="G116" s="96"/>
      <c r="H116" s="96"/>
      <c r="I116" s="96"/>
      <c r="J116" s="96"/>
      <c r="K116" s="96"/>
      <c r="L116" s="96"/>
      <c r="M116" s="96" t="s">
        <v>13</v>
      </c>
      <c r="N116" s="96"/>
      <c r="O116" s="96"/>
      <c r="P116" s="96"/>
      <c r="Q116" s="96"/>
      <c r="R116" s="96"/>
      <c r="S116" s="96"/>
      <c r="T116" s="259"/>
      <c r="U116" s="96"/>
      <c r="V116" s="96"/>
      <c r="W116" s="96"/>
      <c r="X116" s="96" t="s">
        <v>13</v>
      </c>
      <c r="Y116" s="96"/>
      <c r="Z116" s="96"/>
      <c r="AA116" s="96"/>
      <c r="AB116" s="96"/>
      <c r="AC116" s="96"/>
      <c r="AD116" s="96"/>
      <c r="AE116" s="96"/>
      <c r="AF116" s="96"/>
      <c r="AG116" s="96"/>
      <c r="AH116" s="96" t="s">
        <v>12</v>
      </c>
      <c r="AI116" s="113"/>
      <c r="AJ116" s="151">
        <f t="shared" si="7"/>
        <v>0</v>
      </c>
      <c r="AK116" s="47">
        <f t="shared" si="8"/>
        <v>0</v>
      </c>
      <c r="AL116" s="35">
        <f t="shared" si="9"/>
        <v>1</v>
      </c>
      <c r="AM116" s="35">
        <f t="shared" si="10"/>
        <v>2</v>
      </c>
      <c r="AN116" s="36">
        <f t="shared" si="11"/>
        <v>0</v>
      </c>
      <c r="AO116" s="48">
        <f t="shared" si="12"/>
        <v>3</v>
      </c>
      <c r="AP116" s="37" t="s">
        <v>281</v>
      </c>
      <c r="AQ116" s="38">
        <v>26</v>
      </c>
      <c r="AR116" s="39">
        <f t="shared" si="16"/>
        <v>0.115384615384615</v>
      </c>
    </row>
    <row r="117" s="105" customFormat="1" ht="19.5" customHeight="1" spans="1:44">
      <c r="A117" s="68">
        <v>107</v>
      </c>
      <c r="B117" s="265" t="s">
        <v>146</v>
      </c>
      <c r="C117" s="164" t="s">
        <v>16</v>
      </c>
      <c r="D117" s="149" t="str">
        <f>VLOOKUP(B117,'[1]MASTER DATA 2025'!$C$3:$E$279,3,0)</f>
        <v>1Tahun1 Bulan</v>
      </c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259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113"/>
      <c r="AJ117" s="151">
        <f t="shared" si="7"/>
        <v>0</v>
      </c>
      <c r="AK117" s="47">
        <f t="shared" si="8"/>
        <v>0</v>
      </c>
      <c r="AL117" s="35">
        <f t="shared" si="9"/>
        <v>0</v>
      </c>
      <c r="AM117" s="35">
        <f t="shared" si="10"/>
        <v>0</v>
      </c>
      <c r="AN117" s="36">
        <f t="shared" si="11"/>
        <v>0</v>
      </c>
      <c r="AO117" s="48">
        <f t="shared" si="12"/>
        <v>0</v>
      </c>
      <c r="AP117" s="37" t="s">
        <v>228</v>
      </c>
      <c r="AQ117" s="38">
        <v>26</v>
      </c>
      <c r="AR117" s="39">
        <f t="shared" si="16"/>
        <v>0</v>
      </c>
    </row>
    <row r="118" s="105" customFormat="1" ht="19.5" customHeight="1" spans="1:44">
      <c r="A118" s="68">
        <v>108</v>
      </c>
      <c r="B118" s="265" t="s">
        <v>147</v>
      </c>
      <c r="C118" s="164" t="s">
        <v>240</v>
      </c>
      <c r="D118" s="149" t="s">
        <v>205</v>
      </c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259"/>
      <c r="U118" s="96" t="s">
        <v>13</v>
      </c>
      <c r="V118" s="96" t="s">
        <v>13</v>
      </c>
      <c r="W118" s="96"/>
      <c r="X118" s="96"/>
      <c r="Y118" s="96"/>
      <c r="Z118" s="96"/>
      <c r="AA118" s="96"/>
      <c r="AB118" s="96" t="s">
        <v>13</v>
      </c>
      <c r="AC118" s="96"/>
      <c r="AD118" s="96"/>
      <c r="AE118" s="96"/>
      <c r="AF118" s="96"/>
      <c r="AG118" s="96"/>
      <c r="AH118" s="96"/>
      <c r="AI118" s="113"/>
      <c r="AJ118" s="151">
        <f t="shared" si="7"/>
        <v>0</v>
      </c>
      <c r="AK118" s="47">
        <f t="shared" si="8"/>
        <v>0</v>
      </c>
      <c r="AL118" s="35">
        <f t="shared" si="9"/>
        <v>0</v>
      </c>
      <c r="AM118" s="35">
        <f t="shared" si="10"/>
        <v>3</v>
      </c>
      <c r="AN118" s="36">
        <f t="shared" si="11"/>
        <v>0</v>
      </c>
      <c r="AO118" s="48">
        <f t="shared" si="12"/>
        <v>3</v>
      </c>
      <c r="AP118" s="37" t="s">
        <v>228</v>
      </c>
      <c r="AQ118" s="38"/>
      <c r="AR118" s="39"/>
    </row>
    <row r="119" s="105" customFormat="1" ht="19.5" customHeight="1" spans="1:44">
      <c r="A119" s="68">
        <v>109</v>
      </c>
      <c r="B119" s="249" t="s">
        <v>148</v>
      </c>
      <c r="C119" s="164" t="s">
        <v>16</v>
      </c>
      <c r="D119" s="149" t="str">
        <f>VLOOKUP(B119,'[1]MASTER DATA 2025'!$C$3:$E$279,3,0)</f>
        <v>0Tahun1 Bulan</v>
      </c>
      <c r="E119" s="96"/>
      <c r="F119" s="96"/>
      <c r="G119" s="96"/>
      <c r="H119" s="96"/>
      <c r="I119" s="96"/>
      <c r="J119" s="96"/>
      <c r="K119" s="96" t="s">
        <v>13</v>
      </c>
      <c r="L119" s="96"/>
      <c r="M119" s="96"/>
      <c r="N119" s="96"/>
      <c r="O119" s="96"/>
      <c r="P119" s="96"/>
      <c r="Q119" s="96"/>
      <c r="R119" s="96"/>
      <c r="S119" s="96"/>
      <c r="T119" s="259"/>
      <c r="U119" s="96"/>
      <c r="V119" s="96"/>
      <c r="W119" s="96"/>
      <c r="X119" s="96"/>
      <c r="Y119" s="96"/>
      <c r="Z119" s="96"/>
      <c r="AA119" s="96"/>
      <c r="AB119" s="96"/>
      <c r="AC119" s="96" t="s">
        <v>11</v>
      </c>
      <c r="AD119" s="96"/>
      <c r="AE119" s="96"/>
      <c r="AF119" s="96"/>
      <c r="AG119" s="96"/>
      <c r="AH119" s="96"/>
      <c r="AI119" s="113"/>
      <c r="AJ119" s="151">
        <f t="shared" si="7"/>
        <v>0</v>
      </c>
      <c r="AK119" s="35">
        <f t="shared" si="8"/>
        <v>1</v>
      </c>
      <c r="AL119" s="36">
        <f t="shared" si="9"/>
        <v>0</v>
      </c>
      <c r="AM119" s="35">
        <f t="shared" si="10"/>
        <v>1</v>
      </c>
      <c r="AN119" s="36">
        <f t="shared" si="11"/>
        <v>0</v>
      </c>
      <c r="AO119" s="37">
        <f t="shared" si="12"/>
        <v>2</v>
      </c>
      <c r="AP119" s="37" t="s">
        <v>228</v>
      </c>
      <c r="AQ119" s="38"/>
      <c r="AR119" s="39"/>
    </row>
    <row r="120" s="105" customFormat="1" ht="19.5" customHeight="1" spans="1:44">
      <c r="A120" s="68">
        <v>110</v>
      </c>
      <c r="B120" s="265" t="s">
        <v>149</v>
      </c>
      <c r="C120" s="164" t="s">
        <v>16</v>
      </c>
      <c r="D120" s="152" t="s">
        <v>215</v>
      </c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259"/>
      <c r="U120" s="96"/>
      <c r="V120" s="96"/>
      <c r="W120" s="96"/>
      <c r="X120" s="96"/>
      <c r="Y120" s="96"/>
      <c r="Z120" s="96"/>
      <c r="AA120" s="96"/>
      <c r="AB120" s="96" t="s">
        <v>13</v>
      </c>
      <c r="AC120" s="96"/>
      <c r="AD120" s="96"/>
      <c r="AE120" s="96"/>
      <c r="AF120" s="96"/>
      <c r="AG120" s="96"/>
      <c r="AH120" s="96"/>
      <c r="AI120" s="113"/>
      <c r="AJ120" s="151">
        <f t="shared" si="7"/>
        <v>0</v>
      </c>
      <c r="AK120" s="35">
        <f t="shared" si="8"/>
        <v>0</v>
      </c>
      <c r="AL120" s="36">
        <f t="shared" si="9"/>
        <v>0</v>
      </c>
      <c r="AM120" s="35">
        <f t="shared" si="10"/>
        <v>1</v>
      </c>
      <c r="AN120" s="36">
        <f t="shared" si="11"/>
        <v>0</v>
      </c>
      <c r="AO120" s="37">
        <f t="shared" si="12"/>
        <v>1</v>
      </c>
      <c r="AP120" s="37" t="s">
        <v>228</v>
      </c>
      <c r="AQ120" s="38"/>
      <c r="AR120" s="39"/>
    </row>
    <row r="121" s="105" customFormat="1" ht="19.5" customHeight="1" spans="1:44">
      <c r="A121" s="68">
        <v>111</v>
      </c>
      <c r="B121" s="265" t="s">
        <v>150</v>
      </c>
      <c r="C121" s="164" t="s">
        <v>16</v>
      </c>
      <c r="D121" s="149" t="str">
        <f>VLOOKUP(B121,'[1]MASTER DATA 2025'!$C$3:$E$279,3,0)</f>
        <v>1Tahun7 Bulan</v>
      </c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259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113"/>
      <c r="AJ121" s="151">
        <f t="shared" si="7"/>
        <v>0</v>
      </c>
      <c r="AK121" s="35">
        <f t="shared" si="8"/>
        <v>0</v>
      </c>
      <c r="AL121" s="36">
        <f t="shared" si="9"/>
        <v>0</v>
      </c>
      <c r="AM121" s="35">
        <f t="shared" si="10"/>
        <v>0</v>
      </c>
      <c r="AN121" s="36">
        <f t="shared" si="11"/>
        <v>0</v>
      </c>
      <c r="AO121" s="37">
        <f t="shared" si="12"/>
        <v>0</v>
      </c>
      <c r="AP121" s="37" t="s">
        <v>25</v>
      </c>
      <c r="AQ121" s="38"/>
      <c r="AR121" s="39"/>
    </row>
    <row r="122" s="105" customFormat="1" ht="19.5" customHeight="1" spans="1:44">
      <c r="A122" s="68">
        <v>112</v>
      </c>
      <c r="B122" s="265" t="s">
        <v>151</v>
      </c>
      <c r="C122" s="164" t="s">
        <v>241</v>
      </c>
      <c r="D122" s="152" t="s">
        <v>236</v>
      </c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 t="s">
        <v>13</v>
      </c>
      <c r="Q122" s="96"/>
      <c r="R122" s="96"/>
      <c r="S122" s="96"/>
      <c r="T122" s="259"/>
      <c r="U122" s="96"/>
      <c r="V122" s="96"/>
      <c r="W122" s="96"/>
      <c r="X122" s="96"/>
      <c r="Y122" s="96"/>
      <c r="Z122" s="96"/>
      <c r="AA122" s="96"/>
      <c r="AB122" s="96" t="s">
        <v>13</v>
      </c>
      <c r="AC122" s="96"/>
      <c r="AD122" s="96"/>
      <c r="AE122" s="96"/>
      <c r="AF122" s="96"/>
      <c r="AG122" s="96"/>
      <c r="AH122" s="96"/>
      <c r="AI122" s="113"/>
      <c r="AJ122" s="151">
        <f t="shared" si="7"/>
        <v>0</v>
      </c>
      <c r="AK122" s="35">
        <f t="shared" si="8"/>
        <v>0</v>
      </c>
      <c r="AL122" s="36">
        <f t="shared" si="9"/>
        <v>0</v>
      </c>
      <c r="AM122" s="35">
        <f t="shared" si="10"/>
        <v>2</v>
      </c>
      <c r="AN122" s="36">
        <f t="shared" si="11"/>
        <v>0</v>
      </c>
      <c r="AO122" s="37">
        <f t="shared" si="12"/>
        <v>2</v>
      </c>
      <c r="AP122" s="37" t="s">
        <v>228</v>
      </c>
      <c r="AQ122" s="38"/>
      <c r="AR122" s="39"/>
    </row>
    <row r="123" s="105" customFormat="1" ht="19.5" customHeight="1" spans="1:44">
      <c r="A123" s="68">
        <v>113</v>
      </c>
      <c r="B123" s="264" t="s">
        <v>152</v>
      </c>
      <c r="C123" s="164" t="s">
        <v>20</v>
      </c>
      <c r="D123" s="152" t="s">
        <v>236</v>
      </c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 t="s">
        <v>13</v>
      </c>
      <c r="T123" s="259"/>
      <c r="U123" s="96"/>
      <c r="V123" s="96" t="s">
        <v>11</v>
      </c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113"/>
      <c r="AJ123" s="151">
        <f t="shared" si="7"/>
        <v>0</v>
      </c>
      <c r="AK123" s="47">
        <f t="shared" si="8"/>
        <v>1</v>
      </c>
      <c r="AL123" s="35">
        <f t="shared" si="9"/>
        <v>0</v>
      </c>
      <c r="AM123" s="35">
        <f t="shared" si="10"/>
        <v>1</v>
      </c>
      <c r="AN123" s="36">
        <f t="shared" si="11"/>
        <v>0</v>
      </c>
      <c r="AO123" s="48">
        <f t="shared" si="12"/>
        <v>2</v>
      </c>
      <c r="AP123" s="37" t="s">
        <v>214</v>
      </c>
      <c r="AQ123" s="38"/>
      <c r="AR123" s="39"/>
    </row>
    <row r="124" s="105" customFormat="1" ht="19.5" customHeight="1" spans="1:44">
      <c r="A124" s="68">
        <v>114</v>
      </c>
      <c r="B124" s="265" t="s">
        <v>154</v>
      </c>
      <c r="C124" s="164" t="s">
        <v>59</v>
      </c>
      <c r="D124" s="149" t="str">
        <f>VLOOKUP(B124,'[1]MASTER DATA 2025'!$C$3:$E$279,3,0)</f>
        <v>1Tahun2 Bulan</v>
      </c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259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113"/>
      <c r="AJ124" s="151">
        <f t="shared" si="7"/>
        <v>0</v>
      </c>
      <c r="AK124" s="47">
        <f t="shared" si="8"/>
        <v>0</v>
      </c>
      <c r="AL124" s="35">
        <f t="shared" si="9"/>
        <v>0</v>
      </c>
      <c r="AM124" s="35">
        <f t="shared" si="10"/>
        <v>0</v>
      </c>
      <c r="AN124" s="36">
        <f t="shared" si="11"/>
        <v>0</v>
      </c>
      <c r="AO124" s="48">
        <f t="shared" si="12"/>
        <v>0</v>
      </c>
      <c r="AP124" s="37" t="s">
        <v>25</v>
      </c>
      <c r="AQ124" s="38">
        <v>26</v>
      </c>
      <c r="AR124" s="39">
        <f>AO124/AQ124</f>
        <v>0</v>
      </c>
    </row>
    <row r="125" s="105" customFormat="1" ht="19.5" customHeight="1" spans="1:44">
      <c r="A125" s="68">
        <v>115</v>
      </c>
      <c r="B125" s="265" t="s">
        <v>155</v>
      </c>
      <c r="C125" s="164" t="s">
        <v>59</v>
      </c>
      <c r="D125" s="149" t="str">
        <f>VLOOKUP(B125,'[1]MASTER DATA 2025'!$C$3:$E$279,3,0)</f>
        <v>0Tahun1 Bulan</v>
      </c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259"/>
      <c r="U125" s="96"/>
      <c r="V125" s="96"/>
      <c r="W125" s="96"/>
      <c r="X125" s="96" t="s">
        <v>13</v>
      </c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113"/>
      <c r="AJ125" s="151">
        <f t="shared" si="7"/>
        <v>0</v>
      </c>
      <c r="AK125" s="35">
        <f t="shared" si="8"/>
        <v>0</v>
      </c>
      <c r="AL125" s="35">
        <f t="shared" si="9"/>
        <v>0</v>
      </c>
      <c r="AM125" s="35">
        <f t="shared" si="10"/>
        <v>1</v>
      </c>
      <c r="AN125" s="36">
        <f t="shared" si="11"/>
        <v>0</v>
      </c>
      <c r="AO125" s="37">
        <f t="shared" si="12"/>
        <v>1</v>
      </c>
      <c r="AP125" s="37" t="s">
        <v>228</v>
      </c>
      <c r="AQ125" s="38"/>
      <c r="AR125" s="39"/>
    </row>
    <row r="126" s="105" customFormat="1" ht="19.5" customHeight="1" spans="1:44">
      <c r="A126" s="68">
        <v>116</v>
      </c>
      <c r="B126" s="265" t="s">
        <v>157</v>
      </c>
      <c r="C126" s="164" t="s">
        <v>61</v>
      </c>
      <c r="D126" s="149" t="str">
        <f>VLOOKUP(B126,'[1]MASTER DATA 2025'!$C$3:$E$279,3,0)</f>
        <v>0Tahun1 Bulan</v>
      </c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259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113"/>
      <c r="AJ126" s="151">
        <f t="shared" si="7"/>
        <v>0</v>
      </c>
      <c r="AK126" s="35">
        <f t="shared" si="8"/>
        <v>0</v>
      </c>
      <c r="AL126" s="35">
        <f t="shared" si="9"/>
        <v>0</v>
      </c>
      <c r="AM126" s="35">
        <f t="shared" si="10"/>
        <v>0</v>
      </c>
      <c r="AN126" s="36">
        <f t="shared" si="11"/>
        <v>0</v>
      </c>
      <c r="AO126" s="37">
        <f t="shared" si="12"/>
        <v>0</v>
      </c>
      <c r="AP126" s="37" t="s">
        <v>228</v>
      </c>
      <c r="AQ126" s="38"/>
      <c r="AR126" s="39"/>
    </row>
    <row r="127" s="105" customFormat="1" ht="19.5" customHeight="1" spans="1:44">
      <c r="A127" s="68">
        <v>117</v>
      </c>
      <c r="B127" s="265" t="s">
        <v>158</v>
      </c>
      <c r="C127" s="164" t="s">
        <v>20</v>
      </c>
      <c r="D127" s="149" t="str">
        <f>VLOOKUP(B127,'[1]MASTER DATA 2025'!$C$3:$E$279,3,0)</f>
        <v>0Tahun1 Bulan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259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113"/>
      <c r="AJ127" s="151">
        <f t="shared" si="7"/>
        <v>0</v>
      </c>
      <c r="AK127" s="35">
        <f t="shared" si="8"/>
        <v>0</v>
      </c>
      <c r="AL127" s="36">
        <f t="shared" si="9"/>
        <v>0</v>
      </c>
      <c r="AM127" s="35">
        <f t="shared" si="10"/>
        <v>0</v>
      </c>
      <c r="AN127" s="36">
        <f t="shared" si="11"/>
        <v>0</v>
      </c>
      <c r="AO127" s="37">
        <f t="shared" si="12"/>
        <v>0</v>
      </c>
      <c r="AP127" s="37" t="s">
        <v>228</v>
      </c>
      <c r="AQ127" s="38"/>
      <c r="AR127" s="39"/>
    </row>
    <row r="128" s="105" customFormat="1" ht="19.5" customHeight="1" spans="1:44">
      <c r="A128" s="68">
        <v>118</v>
      </c>
      <c r="B128" s="265" t="s">
        <v>159</v>
      </c>
      <c r="C128" s="164" t="s">
        <v>59</v>
      </c>
      <c r="D128" s="152" t="s">
        <v>215</v>
      </c>
      <c r="E128" s="96"/>
      <c r="F128" s="96"/>
      <c r="G128" s="96"/>
      <c r="H128" s="96"/>
      <c r="I128" s="96"/>
      <c r="J128" s="96"/>
      <c r="K128" s="96" t="s">
        <v>13</v>
      </c>
      <c r="L128" s="96"/>
      <c r="M128" s="96"/>
      <c r="N128" s="96"/>
      <c r="O128" s="96"/>
      <c r="P128" s="96"/>
      <c r="Q128" s="96"/>
      <c r="R128" s="96"/>
      <c r="S128" s="96"/>
      <c r="T128" s="259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113"/>
      <c r="AJ128" s="151">
        <f t="shared" si="7"/>
        <v>0</v>
      </c>
      <c r="AK128" s="35">
        <f t="shared" si="8"/>
        <v>0</v>
      </c>
      <c r="AL128" s="36">
        <f t="shared" si="9"/>
        <v>0</v>
      </c>
      <c r="AM128" s="35">
        <f t="shared" si="10"/>
        <v>1</v>
      </c>
      <c r="AN128" s="36">
        <f t="shared" si="11"/>
        <v>0</v>
      </c>
      <c r="AO128" s="37">
        <f t="shared" si="12"/>
        <v>1</v>
      </c>
      <c r="AP128" s="37" t="s">
        <v>228</v>
      </c>
      <c r="AQ128" s="38"/>
      <c r="AR128" s="39"/>
    </row>
    <row r="129" s="105" customFormat="1" ht="19.5" customHeight="1" spans="1:44">
      <c r="A129" s="68">
        <v>119</v>
      </c>
      <c r="B129" s="265" t="s">
        <v>160</v>
      </c>
      <c r="C129" s="164" t="s">
        <v>20</v>
      </c>
      <c r="D129" s="149" t="str">
        <f>VLOOKUP(B129,'[1]MASTER DATA 2025'!$C$3:$E$279,3,0)</f>
        <v>0Tahun1 Bulan</v>
      </c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259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113"/>
      <c r="AJ129" s="151">
        <f t="shared" si="7"/>
        <v>0</v>
      </c>
      <c r="AK129" s="47">
        <f t="shared" si="8"/>
        <v>0</v>
      </c>
      <c r="AL129" s="35">
        <f t="shared" si="9"/>
        <v>0</v>
      </c>
      <c r="AM129" s="35">
        <f t="shared" si="10"/>
        <v>0</v>
      </c>
      <c r="AN129" s="36">
        <f t="shared" si="11"/>
        <v>0</v>
      </c>
      <c r="AO129" s="48">
        <f t="shared" si="12"/>
        <v>0</v>
      </c>
      <c r="AP129" s="37" t="s">
        <v>25</v>
      </c>
      <c r="AQ129" s="38"/>
      <c r="AR129" s="39"/>
    </row>
    <row r="130" s="105" customFormat="1" ht="19.5" customHeight="1" spans="1:44">
      <c r="A130" s="68">
        <v>120</v>
      </c>
      <c r="B130" s="265" t="s">
        <v>161</v>
      </c>
      <c r="C130" s="164" t="s">
        <v>20</v>
      </c>
      <c r="D130" s="149" t="str">
        <f>VLOOKUP(B130,'[1]MASTER DATA 2025'!$C$3:$E$279,3,0)</f>
        <v>1Tahun2 Bulan</v>
      </c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259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113"/>
      <c r="AJ130" s="151">
        <f t="shared" si="7"/>
        <v>0</v>
      </c>
      <c r="AK130" s="35">
        <f t="shared" si="8"/>
        <v>0</v>
      </c>
      <c r="AL130" s="35">
        <f t="shared" si="9"/>
        <v>0</v>
      </c>
      <c r="AM130" s="47">
        <f t="shared" si="10"/>
        <v>0</v>
      </c>
      <c r="AN130" s="36">
        <f t="shared" si="11"/>
        <v>0</v>
      </c>
      <c r="AO130" s="48">
        <f t="shared" si="12"/>
        <v>0</v>
      </c>
      <c r="AP130" s="37" t="s">
        <v>175</v>
      </c>
      <c r="AQ130" s="38"/>
      <c r="AR130" s="39"/>
    </row>
    <row r="131" s="105" customFormat="1" ht="19.5" customHeight="1" spans="1:44">
      <c r="A131" s="68">
        <v>121</v>
      </c>
      <c r="B131" s="265" t="s">
        <v>162</v>
      </c>
      <c r="C131" s="164" t="s">
        <v>20</v>
      </c>
      <c r="D131" s="149" t="s">
        <v>163</v>
      </c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 t="s">
        <v>11</v>
      </c>
      <c r="Q131" s="96" t="s">
        <v>11</v>
      </c>
      <c r="R131" s="96"/>
      <c r="S131" s="96"/>
      <c r="T131" s="259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113"/>
      <c r="AJ131" s="151">
        <f t="shared" si="7"/>
        <v>0</v>
      </c>
      <c r="AK131" s="35">
        <f t="shared" si="8"/>
        <v>2</v>
      </c>
      <c r="AL131" s="35">
        <f t="shared" si="9"/>
        <v>0</v>
      </c>
      <c r="AM131" s="47">
        <f t="shared" si="10"/>
        <v>0</v>
      </c>
      <c r="AN131" s="36"/>
      <c r="AO131" s="37">
        <f t="shared" si="12"/>
        <v>2</v>
      </c>
      <c r="AP131" s="38" t="s">
        <v>207</v>
      </c>
      <c r="AQ131" s="38"/>
      <c r="AR131" s="39"/>
    </row>
    <row r="132" s="105" customFormat="1" ht="19.5" customHeight="1" spans="1:44">
      <c r="A132" s="68">
        <v>122</v>
      </c>
      <c r="B132" s="265" t="s">
        <v>164</v>
      </c>
      <c r="C132" s="164" t="s">
        <v>101</v>
      </c>
      <c r="D132" s="149" t="str">
        <f>VLOOKUP(B132,'[1]MASTER DATA 2025'!$C$3:$E$279,3,0)</f>
        <v>2Tahun0 Bulan</v>
      </c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259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113"/>
      <c r="AJ132" s="151">
        <f t="shared" si="7"/>
        <v>0</v>
      </c>
      <c r="AK132" s="35">
        <f t="shared" si="8"/>
        <v>0</v>
      </c>
      <c r="AL132" s="35">
        <f t="shared" si="9"/>
        <v>0</v>
      </c>
      <c r="AM132" s="47">
        <f t="shared" si="10"/>
        <v>0</v>
      </c>
      <c r="AN132" s="36">
        <f t="shared" ref="AN132:AN161" si="17">COUNTIF(E132:AH132,"OFF")</f>
        <v>0</v>
      </c>
      <c r="AO132" s="48">
        <f t="shared" si="12"/>
        <v>0</v>
      </c>
      <c r="AP132" s="37" t="s">
        <v>25</v>
      </c>
      <c r="AQ132" s="38"/>
      <c r="AR132" s="39"/>
    </row>
    <row r="133" s="105" customFormat="1" ht="19.5" customHeight="1" spans="1:44">
      <c r="A133" s="68">
        <v>123</v>
      </c>
      <c r="B133" s="265" t="s">
        <v>176</v>
      </c>
      <c r="C133" s="164" t="s">
        <v>20</v>
      </c>
      <c r="D133" s="149" t="str">
        <f>VLOOKUP(B133,'[1]MASTER DATA 2025'!$C$3:$E$279,3,0)</f>
        <v>0Tahun2 Bulan</v>
      </c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259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113"/>
      <c r="AJ133" s="151">
        <f t="shared" si="7"/>
        <v>0</v>
      </c>
      <c r="AK133" s="35">
        <f t="shared" si="8"/>
        <v>0</v>
      </c>
      <c r="AL133" s="35">
        <f t="shared" si="9"/>
        <v>0</v>
      </c>
      <c r="AM133" s="47">
        <f t="shared" si="10"/>
        <v>0</v>
      </c>
      <c r="AN133" s="36">
        <f t="shared" si="17"/>
        <v>0</v>
      </c>
      <c r="AO133" s="48">
        <f t="shared" si="12"/>
        <v>0</v>
      </c>
      <c r="AP133" s="37"/>
      <c r="AQ133" s="38"/>
      <c r="AR133" s="39"/>
    </row>
    <row r="134" s="105" customFormat="1" ht="19.5" customHeight="1" spans="1:44">
      <c r="A134" s="68">
        <v>124</v>
      </c>
      <c r="B134" s="268" t="s">
        <v>177</v>
      </c>
      <c r="C134" s="164" t="s">
        <v>16</v>
      </c>
      <c r="D134" s="149" t="s">
        <v>178</v>
      </c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259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113"/>
      <c r="AJ134" s="151">
        <f t="shared" si="7"/>
        <v>0</v>
      </c>
      <c r="AK134" s="35">
        <f t="shared" si="8"/>
        <v>0</v>
      </c>
      <c r="AL134" s="36">
        <f t="shared" si="9"/>
        <v>0</v>
      </c>
      <c r="AM134" s="35">
        <f t="shared" si="10"/>
        <v>0</v>
      </c>
      <c r="AN134" s="36">
        <f t="shared" si="17"/>
        <v>0</v>
      </c>
      <c r="AO134" s="37">
        <f t="shared" si="12"/>
        <v>0</v>
      </c>
      <c r="AP134" s="37" t="s">
        <v>25</v>
      </c>
      <c r="AQ134" s="38"/>
      <c r="AR134" s="39"/>
    </row>
    <row r="135" s="105" customFormat="1" ht="19.5" customHeight="1" spans="1:44">
      <c r="A135" s="68">
        <v>125</v>
      </c>
      <c r="B135" s="268" t="s">
        <v>179</v>
      </c>
      <c r="C135" s="164" t="s">
        <v>16</v>
      </c>
      <c r="D135" s="149" t="s">
        <v>112</v>
      </c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259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113"/>
      <c r="AJ135" s="151">
        <f t="shared" si="7"/>
        <v>0</v>
      </c>
      <c r="AK135" s="35">
        <f t="shared" si="8"/>
        <v>0</v>
      </c>
      <c r="AL135" s="35">
        <f t="shared" si="9"/>
        <v>0</v>
      </c>
      <c r="AM135" s="47">
        <f t="shared" si="10"/>
        <v>0</v>
      </c>
      <c r="AN135" s="36">
        <f t="shared" si="17"/>
        <v>0</v>
      </c>
      <c r="AO135" s="48">
        <f t="shared" si="12"/>
        <v>0</v>
      </c>
      <c r="AP135" s="37" t="s">
        <v>25</v>
      </c>
      <c r="AQ135" s="38"/>
      <c r="AR135" s="39"/>
    </row>
    <row r="136" s="105" customFormat="1" ht="19.5" customHeight="1" spans="1:44">
      <c r="A136" s="68">
        <v>126</v>
      </c>
      <c r="B136" s="268" t="s">
        <v>158</v>
      </c>
      <c r="C136" s="164" t="s">
        <v>20</v>
      </c>
      <c r="D136" s="149" t="s">
        <v>180</v>
      </c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259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113"/>
      <c r="AJ136" s="151">
        <f t="shared" si="7"/>
        <v>0</v>
      </c>
      <c r="AK136" s="35">
        <f t="shared" si="8"/>
        <v>0</v>
      </c>
      <c r="AL136" s="35">
        <f t="shared" si="9"/>
        <v>0</v>
      </c>
      <c r="AM136" s="47">
        <f t="shared" si="10"/>
        <v>0</v>
      </c>
      <c r="AN136" s="36">
        <f t="shared" si="17"/>
        <v>0</v>
      </c>
      <c r="AO136" s="48">
        <f t="shared" si="12"/>
        <v>0</v>
      </c>
      <c r="AP136" s="37" t="s">
        <v>25</v>
      </c>
      <c r="AQ136" s="38"/>
      <c r="AR136" s="39"/>
    </row>
    <row r="137" s="105" customFormat="1" ht="19.5" customHeight="1" spans="1:44">
      <c r="A137" s="68">
        <v>127</v>
      </c>
      <c r="B137" s="269" t="s">
        <v>181</v>
      </c>
      <c r="C137" s="165" t="s">
        <v>59</v>
      </c>
      <c r="D137" s="152" t="s">
        <v>136</v>
      </c>
      <c r="E137" s="96"/>
      <c r="F137" s="96"/>
      <c r="G137" s="96"/>
      <c r="H137" s="96"/>
      <c r="I137" s="96"/>
      <c r="J137" s="96"/>
      <c r="K137" s="96" t="s">
        <v>13</v>
      </c>
      <c r="L137" s="96"/>
      <c r="M137" s="96"/>
      <c r="N137" s="96"/>
      <c r="O137" s="96"/>
      <c r="P137" s="96"/>
      <c r="Q137" s="96"/>
      <c r="R137" s="96"/>
      <c r="S137" s="96"/>
      <c r="T137" s="259"/>
      <c r="U137" s="96"/>
      <c r="V137" s="96"/>
      <c r="W137" s="96" t="s">
        <v>13</v>
      </c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113"/>
      <c r="AJ137" s="151">
        <f t="shared" si="7"/>
        <v>0</v>
      </c>
      <c r="AK137" s="35">
        <f t="shared" si="8"/>
        <v>0</v>
      </c>
      <c r="AL137" s="36">
        <f t="shared" si="9"/>
        <v>0</v>
      </c>
      <c r="AM137" s="35">
        <f t="shared" si="10"/>
        <v>2</v>
      </c>
      <c r="AN137" s="36">
        <f t="shared" si="17"/>
        <v>0</v>
      </c>
      <c r="AO137" s="37">
        <f t="shared" si="12"/>
        <v>2</v>
      </c>
      <c r="AP137" s="37" t="s">
        <v>228</v>
      </c>
      <c r="AQ137" s="38"/>
      <c r="AR137" s="39"/>
    </row>
    <row r="138" s="105" customFormat="1" ht="19.5" customHeight="1" spans="1:44">
      <c r="A138" s="68">
        <v>128</v>
      </c>
      <c r="B138" s="249" t="s">
        <v>182</v>
      </c>
      <c r="C138" s="166" t="s">
        <v>59</v>
      </c>
      <c r="D138" s="152" t="s">
        <v>178</v>
      </c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259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113"/>
      <c r="AJ138" s="151">
        <f t="shared" si="7"/>
        <v>0</v>
      </c>
      <c r="AK138" s="35">
        <f t="shared" si="8"/>
        <v>0</v>
      </c>
      <c r="AL138" s="36">
        <f t="shared" si="9"/>
        <v>0</v>
      </c>
      <c r="AM138" s="35">
        <f t="shared" si="10"/>
        <v>0</v>
      </c>
      <c r="AN138" s="36">
        <f t="shared" si="17"/>
        <v>0</v>
      </c>
      <c r="AO138" s="37">
        <f t="shared" si="12"/>
        <v>0</v>
      </c>
      <c r="AP138" s="37" t="s">
        <v>25</v>
      </c>
      <c r="AQ138" s="38"/>
      <c r="AR138" s="39"/>
    </row>
    <row r="139" s="105" customFormat="1" ht="19.5" customHeight="1" spans="1:44">
      <c r="A139" s="68">
        <v>129</v>
      </c>
      <c r="B139" s="249" t="s">
        <v>183</v>
      </c>
      <c r="C139" s="166" t="s">
        <v>16</v>
      </c>
      <c r="D139" s="152" t="str">
        <f>VLOOKUP(B139,'[1]MASTER DATA 2025'!$C$3:$E$279,3,0)</f>
        <v>0Tahun1 Bulan</v>
      </c>
      <c r="E139" s="96"/>
      <c r="F139" s="96"/>
      <c r="G139" s="96"/>
      <c r="H139" s="96"/>
      <c r="I139" s="96"/>
      <c r="J139" s="96"/>
      <c r="K139" s="96" t="s">
        <v>11</v>
      </c>
      <c r="L139" s="96"/>
      <c r="M139" s="96" t="s">
        <v>11</v>
      </c>
      <c r="N139" s="96" t="s">
        <v>11</v>
      </c>
      <c r="O139" s="96"/>
      <c r="P139" s="96"/>
      <c r="Q139" s="96"/>
      <c r="R139" s="96"/>
      <c r="S139" s="96"/>
      <c r="T139" s="259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113"/>
      <c r="AJ139" s="151">
        <f t="shared" si="7"/>
        <v>0</v>
      </c>
      <c r="AK139" s="35">
        <f t="shared" si="8"/>
        <v>3</v>
      </c>
      <c r="AL139" s="36">
        <f t="shared" si="9"/>
        <v>0</v>
      </c>
      <c r="AM139" s="35">
        <f t="shared" si="10"/>
        <v>0</v>
      </c>
      <c r="AN139" s="36">
        <f t="shared" si="17"/>
        <v>0</v>
      </c>
      <c r="AO139" s="37">
        <f t="shared" si="12"/>
        <v>3</v>
      </c>
      <c r="AP139" s="37" t="s">
        <v>246</v>
      </c>
      <c r="AQ139" s="38"/>
      <c r="AR139" s="39"/>
    </row>
    <row r="140" s="105" customFormat="1" ht="19.5" customHeight="1" spans="1:44">
      <c r="A140" s="68">
        <v>130</v>
      </c>
      <c r="B140" s="249" t="s">
        <v>184</v>
      </c>
      <c r="C140" s="166" t="s">
        <v>16</v>
      </c>
      <c r="D140" s="152" t="s">
        <v>180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 t="s">
        <v>13</v>
      </c>
      <c r="T140" s="259"/>
      <c r="U140" s="96"/>
      <c r="V140" s="96"/>
      <c r="W140" s="96"/>
      <c r="X140" s="96"/>
      <c r="Y140" s="96" t="s">
        <v>13</v>
      </c>
      <c r="Z140" s="96"/>
      <c r="AA140" s="96"/>
      <c r="AB140" s="96" t="s">
        <v>13</v>
      </c>
      <c r="AC140" s="96" t="s">
        <v>11</v>
      </c>
      <c r="AD140" s="96"/>
      <c r="AE140" s="96"/>
      <c r="AF140" s="96"/>
      <c r="AG140" s="96"/>
      <c r="AH140" s="96"/>
      <c r="AI140" s="113"/>
      <c r="AJ140" s="151">
        <f t="shared" ref="AJ140:AJ148" si="18">COUNTIF(E140:AH140,"H")</f>
        <v>0</v>
      </c>
      <c r="AK140" s="35">
        <f t="shared" ref="AK140:AK161" si="19">COUNTIF(E140:AH140,"S")</f>
        <v>1</v>
      </c>
      <c r="AL140" s="36">
        <f t="shared" ref="AL140:AL161" si="20">COUNTIF(E140:AH140,"I")</f>
        <v>0</v>
      </c>
      <c r="AM140" s="35">
        <f t="shared" ref="AM140:AM161" si="21">COUNTIF(E140:AH140,"A")</f>
        <v>3</v>
      </c>
      <c r="AN140" s="36">
        <f t="shared" si="17"/>
        <v>0</v>
      </c>
      <c r="AO140" s="37">
        <f t="shared" ref="AO140:AO161" si="22">SUM(AJ140:AM140)</f>
        <v>4</v>
      </c>
      <c r="AP140" s="37" t="s">
        <v>228</v>
      </c>
      <c r="AQ140" s="38"/>
      <c r="AR140" s="39"/>
    </row>
    <row r="141" s="105" customFormat="1" ht="19.5" customHeight="1" spans="1:44">
      <c r="A141" s="68">
        <v>131</v>
      </c>
      <c r="B141" s="249" t="s">
        <v>185</v>
      </c>
      <c r="C141" s="166" t="s">
        <v>16</v>
      </c>
      <c r="D141" s="152" t="s">
        <v>112</v>
      </c>
      <c r="E141" s="96"/>
      <c r="F141" s="96"/>
      <c r="G141" s="96"/>
      <c r="H141" s="96"/>
      <c r="I141" s="96"/>
      <c r="J141" s="96"/>
      <c r="K141" s="96"/>
      <c r="L141" s="96" t="s">
        <v>13</v>
      </c>
      <c r="M141" s="96"/>
      <c r="N141" s="96"/>
      <c r="O141" s="96"/>
      <c r="P141" s="96"/>
      <c r="Q141" s="96"/>
      <c r="R141" s="96"/>
      <c r="S141" s="96"/>
      <c r="T141" s="259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113"/>
      <c r="AJ141" s="151">
        <f t="shared" si="18"/>
        <v>0</v>
      </c>
      <c r="AK141" s="35">
        <f t="shared" si="19"/>
        <v>0</v>
      </c>
      <c r="AL141" s="36">
        <f t="shared" si="20"/>
        <v>0</v>
      </c>
      <c r="AM141" s="35">
        <f t="shared" si="21"/>
        <v>1</v>
      </c>
      <c r="AN141" s="36">
        <f t="shared" si="17"/>
        <v>0</v>
      </c>
      <c r="AO141" s="37">
        <f t="shared" si="22"/>
        <v>1</v>
      </c>
      <c r="AP141" s="37" t="s">
        <v>228</v>
      </c>
      <c r="AQ141" s="38"/>
      <c r="AR141" s="39"/>
    </row>
    <row r="142" s="105" customFormat="1" ht="19.5" customHeight="1" spans="1:44">
      <c r="A142" s="68">
        <v>132</v>
      </c>
      <c r="B142" s="249" t="s">
        <v>186</v>
      </c>
      <c r="C142" s="166" t="s">
        <v>245</v>
      </c>
      <c r="D142" s="149" t="s">
        <v>112</v>
      </c>
      <c r="E142" s="96"/>
      <c r="F142" s="96" t="s">
        <v>11</v>
      </c>
      <c r="G142" s="96" t="s">
        <v>11</v>
      </c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259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113"/>
      <c r="AJ142" s="151">
        <f t="shared" si="18"/>
        <v>0</v>
      </c>
      <c r="AK142" s="35">
        <f t="shared" si="19"/>
        <v>2</v>
      </c>
      <c r="AL142" s="36">
        <f t="shared" si="20"/>
        <v>0</v>
      </c>
      <c r="AM142" s="35">
        <f t="shared" si="21"/>
        <v>0</v>
      </c>
      <c r="AN142" s="36">
        <f t="shared" si="17"/>
        <v>0</v>
      </c>
      <c r="AO142" s="37">
        <f t="shared" si="22"/>
        <v>2</v>
      </c>
      <c r="AP142" s="37" t="s">
        <v>216</v>
      </c>
      <c r="AQ142" s="38"/>
      <c r="AR142" s="39"/>
    </row>
    <row r="143" s="105" customFormat="1" ht="19.5" customHeight="1" spans="1:44">
      <c r="A143" s="68">
        <v>133</v>
      </c>
      <c r="B143" s="249" t="s">
        <v>187</v>
      </c>
      <c r="C143" s="166" t="s">
        <v>16</v>
      </c>
      <c r="D143" s="152" t="str">
        <f>VLOOKUP(B143,'[1]MASTER DATA 2025'!$C$3:$E$279,3,0)</f>
        <v>0Tahun1 Bulan</v>
      </c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259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113"/>
      <c r="AJ143" s="151">
        <f t="shared" si="18"/>
        <v>0</v>
      </c>
      <c r="AK143" s="35">
        <f t="shared" si="19"/>
        <v>0</v>
      </c>
      <c r="AL143" s="36">
        <f t="shared" si="20"/>
        <v>0</v>
      </c>
      <c r="AM143" s="35">
        <f t="shared" si="21"/>
        <v>0</v>
      </c>
      <c r="AN143" s="36">
        <f t="shared" si="17"/>
        <v>0</v>
      </c>
      <c r="AO143" s="37">
        <f t="shared" si="22"/>
        <v>0</v>
      </c>
      <c r="AP143" s="37" t="s">
        <v>246</v>
      </c>
      <c r="AQ143" s="38"/>
      <c r="AR143" s="39"/>
    </row>
    <row r="144" s="105" customFormat="1" ht="19.5" customHeight="1" spans="1:44">
      <c r="A144" s="68">
        <v>134</v>
      </c>
      <c r="B144" s="249" t="s">
        <v>188</v>
      </c>
      <c r="C144" s="166" t="s">
        <v>16</v>
      </c>
      <c r="D144" s="152" t="str">
        <f>VLOOKUP(B144,'[1]MASTER DATA 2025'!$C$3:$E$279,3,0)</f>
        <v>1Tahun5 Bulan</v>
      </c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259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113"/>
      <c r="AJ144" s="151">
        <f t="shared" si="18"/>
        <v>0</v>
      </c>
      <c r="AK144" s="35">
        <f t="shared" si="19"/>
        <v>0</v>
      </c>
      <c r="AL144" s="36">
        <f t="shared" si="20"/>
        <v>0</v>
      </c>
      <c r="AM144" s="35">
        <f t="shared" si="21"/>
        <v>0</v>
      </c>
      <c r="AN144" s="36">
        <f t="shared" si="17"/>
        <v>0</v>
      </c>
      <c r="AO144" s="37">
        <f t="shared" si="22"/>
        <v>0</v>
      </c>
      <c r="AP144" s="37"/>
      <c r="AQ144" s="38"/>
      <c r="AR144" s="39"/>
    </row>
    <row r="145" s="105" customFormat="1" ht="19.5" customHeight="1" spans="1:44">
      <c r="A145" s="68">
        <v>135</v>
      </c>
      <c r="B145" s="249" t="s">
        <v>189</v>
      </c>
      <c r="C145" s="166" t="s">
        <v>16</v>
      </c>
      <c r="D145" s="152" t="s">
        <v>178</v>
      </c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259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113"/>
      <c r="AJ145" s="151">
        <f t="shared" si="18"/>
        <v>0</v>
      </c>
      <c r="AK145" s="35">
        <f t="shared" si="19"/>
        <v>0</v>
      </c>
      <c r="AL145" s="36">
        <f t="shared" si="20"/>
        <v>0</v>
      </c>
      <c r="AM145" s="35">
        <f t="shared" si="21"/>
        <v>0</v>
      </c>
      <c r="AN145" s="36">
        <f t="shared" si="17"/>
        <v>0</v>
      </c>
      <c r="AO145" s="37">
        <f t="shared" si="22"/>
        <v>0</v>
      </c>
      <c r="AP145" s="37" t="s">
        <v>25</v>
      </c>
      <c r="AQ145" s="38"/>
      <c r="AR145" s="39"/>
    </row>
    <row r="146" s="105" customFormat="1" ht="19.5" customHeight="1" spans="1:44">
      <c r="A146" s="68">
        <v>136</v>
      </c>
      <c r="B146" s="265" t="s">
        <v>190</v>
      </c>
      <c r="C146" s="166" t="s">
        <v>16</v>
      </c>
      <c r="D146" s="152" t="s">
        <v>180</v>
      </c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259" t="s">
        <v>13</v>
      </c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113"/>
      <c r="AJ146" s="151">
        <f t="shared" si="18"/>
        <v>0</v>
      </c>
      <c r="AK146" s="35">
        <f t="shared" si="19"/>
        <v>0</v>
      </c>
      <c r="AL146" s="36">
        <f t="shared" si="20"/>
        <v>0</v>
      </c>
      <c r="AM146" s="35">
        <f t="shared" si="21"/>
        <v>1</v>
      </c>
      <c r="AN146" s="36">
        <f t="shared" si="17"/>
        <v>0</v>
      </c>
      <c r="AO146" s="37">
        <f t="shared" si="22"/>
        <v>1</v>
      </c>
      <c r="AP146" s="37" t="s">
        <v>214</v>
      </c>
      <c r="AQ146" s="38"/>
      <c r="AR146" s="39"/>
    </row>
    <row r="147" s="105" customFormat="1" ht="19.5" customHeight="1" spans="1:44">
      <c r="A147" s="68">
        <v>137</v>
      </c>
      <c r="B147" s="265" t="s">
        <v>191</v>
      </c>
      <c r="C147" s="150" t="s">
        <v>16</v>
      </c>
      <c r="D147" s="152" t="s">
        <v>178</v>
      </c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259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113"/>
      <c r="AJ147" s="151">
        <f t="shared" si="18"/>
        <v>0</v>
      </c>
      <c r="AK147" s="35">
        <f t="shared" si="19"/>
        <v>0</v>
      </c>
      <c r="AL147" s="35">
        <f t="shared" si="20"/>
        <v>0</v>
      </c>
      <c r="AM147" s="36">
        <f t="shared" si="21"/>
        <v>0</v>
      </c>
      <c r="AN147" s="36">
        <f t="shared" si="17"/>
        <v>0</v>
      </c>
      <c r="AO147" s="37">
        <f t="shared" si="22"/>
        <v>0</v>
      </c>
      <c r="AP147" s="37" t="s">
        <v>192</v>
      </c>
      <c r="AQ147" s="38">
        <v>16</v>
      </c>
      <c r="AR147" s="39">
        <f>AO147/AQ147</f>
        <v>0</v>
      </c>
    </row>
    <row r="148" s="105" customFormat="1" ht="19.5" customHeight="1" spans="1:44">
      <c r="A148" s="68"/>
      <c r="B148" s="265" t="s">
        <v>247</v>
      </c>
      <c r="C148" s="150" t="s">
        <v>16</v>
      </c>
      <c r="D148" s="152" t="s">
        <v>153</v>
      </c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259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113"/>
      <c r="AJ148" s="151">
        <f t="shared" si="18"/>
        <v>0</v>
      </c>
      <c r="AK148" s="35">
        <f t="shared" si="19"/>
        <v>0</v>
      </c>
      <c r="AL148" s="36">
        <f t="shared" si="20"/>
        <v>0</v>
      </c>
      <c r="AM148" s="35">
        <f t="shared" si="21"/>
        <v>0</v>
      </c>
      <c r="AN148" s="36">
        <f t="shared" si="17"/>
        <v>0</v>
      </c>
      <c r="AO148" s="37">
        <f t="shared" si="22"/>
        <v>0</v>
      </c>
      <c r="AP148" s="38" t="s">
        <v>207</v>
      </c>
      <c r="AQ148" s="38"/>
      <c r="AR148" s="39"/>
    </row>
    <row r="149" s="105" customFormat="1" ht="19.5" customHeight="1" spans="1:44">
      <c r="A149" s="68"/>
      <c r="B149" s="265" t="s">
        <v>248</v>
      </c>
      <c r="C149" s="150" t="s">
        <v>16</v>
      </c>
      <c r="D149" s="152" t="s">
        <v>178</v>
      </c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259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113"/>
      <c r="AJ149" s="151"/>
      <c r="AK149" s="35">
        <f t="shared" si="19"/>
        <v>0</v>
      </c>
      <c r="AL149" s="36">
        <f t="shared" si="20"/>
        <v>0</v>
      </c>
      <c r="AM149" s="35">
        <f t="shared" si="21"/>
        <v>0</v>
      </c>
      <c r="AN149" s="36">
        <f t="shared" si="17"/>
        <v>0</v>
      </c>
      <c r="AO149" s="37">
        <f t="shared" si="22"/>
        <v>0</v>
      </c>
      <c r="AP149" s="37"/>
      <c r="AQ149" s="38"/>
      <c r="AR149" s="39"/>
    </row>
    <row r="150" s="105" customFormat="1" ht="19.5" customHeight="1" spans="1:44">
      <c r="A150" s="68"/>
      <c r="B150" s="265" t="s">
        <v>249</v>
      </c>
      <c r="C150" s="150" t="s">
        <v>16</v>
      </c>
      <c r="D150" s="152" t="s">
        <v>250</v>
      </c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259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113"/>
      <c r="AJ150" s="151"/>
      <c r="AK150" s="35">
        <f t="shared" si="19"/>
        <v>0</v>
      </c>
      <c r="AL150" s="36">
        <f t="shared" si="20"/>
        <v>0</v>
      </c>
      <c r="AM150" s="35">
        <f t="shared" si="21"/>
        <v>0</v>
      </c>
      <c r="AN150" s="36">
        <f t="shared" si="17"/>
        <v>0</v>
      </c>
      <c r="AO150" s="37">
        <f t="shared" si="22"/>
        <v>0</v>
      </c>
      <c r="AP150" s="37"/>
      <c r="AQ150" s="38"/>
      <c r="AR150" s="39"/>
    </row>
    <row r="151" s="105" customFormat="1" ht="19.5" customHeight="1" spans="1:44">
      <c r="A151" s="68"/>
      <c r="B151" s="265" t="s">
        <v>251</v>
      </c>
      <c r="C151" s="150" t="s">
        <v>16</v>
      </c>
      <c r="D151" s="152" t="s">
        <v>252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259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113"/>
      <c r="AJ151" s="151"/>
      <c r="AK151" s="35">
        <f t="shared" si="19"/>
        <v>0</v>
      </c>
      <c r="AL151" s="36">
        <f t="shared" si="20"/>
        <v>0</v>
      </c>
      <c r="AM151" s="35">
        <f t="shared" si="21"/>
        <v>0</v>
      </c>
      <c r="AN151" s="36">
        <f t="shared" si="17"/>
        <v>0</v>
      </c>
      <c r="AO151" s="37">
        <f t="shared" si="22"/>
        <v>0</v>
      </c>
      <c r="AP151" s="37" t="s">
        <v>198</v>
      </c>
      <c r="AQ151" s="38"/>
      <c r="AR151" s="39"/>
    </row>
    <row r="152" s="105" customFormat="1" ht="19.5" customHeight="1" spans="1:44">
      <c r="A152" s="68"/>
      <c r="B152" s="265" t="s">
        <v>253</v>
      </c>
      <c r="C152" s="150" t="s">
        <v>16</v>
      </c>
      <c r="D152" s="152" t="s">
        <v>112</v>
      </c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 t="s">
        <v>13</v>
      </c>
      <c r="R152" s="96"/>
      <c r="S152" s="96"/>
      <c r="T152" s="259"/>
      <c r="U152" s="96"/>
      <c r="V152" s="96"/>
      <c r="W152" s="96"/>
      <c r="X152" s="96"/>
      <c r="Y152" s="96"/>
      <c r="Z152" s="96"/>
      <c r="AA152" s="96"/>
      <c r="AB152" s="96"/>
      <c r="AC152" s="96" t="s">
        <v>11</v>
      </c>
      <c r="AD152" s="96"/>
      <c r="AE152" s="96" t="s">
        <v>11</v>
      </c>
      <c r="AF152" s="96"/>
      <c r="AG152" s="96"/>
      <c r="AH152" s="96"/>
      <c r="AI152" s="113"/>
      <c r="AJ152" s="151"/>
      <c r="AK152" s="35">
        <f t="shared" si="19"/>
        <v>2</v>
      </c>
      <c r="AL152" s="36">
        <f t="shared" si="20"/>
        <v>0</v>
      </c>
      <c r="AM152" s="35">
        <f t="shared" si="21"/>
        <v>1</v>
      </c>
      <c r="AN152" s="36">
        <f t="shared" si="17"/>
        <v>0</v>
      </c>
      <c r="AO152" s="37">
        <f t="shared" si="22"/>
        <v>3</v>
      </c>
      <c r="AP152" s="37" t="s">
        <v>228</v>
      </c>
      <c r="AQ152" s="38"/>
      <c r="AR152" s="39"/>
    </row>
    <row r="153" s="105" customFormat="1" ht="19.5" customHeight="1" spans="1:44">
      <c r="A153" s="68"/>
      <c r="B153" s="265" t="s">
        <v>255</v>
      </c>
      <c r="C153" s="150" t="s">
        <v>165</v>
      </c>
      <c r="D153" s="152" t="s">
        <v>238</v>
      </c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259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113"/>
      <c r="AJ153" s="151"/>
      <c r="AK153" s="35">
        <f t="shared" si="19"/>
        <v>0</v>
      </c>
      <c r="AL153" s="36">
        <f t="shared" si="20"/>
        <v>0</v>
      </c>
      <c r="AM153" s="35">
        <f t="shared" si="21"/>
        <v>0</v>
      </c>
      <c r="AN153" s="36">
        <f t="shared" si="17"/>
        <v>0</v>
      </c>
      <c r="AO153" s="37">
        <f t="shared" si="22"/>
        <v>0</v>
      </c>
      <c r="AP153" s="38"/>
      <c r="AQ153" s="38"/>
      <c r="AR153" s="39"/>
    </row>
    <row r="154" s="105" customFormat="1" ht="19.5" customHeight="1" spans="1:44">
      <c r="A154" s="68"/>
      <c r="B154" s="265" t="s">
        <v>256</v>
      </c>
      <c r="C154" s="150" t="s">
        <v>59</v>
      </c>
      <c r="D154" s="152" t="s">
        <v>257</v>
      </c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259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113"/>
      <c r="AJ154" s="151"/>
      <c r="AK154" s="35">
        <f t="shared" si="19"/>
        <v>0</v>
      </c>
      <c r="AL154" s="36">
        <f t="shared" si="20"/>
        <v>0</v>
      </c>
      <c r="AM154" s="35">
        <f t="shared" si="21"/>
        <v>0</v>
      </c>
      <c r="AN154" s="36">
        <f t="shared" si="17"/>
        <v>0</v>
      </c>
      <c r="AO154" s="37">
        <f t="shared" si="22"/>
        <v>0</v>
      </c>
      <c r="AP154" s="38" t="s">
        <v>232</v>
      </c>
      <c r="AQ154" s="38"/>
      <c r="AR154" s="39"/>
    </row>
    <row r="155" s="105" customFormat="1" ht="20.15" customHeight="1" spans="1:44">
      <c r="A155" s="68"/>
      <c r="B155" s="167" t="s">
        <v>258</v>
      </c>
      <c r="C155" s="167" t="s">
        <v>59</v>
      </c>
      <c r="D155" s="152" t="s">
        <v>215</v>
      </c>
      <c r="E155" s="96" t="s">
        <v>13</v>
      </c>
      <c r="F155" s="96"/>
      <c r="G155" s="96"/>
      <c r="H155" s="96"/>
      <c r="I155" s="96"/>
      <c r="J155" s="96"/>
      <c r="K155" s="96"/>
      <c r="L155" s="96" t="s">
        <v>11</v>
      </c>
      <c r="M155" s="96" t="s">
        <v>11</v>
      </c>
      <c r="N155" s="96" t="s">
        <v>11</v>
      </c>
      <c r="O155" s="96"/>
      <c r="P155" s="96"/>
      <c r="Q155" s="96"/>
      <c r="R155" s="96"/>
      <c r="S155" s="96"/>
      <c r="T155" s="259"/>
      <c r="U155" s="96"/>
      <c r="V155" s="96"/>
      <c r="W155" s="96"/>
      <c r="X155" s="96" t="s">
        <v>13</v>
      </c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113"/>
      <c r="AJ155" s="151"/>
      <c r="AK155" s="35">
        <f t="shared" si="19"/>
        <v>3</v>
      </c>
      <c r="AL155" s="36">
        <f t="shared" si="20"/>
        <v>0</v>
      </c>
      <c r="AM155" s="35">
        <f t="shared" si="21"/>
        <v>2</v>
      </c>
      <c r="AN155" s="36">
        <f t="shared" si="17"/>
        <v>0</v>
      </c>
      <c r="AO155" s="37">
        <f t="shared" si="22"/>
        <v>5</v>
      </c>
      <c r="AP155" s="37" t="s">
        <v>228</v>
      </c>
      <c r="AQ155" s="38"/>
      <c r="AR155" s="39"/>
    </row>
    <row r="156" s="105" customFormat="1" ht="20.15" customHeight="1" spans="1:44">
      <c r="A156" s="68"/>
      <c r="B156" s="167" t="s">
        <v>259</v>
      </c>
      <c r="C156" s="167" t="s">
        <v>260</v>
      </c>
      <c r="D156" s="152" t="s">
        <v>238</v>
      </c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259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113"/>
      <c r="AJ156" s="151"/>
      <c r="AK156" s="35">
        <f t="shared" si="19"/>
        <v>0</v>
      </c>
      <c r="AL156" s="36">
        <f t="shared" si="20"/>
        <v>0</v>
      </c>
      <c r="AM156" s="35">
        <f t="shared" si="21"/>
        <v>0</v>
      </c>
      <c r="AN156" s="36">
        <f t="shared" si="17"/>
        <v>0</v>
      </c>
      <c r="AO156" s="37">
        <f t="shared" si="22"/>
        <v>0</v>
      </c>
      <c r="AP156" s="38" t="s">
        <v>261</v>
      </c>
      <c r="AQ156" s="38"/>
      <c r="AR156" s="39"/>
    </row>
    <row r="157" s="105" customFormat="1" ht="20.15" customHeight="1" spans="1:44">
      <c r="A157" s="68"/>
      <c r="B157" s="167" t="s">
        <v>262</v>
      </c>
      <c r="C157" s="167" t="s">
        <v>263</v>
      </c>
      <c r="D157" s="152" t="s">
        <v>180</v>
      </c>
      <c r="E157" s="96"/>
      <c r="F157" s="96" t="s">
        <v>12</v>
      </c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259"/>
      <c r="U157" s="96" t="s">
        <v>11</v>
      </c>
      <c r="V157" s="96" t="s">
        <v>11</v>
      </c>
      <c r="W157" s="96" t="s">
        <v>11</v>
      </c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113"/>
      <c r="AJ157" s="151"/>
      <c r="AK157" s="35">
        <f t="shared" si="19"/>
        <v>3</v>
      </c>
      <c r="AL157" s="36">
        <f t="shared" si="20"/>
        <v>1</v>
      </c>
      <c r="AM157" s="35">
        <f t="shared" si="21"/>
        <v>0</v>
      </c>
      <c r="AN157" s="36">
        <f t="shared" si="17"/>
        <v>0</v>
      </c>
      <c r="AO157" s="37">
        <f t="shared" si="22"/>
        <v>4</v>
      </c>
      <c r="AP157" s="38" t="s">
        <v>282</v>
      </c>
      <c r="AQ157" s="38"/>
      <c r="AR157" s="39"/>
    </row>
    <row r="158" s="105" customFormat="1" ht="20.15" customHeight="1" spans="1:44">
      <c r="A158" s="68"/>
      <c r="B158" s="167" t="s">
        <v>283</v>
      </c>
      <c r="C158" s="150" t="s">
        <v>16</v>
      </c>
      <c r="D158" s="152" t="s">
        <v>136</v>
      </c>
      <c r="E158" s="96"/>
      <c r="F158" s="96"/>
      <c r="G158" s="96"/>
      <c r="H158" s="96"/>
      <c r="I158" s="96"/>
      <c r="J158" s="96" t="s">
        <v>11</v>
      </c>
      <c r="K158" s="96"/>
      <c r="L158" s="96"/>
      <c r="M158" s="96"/>
      <c r="N158" s="96"/>
      <c r="O158" s="96"/>
      <c r="P158" s="96"/>
      <c r="Q158" s="96"/>
      <c r="R158" s="96"/>
      <c r="S158" s="96"/>
      <c r="T158" s="259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113"/>
      <c r="AJ158" s="151"/>
      <c r="AK158" s="35">
        <f t="shared" si="19"/>
        <v>1</v>
      </c>
      <c r="AL158" s="36">
        <f t="shared" si="20"/>
        <v>0</v>
      </c>
      <c r="AM158" s="35">
        <f t="shared" si="21"/>
        <v>0</v>
      </c>
      <c r="AN158" s="36">
        <f t="shared" si="17"/>
        <v>0</v>
      </c>
      <c r="AO158" s="37">
        <f t="shared" si="22"/>
        <v>1</v>
      </c>
      <c r="AP158" s="38" t="s">
        <v>246</v>
      </c>
      <c r="AQ158" s="38"/>
      <c r="AR158" s="39"/>
    </row>
    <row r="159" s="105" customFormat="1" ht="20.15" customHeight="1" spans="1:44">
      <c r="A159" s="68"/>
      <c r="B159" s="270" t="s">
        <v>284</v>
      </c>
      <c r="C159" s="167" t="s">
        <v>285</v>
      </c>
      <c r="D159" s="152" t="s">
        <v>178</v>
      </c>
      <c r="E159" s="96"/>
      <c r="F159" s="96"/>
      <c r="G159" s="96"/>
      <c r="H159" s="96"/>
      <c r="I159" s="96"/>
      <c r="J159" s="96"/>
      <c r="K159" s="96" t="s">
        <v>13</v>
      </c>
      <c r="L159" s="96"/>
      <c r="M159" s="96" t="s">
        <v>13</v>
      </c>
      <c r="N159" s="96"/>
      <c r="O159" s="96"/>
      <c r="P159" s="96"/>
      <c r="Q159" s="96"/>
      <c r="R159" s="96"/>
      <c r="S159" s="96"/>
      <c r="T159" s="259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113"/>
      <c r="AJ159" s="151"/>
      <c r="AK159" s="35">
        <f t="shared" si="19"/>
        <v>0</v>
      </c>
      <c r="AL159" s="36">
        <f t="shared" si="20"/>
        <v>0</v>
      </c>
      <c r="AM159" s="35">
        <f t="shared" si="21"/>
        <v>2</v>
      </c>
      <c r="AN159" s="36">
        <f t="shared" si="17"/>
        <v>0</v>
      </c>
      <c r="AO159" s="37">
        <f t="shared" si="22"/>
        <v>2</v>
      </c>
      <c r="AP159" s="130" t="s">
        <v>171</v>
      </c>
      <c r="AQ159" s="38"/>
      <c r="AR159" s="39"/>
    </row>
    <row r="160" s="105" customFormat="1" ht="20.15" customHeight="1" spans="1:44">
      <c r="A160" s="68"/>
      <c r="B160" s="270" t="s">
        <v>286</v>
      </c>
      <c r="C160" s="150" t="s">
        <v>16</v>
      </c>
      <c r="D160" s="152" t="s">
        <v>180</v>
      </c>
      <c r="E160" s="96"/>
      <c r="F160" s="96"/>
      <c r="G160" s="96"/>
      <c r="H160" s="96"/>
      <c r="I160" s="96"/>
      <c r="J160" s="96"/>
      <c r="K160" s="96" t="s">
        <v>11</v>
      </c>
      <c r="L160" s="96" t="s">
        <v>11</v>
      </c>
      <c r="M160" s="96" t="s">
        <v>11</v>
      </c>
      <c r="N160" s="96" t="s">
        <v>11</v>
      </c>
      <c r="O160" s="96"/>
      <c r="P160" s="96"/>
      <c r="Q160" s="96"/>
      <c r="R160" s="96"/>
      <c r="S160" s="96"/>
      <c r="T160" s="259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113"/>
      <c r="AJ160" s="151"/>
      <c r="AK160" s="35">
        <f t="shared" si="19"/>
        <v>4</v>
      </c>
      <c r="AL160" s="36">
        <f t="shared" si="20"/>
        <v>0</v>
      </c>
      <c r="AM160" s="35">
        <f t="shared" si="21"/>
        <v>0</v>
      </c>
      <c r="AN160" s="36">
        <f t="shared" si="17"/>
        <v>0</v>
      </c>
      <c r="AO160" s="37">
        <f t="shared" si="22"/>
        <v>4</v>
      </c>
      <c r="AP160" s="38"/>
      <c r="AQ160" s="38"/>
      <c r="AR160" s="39"/>
    </row>
    <row r="161" s="105" customFormat="1" ht="20.15" customHeight="1" spans="1:44">
      <c r="A161" s="68"/>
      <c r="B161" s="270" t="s">
        <v>287</v>
      </c>
      <c r="C161" s="166" t="s">
        <v>16</v>
      </c>
      <c r="D161" s="149" t="s">
        <v>288</v>
      </c>
      <c r="E161" s="96"/>
      <c r="F161" s="96"/>
      <c r="G161" s="96"/>
      <c r="H161" s="96"/>
      <c r="I161" s="96"/>
      <c r="J161" s="96"/>
      <c r="K161" s="96"/>
      <c r="L161" s="96"/>
      <c r="M161" s="96"/>
      <c r="N161" s="96" t="s">
        <v>11</v>
      </c>
      <c r="O161" s="96"/>
      <c r="P161" s="96" t="s">
        <v>11</v>
      </c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113"/>
      <c r="AJ161" s="96"/>
      <c r="AK161" s="35">
        <f t="shared" si="19"/>
        <v>2</v>
      </c>
      <c r="AL161" s="36">
        <f t="shared" si="20"/>
        <v>0</v>
      </c>
      <c r="AM161" s="35">
        <f t="shared" si="21"/>
        <v>0</v>
      </c>
      <c r="AN161" s="36">
        <f t="shared" si="17"/>
        <v>0</v>
      </c>
      <c r="AO161" s="37">
        <f t="shared" si="22"/>
        <v>2</v>
      </c>
      <c r="AP161" s="96"/>
      <c r="AQ161" s="96"/>
      <c r="AR161" s="39"/>
    </row>
    <row r="162" s="105" customFormat="1" ht="20.15" customHeight="1" spans="1:44">
      <c r="A162" s="68"/>
      <c r="B162" s="270" t="s">
        <v>289</v>
      </c>
      <c r="C162" s="150" t="s">
        <v>16</v>
      </c>
      <c r="D162" s="152" t="s">
        <v>231</v>
      </c>
      <c r="E162" s="96"/>
      <c r="F162" s="96"/>
      <c r="G162" s="96"/>
      <c r="H162" s="96"/>
      <c r="I162" s="96"/>
      <c r="J162" s="96"/>
      <c r="K162" s="96"/>
      <c r="L162" s="96"/>
      <c r="M162" s="96" t="s">
        <v>13</v>
      </c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113"/>
      <c r="AJ162" s="96"/>
      <c r="AK162" s="96"/>
      <c r="AL162" s="96"/>
      <c r="AM162" s="96"/>
      <c r="AN162" s="96"/>
      <c r="AO162" s="96"/>
      <c r="AP162" s="96"/>
      <c r="AQ162" s="96"/>
      <c r="AR162" s="39"/>
    </row>
    <row r="163" s="105" customFormat="1" ht="20.15" customHeight="1" spans="1:44">
      <c r="A163" s="68"/>
      <c r="B163" s="270" t="s">
        <v>290</v>
      </c>
      <c r="C163" s="150"/>
      <c r="D163" s="152" t="s">
        <v>236</v>
      </c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 t="s">
        <v>40</v>
      </c>
      <c r="Q163" s="96"/>
      <c r="R163" s="96"/>
      <c r="S163" s="96"/>
      <c r="T163" s="259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113"/>
      <c r="AJ163" s="151"/>
      <c r="AK163" s="35">
        <f t="shared" ref="AK163:AK170" si="23">COUNTIF(E163:AH163,"S")</f>
        <v>1</v>
      </c>
      <c r="AL163" s="36">
        <f t="shared" ref="AL163:AL170" si="24">COUNTIF(E163:AH163,"I")</f>
        <v>0</v>
      </c>
      <c r="AM163" s="35">
        <f t="shared" ref="AM163:AM170" si="25">COUNTIF(E163:AH163,"A")</f>
        <v>0</v>
      </c>
      <c r="AN163" s="36">
        <f t="shared" ref="AN163:AN170" si="26">COUNTIF(E163:AH163,"OFF")</f>
        <v>0</v>
      </c>
      <c r="AO163" s="37">
        <f t="shared" ref="AO163:AO170" si="27">SUM(AJ163:AM163)</f>
        <v>1</v>
      </c>
      <c r="AP163" s="37"/>
      <c r="AQ163" s="38"/>
      <c r="AR163" s="39"/>
    </row>
    <row r="164" s="105" customFormat="1" ht="20.15" customHeight="1" spans="1:44">
      <c r="A164" s="68"/>
      <c r="B164" s="167" t="s">
        <v>291</v>
      </c>
      <c r="C164" s="167" t="s">
        <v>108</v>
      </c>
      <c r="D164" s="149"/>
      <c r="E164" s="96"/>
      <c r="F164" s="96"/>
      <c r="G164" s="96"/>
      <c r="H164" s="96" t="s">
        <v>13</v>
      </c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259"/>
      <c r="U164" s="96"/>
      <c r="V164" s="96"/>
      <c r="W164" s="96"/>
      <c r="X164" s="96"/>
      <c r="Y164" s="96"/>
      <c r="Z164" s="96" t="s">
        <v>13</v>
      </c>
      <c r="AA164" s="96"/>
      <c r="AB164" s="96"/>
      <c r="AC164" s="96"/>
      <c r="AD164" s="96"/>
      <c r="AE164" s="96"/>
      <c r="AF164" s="96"/>
      <c r="AG164" s="96"/>
      <c r="AH164" s="96"/>
      <c r="AI164" s="113"/>
      <c r="AJ164" s="151">
        <f>COUNTIF(E164:AH164,"H")</f>
        <v>0</v>
      </c>
      <c r="AK164" s="47">
        <f t="shared" si="23"/>
        <v>0</v>
      </c>
      <c r="AL164" s="35">
        <f t="shared" si="24"/>
        <v>0</v>
      </c>
      <c r="AM164" s="35">
        <f t="shared" si="25"/>
        <v>2</v>
      </c>
      <c r="AN164" s="36">
        <f t="shared" si="26"/>
        <v>0</v>
      </c>
      <c r="AO164" s="48">
        <f t="shared" si="27"/>
        <v>2</v>
      </c>
      <c r="AP164" s="37"/>
      <c r="AQ164" s="38">
        <v>26</v>
      </c>
      <c r="AR164" s="39">
        <f>AO164/AQ164</f>
        <v>0.0769230769230769</v>
      </c>
    </row>
    <row r="165" ht="20.15" customHeight="1" spans="1:44">
      <c r="A165" s="97"/>
      <c r="B165" s="97" t="s">
        <v>292</v>
      </c>
      <c r="C165" s="166" t="s">
        <v>16</v>
      </c>
      <c r="D165" s="152" t="s">
        <v>178</v>
      </c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96"/>
      <c r="Z165" s="96" t="s">
        <v>12</v>
      </c>
      <c r="AA165" s="271"/>
      <c r="AB165" s="271"/>
      <c r="AC165" s="271"/>
      <c r="AD165" s="271"/>
      <c r="AE165" s="271"/>
      <c r="AF165" s="271"/>
      <c r="AG165" s="271"/>
      <c r="AH165" s="271"/>
      <c r="AI165" s="113"/>
      <c r="AK165" s="35">
        <f t="shared" si="23"/>
        <v>0</v>
      </c>
      <c r="AL165" s="36">
        <f t="shared" si="24"/>
        <v>1</v>
      </c>
      <c r="AM165" s="35">
        <f t="shared" si="25"/>
        <v>0</v>
      </c>
      <c r="AN165" s="36">
        <f t="shared" si="26"/>
        <v>0</v>
      </c>
      <c r="AO165" s="37">
        <f t="shared" si="27"/>
        <v>1</v>
      </c>
      <c r="AP165" s="37" t="s">
        <v>264</v>
      </c>
      <c r="AQ165" s="97"/>
      <c r="AR165" s="97"/>
    </row>
    <row r="166" ht="20.15" customHeight="1" spans="1:44">
      <c r="A166" s="97"/>
      <c r="B166" s="97" t="s">
        <v>293</v>
      </c>
      <c r="C166" s="166" t="s">
        <v>16</v>
      </c>
      <c r="D166" s="152" t="s">
        <v>178</v>
      </c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96"/>
      <c r="Z166" s="241" t="s">
        <v>13</v>
      </c>
      <c r="AA166" s="272"/>
      <c r="AB166" s="272"/>
      <c r="AC166" s="272"/>
      <c r="AD166" s="272"/>
      <c r="AE166" s="272"/>
      <c r="AF166" s="272"/>
      <c r="AG166" s="272"/>
      <c r="AH166" s="272"/>
      <c r="AI166" s="113"/>
      <c r="AK166" s="131">
        <f t="shared" si="23"/>
        <v>0</v>
      </c>
      <c r="AL166" s="103">
        <f t="shared" si="24"/>
        <v>0</v>
      </c>
      <c r="AM166" s="131">
        <f t="shared" si="25"/>
        <v>1</v>
      </c>
      <c r="AN166" s="103">
        <f t="shared" si="26"/>
        <v>0</v>
      </c>
      <c r="AO166" s="128">
        <f t="shared" si="27"/>
        <v>1</v>
      </c>
      <c r="AP166" s="128" t="s">
        <v>228</v>
      </c>
      <c r="AQ166" s="99"/>
      <c r="AR166" s="99"/>
    </row>
    <row r="167" s="105" customFormat="1" ht="20.15" customHeight="1" spans="1:44">
      <c r="A167" s="101"/>
      <c r="B167" s="276" t="s">
        <v>294</v>
      </c>
      <c r="C167" s="170" t="s">
        <v>16</v>
      </c>
      <c r="D167" s="171" t="s">
        <v>178</v>
      </c>
      <c r="E167" s="244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78"/>
      <c r="U167" s="241"/>
      <c r="V167" s="241"/>
      <c r="W167" s="241"/>
      <c r="X167" s="241"/>
      <c r="Y167" s="279"/>
      <c r="Z167" s="280" t="s">
        <v>13</v>
      </c>
      <c r="AA167" s="280"/>
      <c r="AB167" s="280"/>
      <c r="AC167" s="280"/>
      <c r="AD167" s="280"/>
      <c r="AE167" s="280"/>
      <c r="AF167" s="280"/>
      <c r="AG167" s="280"/>
      <c r="AH167" s="280"/>
      <c r="AI167" s="113"/>
      <c r="AJ167" s="281"/>
      <c r="AK167" s="131">
        <f t="shared" si="23"/>
        <v>0</v>
      </c>
      <c r="AL167" s="131">
        <f t="shared" si="24"/>
        <v>0</v>
      </c>
      <c r="AM167" s="250">
        <f t="shared" si="25"/>
        <v>1</v>
      </c>
      <c r="AN167" s="103">
        <f t="shared" si="26"/>
        <v>0</v>
      </c>
      <c r="AO167" s="128">
        <f t="shared" si="27"/>
        <v>1</v>
      </c>
      <c r="AP167" s="128" t="s">
        <v>228</v>
      </c>
      <c r="AQ167" s="101"/>
      <c r="AR167" s="102"/>
    </row>
    <row r="168" s="105" customFormat="1" ht="20.15" customHeight="1" spans="1:44">
      <c r="A168" s="66"/>
      <c r="B168" s="276" t="s">
        <v>295</v>
      </c>
      <c r="C168" s="166" t="s">
        <v>296</v>
      </c>
      <c r="D168" s="166" t="s">
        <v>112</v>
      </c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282"/>
      <c r="U168" s="112"/>
      <c r="V168" s="112"/>
      <c r="W168" s="112"/>
      <c r="X168" s="112"/>
      <c r="Y168" s="112"/>
      <c r="Z168" s="112"/>
      <c r="AA168" s="112"/>
      <c r="AB168" s="112" t="s">
        <v>13</v>
      </c>
      <c r="AC168" s="112"/>
      <c r="AD168" s="112"/>
      <c r="AE168" s="112"/>
      <c r="AF168" s="112"/>
      <c r="AG168" s="112"/>
      <c r="AH168" s="112"/>
      <c r="AI168" s="113"/>
      <c r="AJ168" s="179"/>
      <c r="AK168" s="131">
        <f t="shared" si="23"/>
        <v>0</v>
      </c>
      <c r="AL168" s="103">
        <f t="shared" si="24"/>
        <v>0</v>
      </c>
      <c r="AM168" s="131">
        <f t="shared" si="25"/>
        <v>1</v>
      </c>
      <c r="AN168" s="103">
        <f t="shared" si="26"/>
        <v>0</v>
      </c>
      <c r="AO168" s="128">
        <f t="shared" si="27"/>
        <v>1</v>
      </c>
      <c r="AP168" s="128" t="s">
        <v>228</v>
      </c>
      <c r="AQ168" s="101"/>
      <c r="AR168" s="102"/>
    </row>
    <row r="169" s="105" customFormat="1" ht="20.15" customHeight="1" spans="1:44">
      <c r="A169" s="112"/>
      <c r="B169" s="276" t="s">
        <v>297</v>
      </c>
      <c r="C169" s="164" t="s">
        <v>111</v>
      </c>
      <c r="D169" s="152" t="s">
        <v>298</v>
      </c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 t="s">
        <v>11</v>
      </c>
      <c r="AH169" s="112"/>
      <c r="AI169" s="113"/>
      <c r="AJ169" s="151">
        <f>COUNTIF(E169:AH169,"H")</f>
        <v>0</v>
      </c>
      <c r="AK169" s="47">
        <f t="shared" si="23"/>
        <v>1</v>
      </c>
      <c r="AL169" s="35">
        <f t="shared" si="24"/>
        <v>0</v>
      </c>
      <c r="AM169" s="35">
        <f t="shared" si="25"/>
        <v>0</v>
      </c>
      <c r="AN169" s="36">
        <f t="shared" si="26"/>
        <v>0</v>
      </c>
      <c r="AO169" s="48">
        <f t="shared" si="27"/>
        <v>1</v>
      </c>
      <c r="AP169" s="37" t="s">
        <v>299</v>
      </c>
      <c r="AQ169" s="38"/>
      <c r="AR169" s="104"/>
    </row>
    <row r="170" s="105" customFormat="1" ht="20.15" customHeight="1" spans="1:44">
      <c r="A170" s="112"/>
      <c r="B170" s="190" t="s">
        <v>300</v>
      </c>
      <c r="C170" s="150" t="s">
        <v>59</v>
      </c>
      <c r="D170" s="149" t="s">
        <v>180</v>
      </c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 t="s">
        <v>13</v>
      </c>
      <c r="AI170" s="113"/>
      <c r="AJ170" s="151">
        <f>COUNTIF(E170:AH170,"H")</f>
        <v>0</v>
      </c>
      <c r="AK170" s="47">
        <f t="shared" si="23"/>
        <v>0</v>
      </c>
      <c r="AL170" s="35">
        <f t="shared" si="24"/>
        <v>0</v>
      </c>
      <c r="AM170" s="35">
        <f t="shared" si="25"/>
        <v>1</v>
      </c>
      <c r="AN170" s="36">
        <f t="shared" si="26"/>
        <v>0</v>
      </c>
      <c r="AO170" s="48">
        <f t="shared" si="27"/>
        <v>1</v>
      </c>
      <c r="AP170" s="37" t="s">
        <v>228</v>
      </c>
      <c r="AQ170" s="38"/>
      <c r="AR170" s="104"/>
    </row>
    <row r="171" s="105" customFormat="1" ht="20.15" customHeight="1" spans="1:44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3"/>
      <c r="AJ171" s="179"/>
      <c r="AK171" s="283"/>
      <c r="AM171" s="283"/>
      <c r="AO171" s="283"/>
      <c r="AP171" s="283"/>
      <c r="AR171" s="106"/>
    </row>
    <row r="172" s="105" customFormat="1" ht="20.15" customHeight="1" spans="1:44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3"/>
      <c r="AJ172" s="179"/>
      <c r="AK172" s="285"/>
      <c r="AL172" s="283"/>
      <c r="AM172" s="283"/>
      <c r="AO172" s="285"/>
      <c r="AP172" s="283"/>
      <c r="AR172" s="106"/>
    </row>
    <row r="173" s="20" customFormat="1" ht="19.5" customHeight="1" spans="1:44">
      <c r="A173" s="286" t="s">
        <v>6</v>
      </c>
      <c r="B173" s="287"/>
      <c r="C173" s="287"/>
      <c r="D173" s="287"/>
      <c r="E173" s="288">
        <f t="shared" ref="E173:AA173" si="28">COUNTIF(E14:E86,"H")</f>
        <v>0</v>
      </c>
      <c r="F173" s="288">
        <f t="shared" si="28"/>
        <v>0</v>
      </c>
      <c r="G173" s="288">
        <f t="shared" si="28"/>
        <v>0</v>
      </c>
      <c r="H173" s="288">
        <f t="shared" si="28"/>
        <v>0</v>
      </c>
      <c r="I173" s="288">
        <f t="shared" si="28"/>
        <v>0</v>
      </c>
      <c r="J173" s="288">
        <f t="shared" si="28"/>
        <v>0</v>
      </c>
      <c r="K173" s="288">
        <f t="shared" si="28"/>
        <v>0</v>
      </c>
      <c r="L173" s="288">
        <f t="shared" si="28"/>
        <v>0</v>
      </c>
      <c r="M173" s="288">
        <f t="shared" si="28"/>
        <v>0</v>
      </c>
      <c r="N173" s="288">
        <f t="shared" si="28"/>
        <v>0</v>
      </c>
      <c r="O173" s="288">
        <f t="shared" si="28"/>
        <v>0</v>
      </c>
      <c r="P173" s="288">
        <f t="shared" si="28"/>
        <v>0</v>
      </c>
      <c r="Q173" s="288">
        <f t="shared" si="28"/>
        <v>0</v>
      </c>
      <c r="R173" s="288">
        <f t="shared" si="28"/>
        <v>0</v>
      </c>
      <c r="S173" s="288">
        <f t="shared" si="28"/>
        <v>0</v>
      </c>
      <c r="T173" s="288">
        <f t="shared" si="28"/>
        <v>0</v>
      </c>
      <c r="U173" s="288">
        <f t="shared" si="28"/>
        <v>0</v>
      </c>
      <c r="V173" s="288">
        <f t="shared" si="28"/>
        <v>0</v>
      </c>
      <c r="W173" s="288">
        <f t="shared" si="28"/>
        <v>0</v>
      </c>
      <c r="X173" s="288">
        <f t="shared" si="28"/>
        <v>0</v>
      </c>
      <c r="Y173" s="288">
        <f t="shared" si="28"/>
        <v>0</v>
      </c>
      <c r="Z173" s="288">
        <f t="shared" si="28"/>
        <v>0</v>
      </c>
      <c r="AA173" s="288">
        <f t="shared" si="28"/>
        <v>0</v>
      </c>
      <c r="AB173" s="288"/>
      <c r="AC173" s="288"/>
      <c r="AD173" s="288"/>
      <c r="AE173" s="288"/>
      <c r="AF173" s="288"/>
      <c r="AG173" s="288"/>
      <c r="AH173" s="288">
        <f>COUNTIF(AH14:AH86,"H")</f>
        <v>0</v>
      </c>
      <c r="AI173" s="113"/>
    </row>
  </sheetData>
  <autoFilter xmlns:etc="http://www.wps.cn/officeDocument/2017/etCustomData" ref="A11:AR173" etc:filterBottomFollowUsedRange="0">
    <extLst/>
  </autoFilter>
  <mergeCells count="14">
    <mergeCell ref="E10:AH10"/>
    <mergeCell ref="AK10:AN10"/>
    <mergeCell ref="A173:B173"/>
    <mergeCell ref="A10:A11"/>
    <mergeCell ref="B10:B11"/>
    <mergeCell ref="C10:C11"/>
    <mergeCell ref="D10:D11"/>
    <mergeCell ref="AJ10:AJ11"/>
    <mergeCell ref="AO10:AO11"/>
    <mergeCell ref="AP10:AP11"/>
    <mergeCell ref="AQ10:AQ11"/>
    <mergeCell ref="AR10:AR11"/>
    <mergeCell ref="E4:AH6"/>
    <mergeCell ref="E7:AH8"/>
  </mergeCells>
  <conditionalFormatting sqref="B54">
    <cfRule type="cellIs" dxfId="0" priority="181" operator="equal">
      <formula>"ALPA"</formula>
    </cfRule>
    <cfRule type="cellIs" dxfId="1" priority="182" operator="equal">
      <formula>"IZIN"</formula>
    </cfRule>
    <cfRule type="cellIs" dxfId="2" priority="183" operator="equal">
      <formula>"SAKIT"</formula>
    </cfRule>
  </conditionalFormatting>
  <conditionalFormatting sqref="A169:A172">
    <cfRule type="containsText" dxfId="3" priority="61" operator="between" text="OFF">
      <formula>NOT(ISERROR(SEARCH("OFF",A169)))</formula>
    </cfRule>
    <cfRule type="containsText" dxfId="4" priority="62" operator="between" text="OFF">
      <formula>NOT(ISERROR(SEARCH("OFF",A169)))</formula>
    </cfRule>
    <cfRule type="containsText" dxfId="5" priority="63" operator="between" text="S">
      <formula>NOT(ISERROR(SEARCH("S",A169)))</formula>
    </cfRule>
    <cfRule type="containsText" dxfId="6" priority="64" operator="between" text="I">
      <formula>NOT(ISERROR(SEARCH("I",A169)))</formula>
    </cfRule>
    <cfRule type="containsText" dxfId="7" priority="65" operator="between" text="A">
      <formula>NOT(ISERROR(SEARCH("A",A169)))</formula>
    </cfRule>
    <cfRule type="containsText" dxfId="8" priority="66" operator="between" text="L">
      <formula>NOT(ISERROR(SEARCH("L",A169)))</formula>
    </cfRule>
    <cfRule type="containsText" dxfId="6" priority="67" operator="between" text="A">
      <formula>NOT(ISERROR(SEARCH("A",A169)))</formula>
    </cfRule>
    <cfRule type="containsText" dxfId="7" priority="68" operator="between" text="S">
      <formula>NOT(ISERROR(SEARCH("S",A169)))</formula>
    </cfRule>
    <cfRule type="containsText" dxfId="5" priority="69" operator="between" text="OFF">
      <formula>NOT(ISERROR(SEARCH("OFF",A169)))</formula>
    </cfRule>
    <cfRule type="containsText" dxfId="7" priority="70" operator="between" text="OFF">
      <formula>NOT(ISERROR(SEARCH("OFF",A169)))</formula>
    </cfRule>
  </conditionalFormatting>
  <conditionalFormatting sqref="AI44:AI173">
    <cfRule type="containsText" dxfId="3" priority="91" operator="between" text="OFF">
      <formula>NOT(ISERROR(SEARCH("OFF",AI44)))</formula>
    </cfRule>
    <cfRule type="containsText" dxfId="4" priority="92" operator="between" text="OFF">
      <formula>NOT(ISERROR(SEARCH("OFF",AI44)))</formula>
    </cfRule>
    <cfRule type="containsText" dxfId="5" priority="93" operator="between" text="S">
      <formula>NOT(ISERROR(SEARCH("S",AI44)))</formula>
    </cfRule>
    <cfRule type="containsText" dxfId="6" priority="94" operator="between" text="I">
      <formula>NOT(ISERROR(SEARCH("I",AI44)))</formula>
    </cfRule>
    <cfRule type="containsText" dxfId="7" priority="95" operator="between" text="A">
      <formula>NOT(ISERROR(SEARCH("A",AI44)))</formula>
    </cfRule>
    <cfRule type="containsText" dxfId="8" priority="96" operator="between" text="L">
      <formula>NOT(ISERROR(SEARCH("L",AI44)))</formula>
    </cfRule>
    <cfRule type="containsText" dxfId="6" priority="97" operator="between" text="A">
      <formula>NOT(ISERROR(SEARCH("A",AI44)))</formula>
    </cfRule>
    <cfRule type="containsText" dxfId="7" priority="98" operator="between" text="S">
      <formula>NOT(ISERROR(SEARCH("S",AI44)))</formula>
    </cfRule>
    <cfRule type="containsText" dxfId="5" priority="99" operator="between" text="OFF">
      <formula>NOT(ISERROR(SEARCH("OFF",AI44)))</formula>
    </cfRule>
    <cfRule type="containsText" dxfId="7" priority="100" operator="between" text="OFF">
      <formula>NOT(ISERROR(SEARCH("OFF",AI44)))</formula>
    </cfRule>
  </conditionalFormatting>
  <conditionalFormatting sqref="E12:AF160">
    <cfRule type="containsText" dxfId="3" priority="1" operator="between" text="OFF">
      <formula>NOT(ISERROR(SEARCH("OFF",E12)))</formula>
    </cfRule>
    <cfRule type="containsText" dxfId="4" priority="2" operator="between" text="OFF">
      <formula>NOT(ISERROR(SEARCH("OFF",E12)))</formula>
    </cfRule>
    <cfRule type="containsText" dxfId="5" priority="3" operator="between" text="S">
      <formula>NOT(ISERROR(SEARCH("S",E12)))</formula>
    </cfRule>
    <cfRule type="containsText" dxfId="6" priority="4" operator="between" text="I">
      <formula>NOT(ISERROR(SEARCH("I",E12)))</formula>
    </cfRule>
    <cfRule type="containsText" dxfId="7" priority="5" operator="between" text="A">
      <formula>NOT(ISERROR(SEARCH("A",E12)))</formula>
    </cfRule>
    <cfRule type="containsText" dxfId="8" priority="6" operator="between" text="L">
      <formula>NOT(ISERROR(SEARCH("L",E12)))</formula>
    </cfRule>
    <cfRule type="containsText" dxfId="6" priority="7" operator="between" text="A">
      <formula>NOT(ISERROR(SEARCH("A",E12)))</formula>
    </cfRule>
    <cfRule type="containsText" dxfId="7" priority="8" operator="between" text="S">
      <formula>NOT(ISERROR(SEARCH("S",E12)))</formula>
    </cfRule>
    <cfRule type="containsText" dxfId="5" priority="9" operator="between" text="OFF">
      <formula>NOT(ISERROR(SEARCH("OFF",E12)))</formula>
    </cfRule>
    <cfRule type="containsText" dxfId="7" priority="10" operator="between" text="OFF">
      <formula>NOT(ISERROR(SEARCH("OFF",E12)))</formula>
    </cfRule>
  </conditionalFormatting>
  <conditionalFormatting sqref="E161:AH164">
    <cfRule type="containsText" dxfId="3" priority="141" operator="between" text="OFF">
      <formula>NOT(ISERROR(SEARCH("OFF",E161)))</formula>
    </cfRule>
    <cfRule type="containsText" dxfId="4" priority="142" operator="between" text="OFF">
      <formula>NOT(ISERROR(SEARCH("OFF",E161)))</formula>
    </cfRule>
    <cfRule type="containsText" dxfId="5" priority="143" operator="between" text="S">
      <formula>NOT(ISERROR(SEARCH("S",E161)))</formula>
    </cfRule>
    <cfRule type="containsText" dxfId="6" priority="144" operator="between" text="I">
      <formula>NOT(ISERROR(SEARCH("I",E161)))</formula>
    </cfRule>
    <cfRule type="containsText" dxfId="7" priority="145" operator="between" text="A">
      <formula>NOT(ISERROR(SEARCH("A",E161)))</formula>
    </cfRule>
    <cfRule type="containsText" dxfId="8" priority="146" operator="between" text="L">
      <formula>NOT(ISERROR(SEARCH("L",E161)))</formula>
    </cfRule>
    <cfRule type="containsText" dxfId="6" priority="147" operator="between" text="A">
      <formula>NOT(ISERROR(SEARCH("A",E161)))</formula>
    </cfRule>
    <cfRule type="containsText" dxfId="7" priority="148" operator="between" text="S">
      <formula>NOT(ISERROR(SEARCH("S",E161)))</formula>
    </cfRule>
    <cfRule type="containsText" dxfId="5" priority="149" operator="between" text="OFF">
      <formula>NOT(ISERROR(SEARCH("OFF",E161)))</formula>
    </cfRule>
    <cfRule type="containsText" dxfId="7" priority="150" operator="between" text="OFF">
      <formula>NOT(ISERROR(SEARCH("OFF",E161)))</formula>
    </cfRule>
  </conditionalFormatting>
  <conditionalFormatting sqref="AJ161:AQ162">
    <cfRule type="containsText" dxfId="3" priority="151" operator="between" text="OFF">
      <formula>NOT(ISERROR(SEARCH("OFF",AJ161)))</formula>
    </cfRule>
    <cfRule type="containsText" dxfId="4" priority="152" operator="between" text="OFF">
      <formula>NOT(ISERROR(SEARCH("OFF",AJ161)))</formula>
    </cfRule>
    <cfRule type="containsText" dxfId="5" priority="153" operator="between" text="S">
      <formula>NOT(ISERROR(SEARCH("S",AJ161)))</formula>
    </cfRule>
    <cfRule type="containsText" dxfId="6" priority="154" operator="between" text="I">
      <formula>NOT(ISERROR(SEARCH("I",AJ161)))</formula>
    </cfRule>
    <cfRule type="containsText" dxfId="7" priority="155" operator="between" text="A">
      <formula>NOT(ISERROR(SEARCH("A",AJ161)))</formula>
    </cfRule>
    <cfRule type="containsText" dxfId="8" priority="156" operator="between" text="L">
      <formula>NOT(ISERROR(SEARCH("L",AJ161)))</formula>
    </cfRule>
    <cfRule type="containsText" dxfId="6" priority="157" operator="between" text="A">
      <formula>NOT(ISERROR(SEARCH("A",AJ161)))</formula>
    </cfRule>
    <cfRule type="containsText" dxfId="7" priority="158" operator="between" text="S">
      <formula>NOT(ISERROR(SEARCH("S",AJ161)))</formula>
    </cfRule>
    <cfRule type="containsText" dxfId="5" priority="159" operator="between" text="OFF">
      <formula>NOT(ISERROR(SEARCH("OFF",AJ161)))</formula>
    </cfRule>
    <cfRule type="containsText" dxfId="7" priority="160" operator="between" text="OFF">
      <formula>NOT(ISERROR(SEARCH("OFF",AJ161)))</formula>
    </cfRule>
  </conditionalFormatting>
  <conditionalFormatting sqref="Y165:Z166">
    <cfRule type="containsText" dxfId="3" priority="101" operator="between" text="OFF">
      <formula>NOT(ISERROR(SEARCH("OFF",Y165)))</formula>
    </cfRule>
    <cfRule type="containsText" dxfId="4" priority="102" operator="between" text="OFF">
      <formula>NOT(ISERROR(SEARCH("OFF",Y165)))</formula>
    </cfRule>
    <cfRule type="containsText" dxfId="5" priority="103" operator="between" text="S">
      <formula>NOT(ISERROR(SEARCH("S",Y165)))</formula>
    </cfRule>
    <cfRule type="containsText" dxfId="6" priority="104" operator="between" text="I">
      <formula>NOT(ISERROR(SEARCH("I",Y165)))</formula>
    </cfRule>
    <cfRule type="containsText" dxfId="7" priority="105" operator="between" text="A">
      <formula>NOT(ISERROR(SEARCH("A",Y165)))</formula>
    </cfRule>
    <cfRule type="containsText" dxfId="8" priority="106" operator="between" text="L">
      <formula>NOT(ISERROR(SEARCH("L",Y165)))</formula>
    </cfRule>
    <cfRule type="containsText" dxfId="6" priority="107" operator="between" text="A">
      <formula>NOT(ISERROR(SEARCH("A",Y165)))</formula>
    </cfRule>
    <cfRule type="containsText" dxfId="7" priority="108" operator="between" text="S">
      <formula>NOT(ISERROR(SEARCH("S",Y165)))</formula>
    </cfRule>
    <cfRule type="containsText" dxfId="5" priority="109" operator="between" text="OFF">
      <formula>NOT(ISERROR(SEARCH("OFF",Y165)))</formula>
    </cfRule>
    <cfRule type="containsText" dxfId="7" priority="110" operator="between" text="OFF">
      <formula>NOT(ISERROR(SEARCH("OFF",Y165)))</formula>
    </cfRule>
  </conditionalFormatting>
  <conditionalFormatting sqref="E169:G170">
    <cfRule type="containsText" dxfId="3" priority="71" operator="between" text="OFF">
      <formula>NOT(ISERROR(SEARCH("OFF",E169)))</formula>
    </cfRule>
    <cfRule type="containsText" dxfId="4" priority="72" operator="between" text="OFF">
      <formula>NOT(ISERROR(SEARCH("OFF",E169)))</formula>
    </cfRule>
    <cfRule type="containsText" dxfId="5" priority="73" operator="between" text="S">
      <formula>NOT(ISERROR(SEARCH("S",E169)))</formula>
    </cfRule>
    <cfRule type="containsText" dxfId="6" priority="74" operator="between" text="I">
      <formula>NOT(ISERROR(SEARCH("I",E169)))</formula>
    </cfRule>
    <cfRule type="containsText" dxfId="7" priority="75" operator="between" text="A">
      <formula>NOT(ISERROR(SEARCH("A",E169)))</formula>
    </cfRule>
    <cfRule type="containsText" dxfId="8" priority="76" operator="between" text="L">
      <formula>NOT(ISERROR(SEARCH("L",E169)))</formula>
    </cfRule>
    <cfRule type="containsText" dxfId="6" priority="77" operator="between" text="A">
      <formula>NOT(ISERROR(SEARCH("A",E169)))</formula>
    </cfRule>
    <cfRule type="containsText" dxfId="7" priority="78" operator="between" text="S">
      <formula>NOT(ISERROR(SEARCH("S",E169)))</formula>
    </cfRule>
    <cfRule type="containsText" dxfId="5" priority="79" operator="between" text="OFF">
      <formula>NOT(ISERROR(SEARCH("OFF",E169)))</formula>
    </cfRule>
    <cfRule type="containsText" dxfId="7" priority="80" operator="between" text="OFF">
      <formula>NOT(ISERROR(SEARCH("OFF",E169)))</formula>
    </cfRule>
  </conditionalFormatting>
  <conditionalFormatting sqref="H169:AH172">
    <cfRule type="containsText" dxfId="3" priority="31" operator="between" text="OFF">
      <formula>NOT(ISERROR(SEARCH("OFF",H169)))</formula>
    </cfRule>
    <cfRule type="containsText" dxfId="4" priority="32" operator="between" text="OFF">
      <formula>NOT(ISERROR(SEARCH("OFF",H169)))</formula>
    </cfRule>
    <cfRule type="containsText" dxfId="5" priority="33" operator="between" text="S">
      <formula>NOT(ISERROR(SEARCH("S",H169)))</formula>
    </cfRule>
    <cfRule type="containsText" dxfId="6" priority="34" operator="between" text="I">
      <formula>NOT(ISERROR(SEARCH("I",H169)))</formula>
    </cfRule>
    <cfRule type="containsText" dxfId="7" priority="35" operator="between" text="A">
      <formula>NOT(ISERROR(SEARCH("A",H169)))</formula>
    </cfRule>
    <cfRule type="containsText" dxfId="8" priority="36" operator="between" text="L">
      <formula>NOT(ISERROR(SEARCH("L",H169)))</formula>
    </cfRule>
    <cfRule type="containsText" dxfId="6" priority="37" operator="between" text="A">
      <formula>NOT(ISERROR(SEARCH("A",H169)))</formula>
    </cfRule>
    <cfRule type="containsText" dxfId="7" priority="38" operator="between" text="S">
      <formula>NOT(ISERROR(SEARCH("S",H169)))</formula>
    </cfRule>
    <cfRule type="containsText" dxfId="5" priority="39" operator="between" text="OFF">
      <formula>NOT(ISERROR(SEARCH("OFF",H169)))</formula>
    </cfRule>
    <cfRule type="containsText" dxfId="7" priority="40" operator="between" text="OFF">
      <formula>NOT(ISERROR(SEARCH("OFF",H169)))</formula>
    </cfRule>
  </conditionalFormatting>
  <conditionalFormatting sqref="B171:G172">
    <cfRule type="containsText" dxfId="3" priority="51" operator="between" text="OFF">
      <formula>NOT(ISERROR(SEARCH("OFF",B171)))</formula>
    </cfRule>
    <cfRule type="containsText" dxfId="4" priority="52" operator="between" text="OFF">
      <formula>NOT(ISERROR(SEARCH("OFF",B171)))</formula>
    </cfRule>
    <cfRule type="containsText" dxfId="5" priority="53" operator="between" text="S">
      <formula>NOT(ISERROR(SEARCH("S",B171)))</formula>
    </cfRule>
    <cfRule type="containsText" dxfId="6" priority="54" operator="between" text="I">
      <formula>NOT(ISERROR(SEARCH("I",B171)))</formula>
    </cfRule>
    <cfRule type="containsText" dxfId="7" priority="55" operator="between" text="A">
      <formula>NOT(ISERROR(SEARCH("A",B171)))</formula>
    </cfRule>
    <cfRule type="containsText" dxfId="8" priority="56" operator="between" text="L">
      <formula>NOT(ISERROR(SEARCH("L",B171)))</formula>
    </cfRule>
    <cfRule type="containsText" dxfId="6" priority="57" operator="between" text="A">
      <formula>NOT(ISERROR(SEARCH("A",B171)))</formula>
    </cfRule>
    <cfRule type="containsText" dxfId="7" priority="58" operator="between" text="S">
      <formula>NOT(ISERROR(SEARCH("S",B171)))</formula>
    </cfRule>
    <cfRule type="containsText" dxfId="5" priority="59" operator="between" text="OFF">
      <formula>NOT(ISERROR(SEARCH("OFF",B171)))</formula>
    </cfRule>
    <cfRule type="containsText" dxfId="7" priority="60" operator="between" text="OFF">
      <formula>NOT(ISERROR(SEARCH("OFF",B171)))</formula>
    </cfRule>
  </conditionalFormatting>
  <printOptions horizontalCentered="1"/>
  <pageMargins left="0" right="0" top="0" bottom="0" header="0" footer="0"/>
  <pageSetup paperSize="9" scale="27" orientation="portrait"/>
  <headerFooter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S184"/>
  <sheetViews>
    <sheetView zoomScale="85" zoomScaleNormal="85" topLeftCell="A10" workbookViewId="0">
      <pane xSplit="2" ySplit="2" topLeftCell="C38" activePane="bottomRight" state="frozen"/>
      <selection/>
      <selection pane="topRight"/>
      <selection pane="bottomLeft"/>
      <selection pane="bottomRight" activeCell="B38" sqref="B38"/>
    </sheetView>
  </sheetViews>
  <sheetFormatPr defaultColWidth="9" defaultRowHeight="14.5"/>
  <cols>
    <col min="1" max="1" width="10.3636363636364" customWidth="1"/>
    <col min="2" max="2" width="24.3636363636364" customWidth="1"/>
    <col min="3" max="3" width="15.3636363636364" customWidth="1"/>
    <col min="4" max="4" width="13.4545454545455" customWidth="1"/>
    <col min="5" max="9" width="7.63636363636364" customWidth="1"/>
    <col min="10" max="10" width="9.36363636363636" customWidth="1"/>
    <col min="11" max="11" width="7.63636363636364" customWidth="1"/>
    <col min="12" max="12" width="7.90909090909091" customWidth="1"/>
    <col min="13" max="13" width="10.4545454545455" customWidth="1"/>
    <col min="14" max="15" width="7.63636363636364" customWidth="1"/>
    <col min="16" max="16" width="7" customWidth="1"/>
    <col min="17" max="20" width="7.63636363636364" customWidth="1"/>
    <col min="21" max="22" width="7.45454545454545" customWidth="1"/>
    <col min="23" max="26" width="7.63636363636364" customWidth="1"/>
    <col min="27" max="27" width="6.63636363636364" customWidth="1"/>
    <col min="28" max="35" width="7.63636363636364" customWidth="1"/>
    <col min="36" max="36" width="8" style="116" customWidth="1"/>
    <col min="37" max="37" width="2.63636363636364" customWidth="1"/>
    <col min="38" max="38" width="6.90909090909091" customWidth="1"/>
    <col min="39" max="40" width="6.36363636363636" customWidth="1"/>
    <col min="41" max="41" width="7" customWidth="1"/>
    <col min="42" max="42" width="7.36363636363636" customWidth="1"/>
    <col min="43" max="43" width="21.5454545454545" customWidth="1"/>
    <col min="44" max="45" width="15.6363636363636" customWidth="1"/>
    <col min="46" max="46" width="9" customWidth="1"/>
  </cols>
  <sheetData>
    <row r="2" ht="20.15" customHeight="1" spans="1:4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133"/>
    </row>
    <row r="3" ht="20.15" customHeight="1" spans="1:4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133"/>
    </row>
    <row r="4" ht="20.15" customHeight="1" spans="1:45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134"/>
    </row>
    <row r="5" ht="20.15" customHeight="1" spans="1:45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134"/>
    </row>
    <row r="6" ht="20.15" customHeight="1" spans="1:45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134"/>
    </row>
    <row r="7" ht="20.15" customHeight="1" spans="1:45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135"/>
    </row>
    <row r="8" ht="20.15" customHeight="1" spans="1:45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135"/>
    </row>
    <row r="9" ht="20.15" customHeight="1" spans="1:4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133"/>
    </row>
    <row r="10" s="20" customFormat="1" ht="16.5" spans="1:45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39"/>
      <c r="AK10" s="56"/>
      <c r="AL10" s="23" t="s">
        <v>5</v>
      </c>
      <c r="AM10" s="24"/>
      <c r="AN10" s="24"/>
      <c r="AO10" s="25"/>
      <c r="AP10" s="2" t="s">
        <v>6</v>
      </c>
      <c r="AQ10" s="2" t="s">
        <v>5</v>
      </c>
      <c r="AR10" s="26" t="s">
        <v>8</v>
      </c>
      <c r="AS10" s="27" t="s">
        <v>9</v>
      </c>
    </row>
    <row r="11" s="21" customFormat="1" ht="23.15" customHeight="1" spans="1:45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58">
        <v>24</v>
      </c>
      <c r="I11" s="258">
        <v>25</v>
      </c>
      <c r="J11" s="235">
        <v>26</v>
      </c>
      <c r="K11" s="58">
        <v>27</v>
      </c>
      <c r="L11" s="58">
        <v>28</v>
      </c>
      <c r="M11" s="58">
        <v>29</v>
      </c>
      <c r="N11" s="58">
        <v>30</v>
      </c>
      <c r="O11" s="58">
        <v>31</v>
      </c>
      <c r="P11" s="258">
        <v>1</v>
      </c>
      <c r="Q11" s="58">
        <v>2</v>
      </c>
      <c r="R11" s="58">
        <v>3</v>
      </c>
      <c r="S11" s="58">
        <v>4</v>
      </c>
      <c r="T11" s="58">
        <v>5</v>
      </c>
      <c r="U11" s="58">
        <v>6</v>
      </c>
      <c r="V11" s="58">
        <v>7</v>
      </c>
      <c r="W11" s="258">
        <v>8</v>
      </c>
      <c r="X11" s="58">
        <v>9</v>
      </c>
      <c r="Y11" s="58">
        <v>10</v>
      </c>
      <c r="Z11" s="58">
        <v>11</v>
      </c>
      <c r="AA11" s="58">
        <v>12</v>
      </c>
      <c r="AB11" s="58">
        <v>13</v>
      </c>
      <c r="AC11" s="58">
        <v>14</v>
      </c>
      <c r="AD11" s="258">
        <v>15</v>
      </c>
      <c r="AE11" s="58">
        <v>16</v>
      </c>
      <c r="AF11" s="258">
        <v>17</v>
      </c>
      <c r="AG11" s="58">
        <v>18</v>
      </c>
      <c r="AH11" s="58">
        <v>19</v>
      </c>
      <c r="AI11" s="58">
        <v>20</v>
      </c>
      <c r="AJ11" s="140"/>
      <c r="AK11" s="148" t="s">
        <v>10</v>
      </c>
      <c r="AL11" s="11" t="s">
        <v>11</v>
      </c>
      <c r="AM11" s="11" t="s">
        <v>12</v>
      </c>
      <c r="AN11" s="11" t="s">
        <v>13</v>
      </c>
      <c r="AO11" s="11" t="s">
        <v>14</v>
      </c>
      <c r="AP11" s="32"/>
      <c r="AQ11" s="32"/>
      <c r="AR11" s="33"/>
      <c r="AS11" s="34"/>
    </row>
    <row r="12" s="105" customFormat="1" ht="20.15" customHeight="1" spans="1:45">
      <c r="A12" s="68">
        <v>1</v>
      </c>
      <c r="B12" s="149" t="s">
        <v>15</v>
      </c>
      <c r="C12" s="164" t="s">
        <v>20</v>
      </c>
      <c r="D12" s="149" t="s">
        <v>217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259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113"/>
      <c r="AK12" s="151">
        <f t="shared" ref="AK12:AK75" si="0">COUNTIF(E12:AI12,"H")</f>
        <v>0</v>
      </c>
      <c r="AL12" s="47">
        <f t="shared" ref="AL12:AL75" si="1">COUNTIF(E12:AI12,"S")</f>
        <v>0</v>
      </c>
      <c r="AM12" s="36">
        <f t="shared" ref="AM12:AM75" si="2">COUNTIF(E12:AI12,"I")</f>
        <v>0</v>
      </c>
      <c r="AN12" s="35">
        <f t="shared" ref="AN12:AN75" si="3">COUNTIF(E12:AI12,"A")</f>
        <v>0</v>
      </c>
      <c r="AO12" s="36">
        <f t="shared" ref="AO12:AO75" si="4">COUNTIF(E12:AI12,"OFF")</f>
        <v>0</v>
      </c>
      <c r="AP12" s="48">
        <f t="shared" ref="AP12:AP75" si="5">SUM(AK12:AN12)</f>
        <v>0</v>
      </c>
      <c r="AQ12" s="37" t="s">
        <v>228</v>
      </c>
      <c r="AR12" s="38">
        <v>16</v>
      </c>
      <c r="AS12" s="39">
        <f t="shared" ref="AS12:AS75" si="6">AP12/AR12</f>
        <v>0</v>
      </c>
    </row>
    <row r="13" s="105" customFormat="1" ht="20.15" customHeight="1" spans="1:45">
      <c r="A13" s="68">
        <v>2</v>
      </c>
      <c r="B13" s="149" t="s">
        <v>17</v>
      </c>
      <c r="C13" s="149" t="s">
        <v>16</v>
      </c>
      <c r="D13" s="152" t="s">
        <v>265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259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113"/>
      <c r="AK13" s="151">
        <f t="shared" si="0"/>
        <v>0</v>
      </c>
      <c r="AL13" s="35">
        <f t="shared" si="1"/>
        <v>0</v>
      </c>
      <c r="AM13" s="36">
        <f t="shared" si="2"/>
        <v>0</v>
      </c>
      <c r="AN13" s="35">
        <f t="shared" si="3"/>
        <v>0</v>
      </c>
      <c r="AO13" s="36">
        <f t="shared" si="4"/>
        <v>0</v>
      </c>
      <c r="AP13" s="37">
        <f t="shared" si="5"/>
        <v>0</v>
      </c>
      <c r="AQ13" s="37"/>
      <c r="AR13" s="38">
        <v>16</v>
      </c>
      <c r="AS13" s="39">
        <f t="shared" si="6"/>
        <v>0</v>
      </c>
    </row>
    <row r="14" s="105" customFormat="1" ht="20.15" customHeight="1" spans="1:45">
      <c r="A14" s="68">
        <v>3</v>
      </c>
      <c r="B14" s="149" t="s">
        <v>116</v>
      </c>
      <c r="C14" s="150" t="s">
        <v>59</v>
      </c>
      <c r="D14" s="152" t="s">
        <v>199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259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113"/>
      <c r="AK14" s="151">
        <f t="shared" si="0"/>
        <v>0</v>
      </c>
      <c r="AL14" s="35">
        <f t="shared" si="1"/>
        <v>0</v>
      </c>
      <c r="AM14" s="35">
        <f t="shared" si="2"/>
        <v>0</v>
      </c>
      <c r="AN14" s="47">
        <f t="shared" si="3"/>
        <v>0</v>
      </c>
      <c r="AO14" s="36">
        <f t="shared" si="4"/>
        <v>0</v>
      </c>
      <c r="AP14" s="48">
        <f t="shared" si="5"/>
        <v>0</v>
      </c>
      <c r="AQ14" s="49"/>
      <c r="AR14" s="38">
        <v>16</v>
      </c>
      <c r="AS14" s="39">
        <f t="shared" si="6"/>
        <v>0</v>
      </c>
    </row>
    <row r="15" s="105" customFormat="1" ht="20.15" customHeight="1" spans="1:45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259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113"/>
      <c r="AK15" s="151">
        <f t="shared" si="0"/>
        <v>0</v>
      </c>
      <c r="AL15" s="35">
        <f t="shared" si="1"/>
        <v>0</v>
      </c>
      <c r="AM15" s="36">
        <f t="shared" si="2"/>
        <v>0</v>
      </c>
      <c r="AN15" s="36">
        <f t="shared" si="3"/>
        <v>0</v>
      </c>
      <c r="AO15" s="36">
        <f t="shared" si="4"/>
        <v>0</v>
      </c>
      <c r="AP15" s="37">
        <f t="shared" si="5"/>
        <v>0</v>
      </c>
      <c r="AQ15" s="37"/>
      <c r="AR15" s="38">
        <v>16</v>
      </c>
      <c r="AS15" s="39">
        <f t="shared" si="6"/>
        <v>0</v>
      </c>
    </row>
    <row r="16" s="105" customFormat="1" ht="20.15" customHeight="1" spans="1:45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259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113"/>
      <c r="AK16" s="151">
        <f t="shared" si="0"/>
        <v>0</v>
      </c>
      <c r="AL16" s="35">
        <f t="shared" si="1"/>
        <v>0</v>
      </c>
      <c r="AM16" s="36">
        <f t="shared" si="2"/>
        <v>0</v>
      </c>
      <c r="AN16" s="36">
        <f t="shared" si="3"/>
        <v>0</v>
      </c>
      <c r="AO16" s="36">
        <f t="shared" si="4"/>
        <v>0</v>
      </c>
      <c r="AP16" s="37">
        <f t="shared" si="5"/>
        <v>0</v>
      </c>
      <c r="AQ16" s="52"/>
      <c r="AR16" s="38">
        <v>16</v>
      </c>
      <c r="AS16" s="39">
        <f t="shared" si="6"/>
        <v>0</v>
      </c>
    </row>
    <row r="17" s="105" customFormat="1" ht="20.15" customHeight="1" spans="1:45">
      <c r="A17" s="68">
        <v>6</v>
      </c>
      <c r="B17" s="154" t="s">
        <v>23</v>
      </c>
      <c r="C17" s="154" t="s">
        <v>16</v>
      </c>
      <c r="D17" s="152" t="s">
        <v>301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 t="s">
        <v>13</v>
      </c>
      <c r="P17" s="96"/>
      <c r="Q17" s="96"/>
      <c r="R17" s="96"/>
      <c r="S17" s="96"/>
      <c r="T17" s="96"/>
      <c r="U17" s="259"/>
      <c r="V17" s="96"/>
      <c r="W17" s="96" t="s">
        <v>11</v>
      </c>
      <c r="X17" s="96"/>
      <c r="Y17" s="96"/>
      <c r="Z17" s="96"/>
      <c r="AA17" s="96"/>
      <c r="AB17" s="96"/>
      <c r="AC17" s="96"/>
      <c r="AD17" s="96"/>
      <c r="AE17" s="96" t="s">
        <v>11</v>
      </c>
      <c r="AF17" s="96"/>
      <c r="AG17" s="96"/>
      <c r="AH17" s="96"/>
      <c r="AI17" s="96"/>
      <c r="AJ17" s="113"/>
      <c r="AK17" s="151">
        <f t="shared" si="0"/>
        <v>0</v>
      </c>
      <c r="AL17" s="35">
        <f t="shared" si="1"/>
        <v>2</v>
      </c>
      <c r="AM17" s="36">
        <f t="shared" si="2"/>
        <v>0</v>
      </c>
      <c r="AN17" s="35">
        <f t="shared" si="3"/>
        <v>1</v>
      </c>
      <c r="AO17" s="36">
        <f t="shared" si="4"/>
        <v>0</v>
      </c>
      <c r="AP17" s="37">
        <f t="shared" si="5"/>
        <v>3</v>
      </c>
      <c r="AQ17" s="37" t="s">
        <v>302</v>
      </c>
      <c r="AR17" s="38">
        <v>16</v>
      </c>
      <c r="AS17" s="39">
        <f t="shared" si="6"/>
        <v>0.1875</v>
      </c>
    </row>
    <row r="18" s="105" customFormat="1" ht="20.15" customHeight="1" spans="1:45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259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113"/>
      <c r="AK18" s="151">
        <f t="shared" si="0"/>
        <v>0</v>
      </c>
      <c r="AL18" s="36">
        <f t="shared" si="1"/>
        <v>0</v>
      </c>
      <c r="AM18" s="35">
        <f t="shared" si="2"/>
        <v>0</v>
      </c>
      <c r="AN18" s="36">
        <f t="shared" si="3"/>
        <v>0</v>
      </c>
      <c r="AO18" s="36">
        <f t="shared" si="4"/>
        <v>0</v>
      </c>
      <c r="AP18" s="37">
        <f t="shared" si="5"/>
        <v>0</v>
      </c>
      <c r="AQ18" s="37"/>
      <c r="AR18" s="38">
        <v>16</v>
      </c>
      <c r="AS18" s="39">
        <f t="shared" si="6"/>
        <v>0</v>
      </c>
    </row>
    <row r="19" s="105" customFormat="1" ht="20.15" customHeight="1" spans="1:45">
      <c r="A19" s="68">
        <v>8</v>
      </c>
      <c r="B19" s="154" t="s">
        <v>26</v>
      </c>
      <c r="C19" s="150" t="s">
        <v>16</v>
      </c>
      <c r="D19" s="152" t="s">
        <v>219</v>
      </c>
      <c r="E19" s="260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259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113"/>
      <c r="AK19" s="151">
        <f t="shared" si="0"/>
        <v>0</v>
      </c>
      <c r="AL19" s="35">
        <f t="shared" si="1"/>
        <v>0</v>
      </c>
      <c r="AM19" s="36">
        <f t="shared" si="2"/>
        <v>0</v>
      </c>
      <c r="AN19" s="36">
        <f t="shared" si="3"/>
        <v>0</v>
      </c>
      <c r="AO19" s="36">
        <f t="shared" si="4"/>
        <v>0</v>
      </c>
      <c r="AP19" s="37">
        <f t="shared" si="5"/>
        <v>0</v>
      </c>
      <c r="AQ19" s="37"/>
      <c r="AR19" s="38">
        <v>16</v>
      </c>
      <c r="AS19" s="39">
        <f t="shared" si="6"/>
        <v>0</v>
      </c>
    </row>
    <row r="20" s="105" customFormat="1" ht="20.25" customHeight="1" spans="1:45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260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259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113"/>
      <c r="AK20" s="151">
        <f t="shared" si="0"/>
        <v>0</v>
      </c>
      <c r="AL20" s="35">
        <f t="shared" si="1"/>
        <v>0</v>
      </c>
      <c r="AM20" s="36">
        <f t="shared" si="2"/>
        <v>0</v>
      </c>
      <c r="AN20" s="36">
        <f t="shared" si="3"/>
        <v>0</v>
      </c>
      <c r="AO20" s="36">
        <f t="shared" si="4"/>
        <v>0</v>
      </c>
      <c r="AP20" s="37">
        <f t="shared" si="5"/>
        <v>0</v>
      </c>
      <c r="AQ20" s="52" t="s">
        <v>201</v>
      </c>
      <c r="AR20" s="38">
        <v>16</v>
      </c>
      <c r="AS20" s="39">
        <f t="shared" si="6"/>
        <v>0</v>
      </c>
    </row>
    <row r="21" s="105" customFormat="1" ht="20.15" customHeight="1" spans="1:45">
      <c r="A21" s="68">
        <v>10</v>
      </c>
      <c r="B21" s="154" t="s">
        <v>28</v>
      </c>
      <c r="C21" s="150" t="s">
        <v>16</v>
      </c>
      <c r="D21" s="152" t="s">
        <v>266</v>
      </c>
      <c r="E21" s="260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259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113"/>
      <c r="AK21" s="151">
        <f t="shared" si="0"/>
        <v>0</v>
      </c>
      <c r="AL21" s="35">
        <f t="shared" si="1"/>
        <v>0</v>
      </c>
      <c r="AM21" s="36">
        <f t="shared" si="2"/>
        <v>0</v>
      </c>
      <c r="AN21" s="36">
        <f t="shared" si="3"/>
        <v>0</v>
      </c>
      <c r="AO21" s="36">
        <f t="shared" si="4"/>
        <v>0</v>
      </c>
      <c r="AP21" s="37">
        <f t="shared" si="5"/>
        <v>0</v>
      </c>
      <c r="AQ21" s="37"/>
      <c r="AR21" s="38">
        <v>16</v>
      </c>
      <c r="AS21" s="39">
        <f t="shared" si="6"/>
        <v>0</v>
      </c>
    </row>
    <row r="22" s="105" customFormat="1" ht="20.15" customHeight="1" spans="1:45">
      <c r="A22" s="68">
        <v>11</v>
      </c>
      <c r="B22" s="155" t="s">
        <v>29</v>
      </c>
      <c r="C22" s="150" t="s">
        <v>16</v>
      </c>
      <c r="D22" s="149" t="s">
        <v>153</v>
      </c>
      <c r="E22" s="260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 t="s">
        <v>13</v>
      </c>
      <c r="T22" s="96"/>
      <c r="U22" s="259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113"/>
      <c r="AK22" s="151">
        <f t="shared" si="0"/>
        <v>0</v>
      </c>
      <c r="AL22" s="35">
        <f t="shared" si="1"/>
        <v>0</v>
      </c>
      <c r="AM22" s="36">
        <f t="shared" si="2"/>
        <v>0</v>
      </c>
      <c r="AN22" s="36">
        <f t="shared" si="3"/>
        <v>1</v>
      </c>
      <c r="AO22" s="36">
        <f t="shared" si="4"/>
        <v>0</v>
      </c>
      <c r="AP22" s="37">
        <f t="shared" si="5"/>
        <v>1</v>
      </c>
      <c r="AQ22" s="37" t="s">
        <v>303</v>
      </c>
      <c r="AR22" s="38">
        <v>16</v>
      </c>
      <c r="AS22" s="39">
        <f t="shared" si="6"/>
        <v>0.0625</v>
      </c>
    </row>
    <row r="23" s="105" customFormat="1" ht="20.15" customHeight="1" spans="1:45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260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259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113"/>
      <c r="AK23" s="151">
        <f t="shared" si="0"/>
        <v>0</v>
      </c>
      <c r="AL23" s="35">
        <f t="shared" si="1"/>
        <v>0</v>
      </c>
      <c r="AM23" s="35">
        <f t="shared" si="2"/>
        <v>0</v>
      </c>
      <c r="AN23" s="35">
        <f t="shared" si="3"/>
        <v>0</v>
      </c>
      <c r="AO23" s="36">
        <f t="shared" si="4"/>
        <v>0</v>
      </c>
      <c r="AP23" s="37">
        <f t="shared" si="5"/>
        <v>0</v>
      </c>
      <c r="AQ23" s="37" t="s">
        <v>25</v>
      </c>
      <c r="AR23" s="38">
        <v>16</v>
      </c>
      <c r="AS23" s="39">
        <f t="shared" si="6"/>
        <v>0</v>
      </c>
    </row>
    <row r="24" s="105" customFormat="1" ht="20.15" customHeight="1" spans="1:45">
      <c r="A24" s="68">
        <v>13</v>
      </c>
      <c r="B24" s="155" t="s">
        <v>31</v>
      </c>
      <c r="C24" s="150" t="s">
        <v>16</v>
      </c>
      <c r="D24" s="152" t="s">
        <v>203</v>
      </c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 t="s">
        <v>13</v>
      </c>
      <c r="P24" s="96"/>
      <c r="Q24" s="96"/>
      <c r="R24" s="96"/>
      <c r="S24" s="96"/>
      <c r="T24" s="96"/>
      <c r="U24" s="259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113"/>
      <c r="AK24" s="151">
        <f t="shared" si="0"/>
        <v>0</v>
      </c>
      <c r="AL24" s="35">
        <f t="shared" si="1"/>
        <v>0</v>
      </c>
      <c r="AM24" s="35">
        <f t="shared" si="2"/>
        <v>0</v>
      </c>
      <c r="AN24" s="36">
        <f t="shared" si="3"/>
        <v>1</v>
      </c>
      <c r="AO24" s="36">
        <f t="shared" si="4"/>
        <v>0</v>
      </c>
      <c r="AP24" s="37">
        <f t="shared" si="5"/>
        <v>1</v>
      </c>
      <c r="AQ24" s="52" t="s">
        <v>204</v>
      </c>
      <c r="AR24" s="38">
        <v>16</v>
      </c>
      <c r="AS24" s="39">
        <f t="shared" si="6"/>
        <v>0.0625</v>
      </c>
    </row>
    <row r="25" s="105" customFormat="1" ht="20.15" customHeight="1" spans="1:45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259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113"/>
      <c r="AK25" s="151">
        <f t="shared" si="0"/>
        <v>0</v>
      </c>
      <c r="AL25" s="35">
        <f t="shared" si="1"/>
        <v>0</v>
      </c>
      <c r="AM25" s="35">
        <f t="shared" si="2"/>
        <v>0</v>
      </c>
      <c r="AN25" s="47">
        <f t="shared" si="3"/>
        <v>0</v>
      </c>
      <c r="AO25" s="36">
        <f t="shared" si="4"/>
        <v>0</v>
      </c>
      <c r="AP25" s="37">
        <f t="shared" si="5"/>
        <v>0</v>
      </c>
      <c r="AQ25" s="38" t="s">
        <v>168</v>
      </c>
      <c r="AR25" s="38">
        <v>16</v>
      </c>
      <c r="AS25" s="39">
        <f t="shared" si="6"/>
        <v>0</v>
      </c>
    </row>
    <row r="26" s="105" customFormat="1" ht="20.15" customHeight="1" spans="1:45">
      <c r="A26" s="68">
        <v>15</v>
      </c>
      <c r="B26" s="154" t="s">
        <v>33</v>
      </c>
      <c r="C26" s="150" t="s">
        <v>16</v>
      </c>
      <c r="D26" s="149" t="s">
        <v>163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 t="s">
        <v>13</v>
      </c>
      <c r="Q26" s="96"/>
      <c r="R26" s="96"/>
      <c r="S26" s="96"/>
      <c r="T26" s="96"/>
      <c r="U26" s="259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113"/>
      <c r="AK26" s="151">
        <f t="shared" si="0"/>
        <v>0</v>
      </c>
      <c r="AL26" s="35">
        <f t="shared" si="1"/>
        <v>0</v>
      </c>
      <c r="AM26" s="36">
        <f t="shared" si="2"/>
        <v>0</v>
      </c>
      <c r="AN26" s="36">
        <f t="shared" si="3"/>
        <v>1</v>
      </c>
      <c r="AO26" s="36">
        <f t="shared" si="4"/>
        <v>0</v>
      </c>
      <c r="AP26" s="37">
        <f t="shared" si="5"/>
        <v>1</v>
      </c>
      <c r="AQ26" s="37" t="s">
        <v>228</v>
      </c>
      <c r="AR26" s="38">
        <v>16</v>
      </c>
      <c r="AS26" s="39">
        <f t="shared" si="6"/>
        <v>0.0625</v>
      </c>
    </row>
    <row r="27" s="105" customFormat="1" ht="20.15" customHeight="1" spans="1:45">
      <c r="A27" s="68">
        <v>16</v>
      </c>
      <c r="B27" s="154" t="s">
        <v>34</v>
      </c>
      <c r="C27" s="150" t="s">
        <v>16</v>
      </c>
      <c r="D27" s="149" t="str">
        <f>VLOOKUP(B27,'[1]MASTER DATA 2025'!$C$3:$E$279,3,0)</f>
        <v>0Tahun8 Bulan</v>
      </c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259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113"/>
      <c r="AK27" s="151">
        <f t="shared" si="0"/>
        <v>0</v>
      </c>
      <c r="AL27" s="35">
        <f t="shared" si="1"/>
        <v>0</v>
      </c>
      <c r="AM27" s="36">
        <f t="shared" si="2"/>
        <v>0</v>
      </c>
      <c r="AN27" s="36">
        <f t="shared" si="3"/>
        <v>0</v>
      </c>
      <c r="AO27" s="36">
        <f t="shared" si="4"/>
        <v>0</v>
      </c>
      <c r="AP27" s="37">
        <f t="shared" si="5"/>
        <v>0</v>
      </c>
      <c r="AQ27" s="37" t="s">
        <v>25</v>
      </c>
      <c r="AR27" s="38">
        <v>16</v>
      </c>
      <c r="AS27" s="39">
        <f t="shared" si="6"/>
        <v>0</v>
      </c>
    </row>
    <row r="28" s="105" customFormat="1" ht="20.15" customHeight="1" spans="1:45">
      <c r="A28" s="68">
        <v>17</v>
      </c>
      <c r="B28" s="154" t="s">
        <v>35</v>
      </c>
      <c r="C28" s="150" t="s">
        <v>16</v>
      </c>
      <c r="D28" s="149" t="s">
        <v>267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 t="s">
        <v>11</v>
      </c>
      <c r="U28" s="259" t="s">
        <v>11</v>
      </c>
      <c r="V28" s="96"/>
      <c r="W28" s="96"/>
      <c r="X28" s="96"/>
      <c r="Y28" s="96" t="s">
        <v>11</v>
      </c>
      <c r="Z28" s="96" t="s">
        <v>11</v>
      </c>
      <c r="AA28" s="96"/>
      <c r="AB28" s="96"/>
      <c r="AC28" s="96"/>
      <c r="AD28" s="96"/>
      <c r="AE28" s="96"/>
      <c r="AF28" s="96"/>
      <c r="AG28" s="96"/>
      <c r="AH28" s="96"/>
      <c r="AI28" s="96"/>
      <c r="AJ28" s="113"/>
      <c r="AK28" s="151">
        <f t="shared" si="0"/>
        <v>0</v>
      </c>
      <c r="AL28" s="35">
        <f t="shared" si="1"/>
        <v>4</v>
      </c>
      <c r="AM28" s="36">
        <f t="shared" si="2"/>
        <v>0</v>
      </c>
      <c r="AN28" s="36">
        <f t="shared" si="3"/>
        <v>0</v>
      </c>
      <c r="AO28" s="36">
        <f t="shared" si="4"/>
        <v>0</v>
      </c>
      <c r="AP28" s="37">
        <f t="shared" si="5"/>
        <v>4</v>
      </c>
      <c r="AQ28" s="37" t="s">
        <v>304</v>
      </c>
      <c r="AR28" s="38">
        <v>16</v>
      </c>
      <c r="AS28" s="39">
        <f t="shared" si="6"/>
        <v>0.25</v>
      </c>
    </row>
    <row r="29" s="105" customFormat="1" ht="20.15" customHeight="1" spans="1:45">
      <c r="A29" s="68">
        <v>18</v>
      </c>
      <c r="B29" s="149" t="s">
        <v>36</v>
      </c>
      <c r="C29" s="150" t="s">
        <v>20</v>
      </c>
      <c r="D29" s="149" t="s">
        <v>242</v>
      </c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259"/>
      <c r="V29" s="96"/>
      <c r="W29" s="96"/>
      <c r="X29" s="96"/>
      <c r="Y29" s="96"/>
      <c r="Z29" s="96"/>
      <c r="AA29" s="96" t="s">
        <v>11</v>
      </c>
      <c r="AB29" s="96"/>
      <c r="AC29" s="96"/>
      <c r="AD29" s="96"/>
      <c r="AE29" s="96"/>
      <c r="AF29" s="96"/>
      <c r="AG29" s="96"/>
      <c r="AH29" s="96"/>
      <c r="AI29" s="96"/>
      <c r="AJ29" s="113"/>
      <c r="AK29" s="151">
        <f t="shared" si="0"/>
        <v>0</v>
      </c>
      <c r="AL29" s="35">
        <f t="shared" si="1"/>
        <v>1</v>
      </c>
      <c r="AM29" s="35">
        <f t="shared" si="2"/>
        <v>0</v>
      </c>
      <c r="AN29" s="47">
        <f t="shared" si="3"/>
        <v>0</v>
      </c>
      <c r="AO29" s="36">
        <f t="shared" si="4"/>
        <v>0</v>
      </c>
      <c r="AP29" s="37">
        <f t="shared" si="5"/>
        <v>1</v>
      </c>
      <c r="AQ29" s="37" t="s">
        <v>305</v>
      </c>
      <c r="AR29" s="38">
        <v>16</v>
      </c>
      <c r="AS29" s="39">
        <f t="shared" si="6"/>
        <v>0.0625</v>
      </c>
    </row>
    <row r="30" s="105" customFormat="1" ht="20.15" customHeight="1" spans="1:45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 t="s">
        <v>13</v>
      </c>
      <c r="Q30" s="96"/>
      <c r="R30" s="96"/>
      <c r="S30" s="96"/>
      <c r="T30" s="96"/>
      <c r="U30" s="259"/>
      <c r="V30" s="96"/>
      <c r="W30" s="96"/>
      <c r="X30" s="96"/>
      <c r="Y30" s="96"/>
      <c r="Z30" s="96"/>
      <c r="AA30" s="96"/>
      <c r="AB30" s="96" t="s">
        <v>11</v>
      </c>
      <c r="AC30" s="96"/>
      <c r="AD30" s="96"/>
      <c r="AE30" s="96"/>
      <c r="AF30" s="96"/>
      <c r="AG30" s="96"/>
      <c r="AH30" s="96"/>
      <c r="AI30" s="96"/>
      <c r="AJ30" s="113"/>
      <c r="AK30" s="151">
        <f t="shared" si="0"/>
        <v>0</v>
      </c>
      <c r="AL30" s="35">
        <f t="shared" si="1"/>
        <v>1</v>
      </c>
      <c r="AM30" s="35">
        <f t="shared" si="2"/>
        <v>0</v>
      </c>
      <c r="AN30" s="35">
        <f t="shared" si="3"/>
        <v>1</v>
      </c>
      <c r="AO30" s="36">
        <f t="shared" si="4"/>
        <v>0</v>
      </c>
      <c r="AP30" s="37">
        <f t="shared" si="5"/>
        <v>2</v>
      </c>
      <c r="AQ30" s="52" t="s">
        <v>208</v>
      </c>
      <c r="AR30" s="38">
        <v>16</v>
      </c>
      <c r="AS30" s="39">
        <f t="shared" si="6"/>
        <v>0.125</v>
      </c>
    </row>
    <row r="31" s="105" customFormat="1" ht="20.15" customHeight="1" spans="1:45">
      <c r="A31" s="68">
        <v>20</v>
      </c>
      <c r="B31" s="154" t="s">
        <v>39</v>
      </c>
      <c r="C31" s="150" t="s">
        <v>16</v>
      </c>
      <c r="D31" s="152" t="s">
        <v>265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259"/>
      <c r="V31" s="96" t="s">
        <v>11</v>
      </c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113"/>
      <c r="AK31" s="151">
        <f t="shared" si="0"/>
        <v>0</v>
      </c>
      <c r="AL31" s="35">
        <f t="shared" si="1"/>
        <v>1</v>
      </c>
      <c r="AM31" s="36">
        <f t="shared" si="2"/>
        <v>0</v>
      </c>
      <c r="AN31" s="36">
        <f t="shared" si="3"/>
        <v>0</v>
      </c>
      <c r="AO31" s="36">
        <f t="shared" si="4"/>
        <v>0</v>
      </c>
      <c r="AP31" s="37">
        <f t="shared" si="5"/>
        <v>1</v>
      </c>
      <c r="AQ31" s="37" t="s">
        <v>302</v>
      </c>
      <c r="AR31" s="38">
        <v>16</v>
      </c>
      <c r="AS31" s="39">
        <f t="shared" si="6"/>
        <v>0.0625</v>
      </c>
    </row>
    <row r="32" s="105" customFormat="1" ht="20.15" customHeight="1" spans="1:45">
      <c r="A32" s="68">
        <v>21</v>
      </c>
      <c r="B32" s="154" t="s">
        <v>41</v>
      </c>
      <c r="C32" s="150" t="s">
        <v>16</v>
      </c>
      <c r="D32" s="149" t="str">
        <f>VLOOKUP(B32,'[1]MASTER DATA 2025'!$C$3:$E$279,3,0)</f>
        <v>0Tahun2 Bulan</v>
      </c>
      <c r="E32" s="96"/>
      <c r="F32" s="96" t="s">
        <v>13</v>
      </c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259"/>
      <c r="V32" s="96"/>
      <c r="W32" s="96" t="s">
        <v>13</v>
      </c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113"/>
      <c r="AK32" s="151">
        <f t="shared" si="0"/>
        <v>0</v>
      </c>
      <c r="AL32" s="35">
        <f t="shared" si="1"/>
        <v>0</v>
      </c>
      <c r="AM32" s="35">
        <f t="shared" si="2"/>
        <v>0</v>
      </c>
      <c r="AN32" s="36">
        <f t="shared" si="3"/>
        <v>2</v>
      </c>
      <c r="AO32" s="36">
        <f t="shared" si="4"/>
        <v>0</v>
      </c>
      <c r="AP32" s="37">
        <f t="shared" si="5"/>
        <v>2</v>
      </c>
      <c r="AQ32" s="37" t="s">
        <v>228</v>
      </c>
      <c r="AR32" s="38">
        <v>16</v>
      </c>
      <c r="AS32" s="39">
        <f t="shared" si="6"/>
        <v>0.125</v>
      </c>
    </row>
    <row r="33" s="105" customFormat="1" ht="20.15" customHeight="1" spans="1:45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259"/>
      <c r="V33" s="96"/>
      <c r="W33" s="96"/>
      <c r="X33" s="96"/>
      <c r="Y33" s="96"/>
      <c r="Z33" s="96"/>
      <c r="AA33" s="96"/>
      <c r="AB33" s="96"/>
      <c r="AC33" s="96" t="s">
        <v>103</v>
      </c>
      <c r="AD33" s="96"/>
      <c r="AE33" s="96"/>
      <c r="AF33" s="96"/>
      <c r="AG33" s="96"/>
      <c r="AH33" s="96"/>
      <c r="AI33" s="96"/>
      <c r="AJ33" s="113"/>
      <c r="AK33" s="151">
        <f t="shared" si="0"/>
        <v>0</v>
      </c>
      <c r="AL33" s="35">
        <f t="shared" si="1"/>
        <v>0</v>
      </c>
      <c r="AM33" s="36">
        <f t="shared" si="2"/>
        <v>1</v>
      </c>
      <c r="AN33" s="36">
        <f t="shared" si="3"/>
        <v>0</v>
      </c>
      <c r="AO33" s="36">
        <f t="shared" si="4"/>
        <v>0</v>
      </c>
      <c r="AP33" s="37">
        <f t="shared" si="5"/>
        <v>1</v>
      </c>
      <c r="AQ33" s="37"/>
      <c r="AR33" s="38">
        <v>16</v>
      </c>
      <c r="AS33" s="39">
        <f t="shared" si="6"/>
        <v>0.0625</v>
      </c>
    </row>
    <row r="34" s="105" customFormat="1" ht="20.15" customHeight="1" spans="1:45">
      <c r="A34" s="68">
        <v>23</v>
      </c>
      <c r="B34" s="157" t="s">
        <v>44</v>
      </c>
      <c r="C34" s="150" t="s">
        <v>16</v>
      </c>
      <c r="D34" s="149" t="s">
        <v>268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259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113"/>
      <c r="AK34" s="151">
        <f t="shared" si="0"/>
        <v>0</v>
      </c>
      <c r="AL34" s="35">
        <f t="shared" si="1"/>
        <v>0</v>
      </c>
      <c r="AM34" s="35">
        <f t="shared" si="2"/>
        <v>0</v>
      </c>
      <c r="AN34" s="36">
        <f t="shared" si="3"/>
        <v>0</v>
      </c>
      <c r="AO34" s="36">
        <f t="shared" si="4"/>
        <v>0</v>
      </c>
      <c r="AP34" s="37">
        <f t="shared" si="5"/>
        <v>0</v>
      </c>
      <c r="AQ34" s="37"/>
      <c r="AR34" s="38">
        <v>16</v>
      </c>
      <c r="AS34" s="39">
        <f t="shared" si="6"/>
        <v>0</v>
      </c>
    </row>
    <row r="35" s="105" customFormat="1" ht="20.15" customHeight="1" spans="1:45">
      <c r="A35" s="68">
        <v>24</v>
      </c>
      <c r="B35" s="249" t="s">
        <v>117</v>
      </c>
      <c r="C35" s="150" t="s">
        <v>16</v>
      </c>
      <c r="D35" s="152" t="s">
        <v>306</v>
      </c>
      <c r="E35" s="96"/>
      <c r="F35" s="96"/>
      <c r="G35" s="96" t="s">
        <v>13</v>
      </c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259"/>
      <c r="V35" s="96" t="s">
        <v>12</v>
      </c>
      <c r="W35" s="96"/>
      <c r="X35" s="96"/>
      <c r="Y35" s="96"/>
      <c r="Z35" s="96" t="s">
        <v>12</v>
      </c>
      <c r="AA35" s="96"/>
      <c r="AB35" s="96"/>
      <c r="AC35" s="96"/>
      <c r="AD35" s="96"/>
      <c r="AE35" s="96"/>
      <c r="AF35" s="96"/>
      <c r="AG35" s="96"/>
      <c r="AH35" s="96"/>
      <c r="AI35" s="96"/>
      <c r="AJ35" s="113"/>
      <c r="AK35" s="151">
        <f t="shared" si="0"/>
        <v>0</v>
      </c>
      <c r="AL35" s="35">
        <f t="shared" si="1"/>
        <v>0</v>
      </c>
      <c r="AM35" s="36">
        <f t="shared" si="2"/>
        <v>2</v>
      </c>
      <c r="AN35" s="35">
        <f t="shared" si="3"/>
        <v>1</v>
      </c>
      <c r="AO35" s="36">
        <f t="shared" si="4"/>
        <v>0</v>
      </c>
      <c r="AP35" s="37">
        <f t="shared" si="5"/>
        <v>3</v>
      </c>
      <c r="AQ35" s="130" t="s">
        <v>194</v>
      </c>
      <c r="AR35" s="38">
        <v>16</v>
      </c>
      <c r="AS35" s="39">
        <f t="shared" si="6"/>
        <v>0.1875</v>
      </c>
    </row>
    <row r="36" s="105" customFormat="1" ht="20.15" customHeight="1" spans="1:45">
      <c r="A36" s="68">
        <v>25</v>
      </c>
      <c r="B36" s="153" t="s">
        <v>46</v>
      </c>
      <c r="C36" s="150" t="s">
        <v>16</v>
      </c>
      <c r="D36" s="152" t="s">
        <v>163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 t="s">
        <v>13</v>
      </c>
      <c r="Q36" s="96"/>
      <c r="R36" s="96"/>
      <c r="S36" s="96" t="s">
        <v>13</v>
      </c>
      <c r="T36" s="96"/>
      <c r="U36" s="259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113"/>
      <c r="AK36" s="151">
        <f t="shared" si="0"/>
        <v>0</v>
      </c>
      <c r="AL36" s="35">
        <f t="shared" si="1"/>
        <v>0</v>
      </c>
      <c r="AM36" s="35">
        <f t="shared" si="2"/>
        <v>0</v>
      </c>
      <c r="AN36" s="35">
        <f t="shared" si="3"/>
        <v>2</v>
      </c>
      <c r="AO36" s="36">
        <f t="shared" si="4"/>
        <v>0</v>
      </c>
      <c r="AP36" s="37">
        <f t="shared" si="5"/>
        <v>2</v>
      </c>
      <c r="AQ36" s="37" t="s">
        <v>228</v>
      </c>
      <c r="AR36" s="38">
        <v>16</v>
      </c>
      <c r="AS36" s="39">
        <f t="shared" si="6"/>
        <v>0.125</v>
      </c>
    </row>
    <row r="37" s="105" customFormat="1" ht="20.15" customHeight="1" spans="1:45">
      <c r="A37" s="68">
        <v>26</v>
      </c>
      <c r="B37" s="149" t="s">
        <v>47</v>
      </c>
      <c r="C37" s="150" t="s">
        <v>211</v>
      </c>
      <c r="D37" s="152" t="s">
        <v>212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259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113"/>
      <c r="AK37" s="151">
        <f t="shared" si="0"/>
        <v>0</v>
      </c>
      <c r="AL37" s="35">
        <f t="shared" si="1"/>
        <v>0</v>
      </c>
      <c r="AM37" s="36">
        <f t="shared" si="2"/>
        <v>0</v>
      </c>
      <c r="AN37" s="36">
        <f t="shared" si="3"/>
        <v>0</v>
      </c>
      <c r="AO37" s="36">
        <f t="shared" si="4"/>
        <v>0</v>
      </c>
      <c r="AP37" s="37">
        <f t="shared" si="5"/>
        <v>0</v>
      </c>
      <c r="AQ37" s="52" t="s">
        <v>201</v>
      </c>
      <c r="AR37" s="38">
        <v>16</v>
      </c>
      <c r="AS37" s="39">
        <f t="shared" si="6"/>
        <v>0</v>
      </c>
    </row>
    <row r="38" s="105" customFormat="1" ht="20.15" customHeight="1" spans="1:45">
      <c r="A38" s="68">
        <v>27</v>
      </c>
      <c r="B38" s="149" t="s">
        <v>48</v>
      </c>
      <c r="C38" s="150" t="s">
        <v>16</v>
      </c>
      <c r="D38" s="149" t="s">
        <v>196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 t="s">
        <v>13</v>
      </c>
      <c r="Q38" s="96"/>
      <c r="R38" s="96"/>
      <c r="S38" s="96" t="s">
        <v>12</v>
      </c>
      <c r="T38" s="96"/>
      <c r="U38" s="259"/>
      <c r="V38" s="96"/>
      <c r="W38" s="96" t="s">
        <v>12</v>
      </c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113"/>
      <c r="AK38" s="151">
        <f t="shared" si="0"/>
        <v>0</v>
      </c>
      <c r="AL38" s="35">
        <f t="shared" si="1"/>
        <v>0</v>
      </c>
      <c r="AM38" s="35">
        <f t="shared" si="2"/>
        <v>2</v>
      </c>
      <c r="AN38" s="47">
        <f t="shared" si="3"/>
        <v>1</v>
      </c>
      <c r="AO38" s="36">
        <f t="shared" si="4"/>
        <v>0</v>
      </c>
      <c r="AP38" s="37">
        <f t="shared" si="5"/>
        <v>3</v>
      </c>
      <c r="AQ38" s="38" t="s">
        <v>264</v>
      </c>
      <c r="AR38" s="38">
        <v>16</v>
      </c>
      <c r="AS38" s="39">
        <f t="shared" si="6"/>
        <v>0.1875</v>
      </c>
    </row>
    <row r="39" s="105" customFormat="1" ht="20.15" customHeight="1" spans="1:45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259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113"/>
      <c r="AK39" s="151">
        <f t="shared" si="0"/>
        <v>0</v>
      </c>
      <c r="AL39" s="35">
        <f t="shared" si="1"/>
        <v>0</v>
      </c>
      <c r="AM39" s="36">
        <f t="shared" si="2"/>
        <v>0</v>
      </c>
      <c r="AN39" s="35">
        <f t="shared" si="3"/>
        <v>0</v>
      </c>
      <c r="AO39" s="36">
        <f t="shared" si="4"/>
        <v>0</v>
      </c>
      <c r="AP39" s="37">
        <f t="shared" si="5"/>
        <v>0</v>
      </c>
      <c r="AQ39" s="49" t="s">
        <v>118</v>
      </c>
      <c r="AR39" s="38">
        <v>16</v>
      </c>
      <c r="AS39" s="39">
        <f t="shared" si="6"/>
        <v>0</v>
      </c>
    </row>
    <row r="40" s="105" customFormat="1" ht="20.15" customHeight="1" spans="1:45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259"/>
      <c r="V40" s="96"/>
      <c r="W40" s="96"/>
      <c r="X40" s="96"/>
      <c r="Y40" s="96"/>
      <c r="Z40" s="96"/>
      <c r="AA40" s="96"/>
      <c r="AB40" s="96"/>
      <c r="AC40" s="96"/>
      <c r="AD40" s="96" t="s">
        <v>11</v>
      </c>
      <c r="AE40" s="96"/>
      <c r="AF40" s="96"/>
      <c r="AG40" s="96"/>
      <c r="AH40" s="96"/>
      <c r="AI40" s="96"/>
      <c r="AJ40" s="113"/>
      <c r="AK40" s="151">
        <f t="shared" si="0"/>
        <v>0</v>
      </c>
      <c r="AL40" s="35">
        <f t="shared" si="1"/>
        <v>1</v>
      </c>
      <c r="AM40" s="36">
        <f t="shared" si="2"/>
        <v>0</v>
      </c>
      <c r="AN40" s="36">
        <f t="shared" si="3"/>
        <v>0</v>
      </c>
      <c r="AO40" s="36">
        <f t="shared" si="4"/>
        <v>0</v>
      </c>
      <c r="AP40" s="128">
        <f t="shared" si="5"/>
        <v>1</v>
      </c>
      <c r="AQ40" s="37" t="s">
        <v>228</v>
      </c>
      <c r="AR40" s="38">
        <v>16</v>
      </c>
      <c r="AS40" s="72">
        <f t="shared" si="6"/>
        <v>0.0625</v>
      </c>
    </row>
    <row r="41" s="105" customFormat="1" ht="20.15" customHeight="1" spans="1:45">
      <c r="A41" s="68">
        <v>30</v>
      </c>
      <c r="B41" s="154" t="s">
        <v>51</v>
      </c>
      <c r="C41" s="150" t="s">
        <v>16</v>
      </c>
      <c r="D41" s="149" t="s">
        <v>196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 t="s">
        <v>13</v>
      </c>
      <c r="Q41" s="96"/>
      <c r="R41" s="96"/>
      <c r="S41" s="96"/>
      <c r="T41" s="96"/>
      <c r="U41" s="259"/>
      <c r="V41" s="96" t="s">
        <v>11</v>
      </c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113"/>
      <c r="AK41" s="151">
        <f t="shared" si="0"/>
        <v>0</v>
      </c>
      <c r="AL41" s="35">
        <f t="shared" si="1"/>
        <v>1</v>
      </c>
      <c r="AM41" s="36">
        <f t="shared" si="2"/>
        <v>0</v>
      </c>
      <c r="AN41" s="36">
        <f t="shared" si="3"/>
        <v>1</v>
      </c>
      <c r="AO41" s="36">
        <f t="shared" si="4"/>
        <v>0</v>
      </c>
      <c r="AP41" s="37">
        <f t="shared" si="5"/>
        <v>2</v>
      </c>
      <c r="AQ41" s="37" t="s">
        <v>302</v>
      </c>
      <c r="AR41" s="38">
        <v>26</v>
      </c>
      <c r="AS41" s="39">
        <f t="shared" si="6"/>
        <v>0.0769230769230769</v>
      </c>
    </row>
    <row r="42" s="105" customFormat="1" ht="20.15" customHeight="1" spans="1:45">
      <c r="A42" s="68">
        <v>31</v>
      </c>
      <c r="B42" s="154" t="s">
        <v>52</v>
      </c>
      <c r="C42" s="150" t="s">
        <v>16</v>
      </c>
      <c r="D42" s="149" t="str">
        <f>VLOOKUP(B42,'[1]MASTER DATA 2025'!$C$3:$E$279,3,0)</f>
        <v>2Tahun3 Bulan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259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113"/>
      <c r="AK42" s="151">
        <f t="shared" si="0"/>
        <v>0</v>
      </c>
      <c r="AL42" s="35">
        <f t="shared" si="1"/>
        <v>0</v>
      </c>
      <c r="AM42" s="36">
        <f t="shared" si="2"/>
        <v>0</v>
      </c>
      <c r="AN42" s="36">
        <f t="shared" si="3"/>
        <v>0</v>
      </c>
      <c r="AO42" s="36">
        <f t="shared" si="4"/>
        <v>0</v>
      </c>
      <c r="AP42" s="37">
        <f t="shared" si="5"/>
        <v>0</v>
      </c>
      <c r="AQ42" s="37" t="s">
        <v>198</v>
      </c>
      <c r="AR42" s="38">
        <v>26</v>
      </c>
      <c r="AS42" s="39">
        <f t="shared" si="6"/>
        <v>0</v>
      </c>
    </row>
    <row r="43" s="105" customFormat="1" ht="20.15" customHeight="1" spans="1:45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259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142"/>
      <c r="AK43" s="151">
        <f t="shared" si="0"/>
        <v>0</v>
      </c>
      <c r="AL43" s="35">
        <f t="shared" si="1"/>
        <v>0</v>
      </c>
      <c r="AM43" s="36">
        <f t="shared" si="2"/>
        <v>0</v>
      </c>
      <c r="AN43" s="36">
        <f t="shared" si="3"/>
        <v>0</v>
      </c>
      <c r="AO43" s="36">
        <f t="shared" si="4"/>
        <v>0</v>
      </c>
      <c r="AP43" s="37">
        <f t="shared" si="5"/>
        <v>0</v>
      </c>
      <c r="AQ43" s="37" t="s">
        <v>25</v>
      </c>
      <c r="AR43" s="38">
        <v>26</v>
      </c>
      <c r="AS43" s="39">
        <f t="shared" si="6"/>
        <v>0</v>
      </c>
    </row>
    <row r="44" s="105" customFormat="1" ht="20.15" customHeight="1" spans="1:45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259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113"/>
      <c r="AK44" s="151">
        <f t="shared" si="0"/>
        <v>0</v>
      </c>
      <c r="AL44" s="35">
        <f t="shared" si="1"/>
        <v>0</v>
      </c>
      <c r="AM44" s="36">
        <f t="shared" si="2"/>
        <v>0</v>
      </c>
      <c r="AN44" s="36">
        <f t="shared" si="3"/>
        <v>0</v>
      </c>
      <c r="AO44" s="36">
        <f t="shared" si="4"/>
        <v>0</v>
      </c>
      <c r="AP44" s="37">
        <f t="shared" si="5"/>
        <v>0</v>
      </c>
      <c r="AQ44" s="37" t="s">
        <v>25</v>
      </c>
      <c r="AR44" s="38">
        <v>26</v>
      </c>
      <c r="AS44" s="39">
        <f t="shared" si="6"/>
        <v>0</v>
      </c>
    </row>
    <row r="45" s="105" customFormat="1" ht="20.15" customHeight="1" spans="1:45">
      <c r="A45" s="68">
        <v>34</v>
      </c>
      <c r="B45" s="158" t="s">
        <v>55</v>
      </c>
      <c r="C45" s="150" t="s">
        <v>16</v>
      </c>
      <c r="D45" s="149" t="str">
        <f>VLOOKUP(B45,'[1]MASTER DATA 2025'!$C$3:$E$279,3,0)</f>
        <v>2Tahun1 Bulan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259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113"/>
      <c r="AK45" s="151">
        <f t="shared" si="0"/>
        <v>0</v>
      </c>
      <c r="AL45" s="35">
        <f t="shared" si="1"/>
        <v>0</v>
      </c>
      <c r="AM45" s="36">
        <f t="shared" si="2"/>
        <v>0</v>
      </c>
      <c r="AN45" s="36">
        <f t="shared" si="3"/>
        <v>0</v>
      </c>
      <c r="AO45" s="36">
        <f t="shared" si="4"/>
        <v>0</v>
      </c>
      <c r="AP45" s="37">
        <f t="shared" si="5"/>
        <v>0</v>
      </c>
      <c r="AQ45" s="37"/>
      <c r="AR45" s="38">
        <v>26</v>
      </c>
      <c r="AS45" s="39">
        <f t="shared" si="6"/>
        <v>0</v>
      </c>
    </row>
    <row r="46" s="105" customFormat="1" ht="20.15" customHeight="1" spans="1:45">
      <c r="A46" s="68">
        <v>35</v>
      </c>
      <c r="B46" s="154" t="s">
        <v>56</v>
      </c>
      <c r="C46" s="150" t="s">
        <v>16</v>
      </c>
      <c r="D46" s="149" t="s">
        <v>231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 t="s">
        <v>13</v>
      </c>
      <c r="Q46" s="96"/>
      <c r="R46" s="96" t="s">
        <v>13</v>
      </c>
      <c r="S46" s="96"/>
      <c r="T46" s="96"/>
      <c r="U46" s="259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113"/>
      <c r="AK46" s="151">
        <f t="shared" si="0"/>
        <v>0</v>
      </c>
      <c r="AL46" s="35">
        <f t="shared" si="1"/>
        <v>0</v>
      </c>
      <c r="AM46" s="36">
        <f t="shared" si="2"/>
        <v>0</v>
      </c>
      <c r="AN46" s="35">
        <f t="shared" si="3"/>
        <v>2</v>
      </c>
      <c r="AO46" s="36">
        <f t="shared" si="4"/>
        <v>0</v>
      </c>
      <c r="AP46" s="37">
        <f t="shared" si="5"/>
        <v>2</v>
      </c>
      <c r="AQ46" s="37" t="s">
        <v>228</v>
      </c>
      <c r="AR46" s="38">
        <v>26</v>
      </c>
      <c r="AS46" s="39">
        <f t="shared" si="6"/>
        <v>0.0769230769230769</v>
      </c>
    </row>
    <row r="47" s="105" customFormat="1" ht="20.15" customHeight="1" spans="1:45">
      <c r="A47" s="68">
        <v>36</v>
      </c>
      <c r="B47" s="159" t="s">
        <v>57</v>
      </c>
      <c r="C47" s="150" t="s">
        <v>16</v>
      </c>
      <c r="D47" s="149" t="str">
        <f>VLOOKUP(B47,'[1]MASTER DATA 2025'!$C$3:$E$279,3,0)</f>
        <v>0Tahun2 Bulan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 t="s">
        <v>11</v>
      </c>
      <c r="Q47" s="96"/>
      <c r="R47" s="96"/>
      <c r="S47" s="96"/>
      <c r="T47" s="96"/>
      <c r="U47" s="259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113"/>
      <c r="AK47" s="151">
        <f t="shared" si="0"/>
        <v>0</v>
      </c>
      <c r="AL47" s="35">
        <f t="shared" si="1"/>
        <v>1</v>
      </c>
      <c r="AM47" s="36">
        <f t="shared" si="2"/>
        <v>0</v>
      </c>
      <c r="AN47" s="36">
        <f t="shared" si="3"/>
        <v>0</v>
      </c>
      <c r="AO47" s="36">
        <f t="shared" si="4"/>
        <v>0</v>
      </c>
      <c r="AP47" s="37">
        <f t="shared" si="5"/>
        <v>1</v>
      </c>
      <c r="AQ47" s="37"/>
      <c r="AR47" s="38">
        <v>26</v>
      </c>
      <c r="AS47" s="39">
        <f t="shared" si="6"/>
        <v>0.0384615384615385</v>
      </c>
    </row>
    <row r="48" s="105" customFormat="1" ht="19.5" customHeight="1" spans="1:45">
      <c r="A48" s="68">
        <v>37</v>
      </c>
      <c r="B48" s="149" t="s">
        <v>58</v>
      </c>
      <c r="C48" s="150" t="s">
        <v>59</v>
      </c>
      <c r="D48" s="149" t="s">
        <v>271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 t="s">
        <v>13</v>
      </c>
      <c r="T48" s="96"/>
      <c r="U48" s="259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113"/>
      <c r="AK48" s="151">
        <f t="shared" si="0"/>
        <v>0</v>
      </c>
      <c r="AL48" s="35">
        <f t="shared" si="1"/>
        <v>0</v>
      </c>
      <c r="AM48" s="36">
        <f t="shared" si="2"/>
        <v>0</v>
      </c>
      <c r="AN48" s="35">
        <f t="shared" si="3"/>
        <v>1</v>
      </c>
      <c r="AO48" s="36">
        <f t="shared" si="4"/>
        <v>0</v>
      </c>
      <c r="AP48" s="37">
        <f t="shared" si="5"/>
        <v>1</v>
      </c>
      <c r="AQ48" s="37" t="s">
        <v>228</v>
      </c>
      <c r="AR48" s="38">
        <v>26</v>
      </c>
      <c r="AS48" s="39">
        <f t="shared" si="6"/>
        <v>0.0384615384615385</v>
      </c>
    </row>
    <row r="49" s="105" customFormat="1" ht="19.5" customHeight="1" spans="1:45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259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113"/>
      <c r="AK49" s="151">
        <f t="shared" si="0"/>
        <v>0</v>
      </c>
      <c r="AL49" s="36">
        <f t="shared" si="1"/>
        <v>0</v>
      </c>
      <c r="AM49" s="36">
        <f t="shared" si="2"/>
        <v>0</v>
      </c>
      <c r="AN49" s="36">
        <f t="shared" si="3"/>
        <v>0</v>
      </c>
      <c r="AO49" s="36">
        <f t="shared" si="4"/>
        <v>0</v>
      </c>
      <c r="AP49" s="37">
        <f t="shared" si="5"/>
        <v>0</v>
      </c>
      <c r="AQ49" s="37"/>
      <c r="AR49" s="38">
        <v>26</v>
      </c>
      <c r="AS49" s="39">
        <f t="shared" si="6"/>
        <v>0</v>
      </c>
    </row>
    <row r="50" s="105" customFormat="1" ht="19.5" customHeight="1" spans="1:45">
      <c r="A50" s="68">
        <v>39</v>
      </c>
      <c r="B50" s="161" t="s">
        <v>62</v>
      </c>
      <c r="C50" s="150" t="s">
        <v>59</v>
      </c>
      <c r="D50" s="149" t="str">
        <f>VLOOKUP(B50,'[1]MASTER DATA 2025'!$C$3:$E$279,3,0)</f>
        <v>3Tahun8 Bulan</v>
      </c>
      <c r="E50" s="96"/>
      <c r="F50" s="96"/>
      <c r="G50" s="96"/>
      <c r="H50" s="96"/>
      <c r="I50" s="96"/>
      <c r="J50" s="96"/>
      <c r="K50" s="96"/>
      <c r="L50" s="96" t="s">
        <v>11</v>
      </c>
      <c r="M50" s="96" t="s">
        <v>11</v>
      </c>
      <c r="N50" s="96"/>
      <c r="O50" s="96"/>
      <c r="P50" s="96"/>
      <c r="Q50" s="96"/>
      <c r="R50" s="96"/>
      <c r="S50" s="96"/>
      <c r="T50" s="96"/>
      <c r="U50" s="259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113"/>
      <c r="AK50" s="151">
        <f t="shared" si="0"/>
        <v>0</v>
      </c>
      <c r="AL50" s="35">
        <f t="shared" si="1"/>
        <v>2</v>
      </c>
      <c r="AM50" s="36">
        <f t="shared" si="2"/>
        <v>0</v>
      </c>
      <c r="AN50" s="36">
        <f t="shared" si="3"/>
        <v>0</v>
      </c>
      <c r="AO50" s="36">
        <f t="shared" si="4"/>
        <v>0</v>
      </c>
      <c r="AP50" s="37">
        <f t="shared" si="5"/>
        <v>2</v>
      </c>
      <c r="AQ50" s="37" t="s">
        <v>228</v>
      </c>
      <c r="AR50" s="38">
        <v>26</v>
      </c>
      <c r="AS50" s="39">
        <f t="shared" si="6"/>
        <v>0.0769230769230769</v>
      </c>
    </row>
    <row r="51" s="105" customFormat="1" ht="19.5" customHeight="1" spans="1:45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259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113"/>
      <c r="AK51" s="151">
        <f t="shared" si="0"/>
        <v>0</v>
      </c>
      <c r="AL51" s="35">
        <f t="shared" si="1"/>
        <v>0</v>
      </c>
      <c r="AM51" s="35">
        <f t="shared" si="2"/>
        <v>0</v>
      </c>
      <c r="AN51" s="36">
        <f t="shared" si="3"/>
        <v>0</v>
      </c>
      <c r="AO51" s="36">
        <f t="shared" si="4"/>
        <v>0</v>
      </c>
      <c r="AP51" s="37">
        <f t="shared" si="5"/>
        <v>0</v>
      </c>
      <c r="AQ51" s="37"/>
      <c r="AR51" s="38">
        <v>26</v>
      </c>
      <c r="AS51" s="39">
        <f t="shared" si="6"/>
        <v>0</v>
      </c>
    </row>
    <row r="52" s="105" customFormat="1" ht="19.5" customHeight="1" spans="1:45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259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113"/>
      <c r="AK52" s="151">
        <f t="shared" si="0"/>
        <v>0</v>
      </c>
      <c r="AL52" s="35">
        <f t="shared" si="1"/>
        <v>0</v>
      </c>
      <c r="AM52" s="36">
        <f t="shared" si="2"/>
        <v>0</v>
      </c>
      <c r="AN52" s="36">
        <f t="shared" si="3"/>
        <v>0</v>
      </c>
      <c r="AO52" s="36">
        <f t="shared" si="4"/>
        <v>0</v>
      </c>
      <c r="AP52" s="37">
        <f t="shared" si="5"/>
        <v>0</v>
      </c>
      <c r="AQ52" s="37"/>
      <c r="AR52" s="38">
        <v>26</v>
      </c>
      <c r="AS52" s="39">
        <f t="shared" si="6"/>
        <v>0</v>
      </c>
    </row>
    <row r="53" s="105" customFormat="1" ht="19.5" customHeight="1" spans="1:45">
      <c r="A53" s="68">
        <v>42</v>
      </c>
      <c r="B53" s="219" t="s">
        <v>65</v>
      </c>
      <c r="C53" s="150" t="s">
        <v>16</v>
      </c>
      <c r="D53" s="149" t="str">
        <f>VLOOKUP(B53,'[1]MASTER DATA 2025'!$C$3:$E$279,3,0)</f>
        <v>0Tahun7 Bulan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259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113"/>
      <c r="AK53" s="151">
        <f t="shared" si="0"/>
        <v>0</v>
      </c>
      <c r="AL53" s="35">
        <f t="shared" si="1"/>
        <v>0</v>
      </c>
      <c r="AM53" s="36">
        <f t="shared" si="2"/>
        <v>0</v>
      </c>
      <c r="AN53" s="36">
        <f t="shared" si="3"/>
        <v>0</v>
      </c>
      <c r="AO53" s="36">
        <f t="shared" si="4"/>
        <v>0</v>
      </c>
      <c r="AP53" s="37">
        <f t="shared" si="5"/>
        <v>0</v>
      </c>
      <c r="AQ53" s="37" t="s">
        <v>170</v>
      </c>
      <c r="AR53" s="38">
        <v>26</v>
      </c>
      <c r="AS53" s="39">
        <f t="shared" si="6"/>
        <v>0</v>
      </c>
    </row>
    <row r="54" s="105" customFormat="1" ht="19.5" customHeight="1" spans="1:45">
      <c r="A54" s="68">
        <v>43</v>
      </c>
      <c r="B54" s="163" t="s">
        <v>66</v>
      </c>
      <c r="C54" s="150" t="s">
        <v>16</v>
      </c>
      <c r="D54" s="149" t="s">
        <v>219</v>
      </c>
      <c r="E54" s="96"/>
      <c r="F54" s="96"/>
      <c r="G54" s="96"/>
      <c r="H54" s="96"/>
      <c r="I54" s="96" t="s">
        <v>13</v>
      </c>
      <c r="J54" s="96"/>
      <c r="K54" s="96"/>
      <c r="L54" s="96" t="s">
        <v>13</v>
      </c>
      <c r="M54" s="96"/>
      <c r="N54" s="96"/>
      <c r="O54" s="96"/>
      <c r="P54" s="96"/>
      <c r="Q54" s="96"/>
      <c r="R54" s="96"/>
      <c r="S54" s="96"/>
      <c r="T54" s="96"/>
      <c r="U54" s="259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 t="s">
        <v>13</v>
      </c>
      <c r="AI54" s="96"/>
      <c r="AJ54" s="113"/>
      <c r="AK54" s="151">
        <f t="shared" si="0"/>
        <v>0</v>
      </c>
      <c r="AL54" s="35">
        <f t="shared" si="1"/>
        <v>0</v>
      </c>
      <c r="AM54" s="35">
        <f t="shared" si="2"/>
        <v>0</v>
      </c>
      <c r="AN54" s="47">
        <f t="shared" si="3"/>
        <v>3</v>
      </c>
      <c r="AO54" s="36">
        <f t="shared" si="4"/>
        <v>0</v>
      </c>
      <c r="AP54" s="37">
        <f t="shared" si="5"/>
        <v>3</v>
      </c>
      <c r="AQ54" s="37" t="s">
        <v>228</v>
      </c>
      <c r="AR54" s="38">
        <v>26</v>
      </c>
      <c r="AS54" s="39">
        <f t="shared" si="6"/>
        <v>0.115384615384615</v>
      </c>
    </row>
    <row r="55" s="105" customFormat="1" ht="19.5" customHeight="1" spans="1:45">
      <c r="A55" s="68">
        <v>44</v>
      </c>
      <c r="B55" s="219" t="s">
        <v>67</v>
      </c>
      <c r="C55" s="150" t="s">
        <v>16</v>
      </c>
      <c r="D55" s="149" t="str">
        <f>VLOOKUP(B55,'[1]MASTER DATA 2025'!$C$3:$E$279,3,0)</f>
        <v>1Tahun3 Bulan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259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113"/>
      <c r="AK55" s="151">
        <f t="shared" si="0"/>
        <v>0</v>
      </c>
      <c r="AL55" s="35">
        <f t="shared" si="1"/>
        <v>0</v>
      </c>
      <c r="AM55" s="36">
        <f t="shared" si="2"/>
        <v>0</v>
      </c>
      <c r="AN55" s="36">
        <f t="shared" si="3"/>
        <v>0</v>
      </c>
      <c r="AO55" s="36">
        <f t="shared" si="4"/>
        <v>0</v>
      </c>
      <c r="AP55" s="37">
        <f t="shared" si="5"/>
        <v>0</v>
      </c>
      <c r="AQ55" s="37" t="s">
        <v>25</v>
      </c>
      <c r="AR55" s="38">
        <v>26</v>
      </c>
      <c r="AS55" s="39">
        <f t="shared" si="6"/>
        <v>0</v>
      </c>
    </row>
    <row r="56" s="105" customFormat="1" ht="19.5" customHeight="1" spans="1:45">
      <c r="A56" s="68">
        <v>45</v>
      </c>
      <c r="B56" s="219" t="s">
        <v>68</v>
      </c>
      <c r="C56" s="150" t="s">
        <v>16</v>
      </c>
      <c r="D56" s="152" t="s">
        <v>205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259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113"/>
      <c r="AK56" s="151">
        <f t="shared" si="0"/>
        <v>0</v>
      </c>
      <c r="AL56" s="35">
        <f t="shared" si="1"/>
        <v>0</v>
      </c>
      <c r="AM56" s="36">
        <f t="shared" si="2"/>
        <v>0</v>
      </c>
      <c r="AN56" s="35">
        <f t="shared" si="3"/>
        <v>0</v>
      </c>
      <c r="AO56" s="36">
        <f t="shared" si="4"/>
        <v>0</v>
      </c>
      <c r="AP56" s="37">
        <f t="shared" si="5"/>
        <v>0</v>
      </c>
      <c r="AQ56" s="37" t="s">
        <v>272</v>
      </c>
      <c r="AR56" s="38">
        <v>26</v>
      </c>
      <c r="AS56" s="39">
        <f t="shared" si="6"/>
        <v>0</v>
      </c>
    </row>
    <row r="57" s="105" customFormat="1" ht="19.5" customHeight="1" spans="1:45">
      <c r="A57" s="68">
        <v>46</v>
      </c>
      <c r="B57" s="219" t="s">
        <v>69</v>
      </c>
      <c r="C57" s="150" t="s">
        <v>16</v>
      </c>
      <c r="D57" s="149" t="s">
        <v>231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 t="s">
        <v>12</v>
      </c>
      <c r="S57" s="96"/>
      <c r="T57" s="96"/>
      <c r="U57" s="259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113"/>
      <c r="AK57" s="151">
        <f t="shared" si="0"/>
        <v>0</v>
      </c>
      <c r="AL57" s="35">
        <f t="shared" si="1"/>
        <v>0</v>
      </c>
      <c r="AM57" s="36">
        <f t="shared" si="2"/>
        <v>1</v>
      </c>
      <c r="AN57" s="36">
        <f t="shared" si="3"/>
        <v>0</v>
      </c>
      <c r="AO57" s="36">
        <f t="shared" si="4"/>
        <v>0</v>
      </c>
      <c r="AP57" s="37">
        <f t="shared" si="5"/>
        <v>1</v>
      </c>
      <c r="AQ57" s="37" t="s">
        <v>307</v>
      </c>
      <c r="AR57" s="38">
        <v>26</v>
      </c>
      <c r="AS57" s="39">
        <f t="shared" si="6"/>
        <v>0.0384615384615385</v>
      </c>
    </row>
    <row r="58" s="105" customFormat="1" ht="19.5" customHeight="1" spans="1:45">
      <c r="A58" s="68">
        <v>47</v>
      </c>
      <c r="B58" s="219" t="s">
        <v>70</v>
      </c>
      <c r="C58" s="150" t="s">
        <v>59</v>
      </c>
      <c r="D58" s="152" t="s">
        <v>273</v>
      </c>
      <c r="E58" s="96"/>
      <c r="F58" s="96" t="s">
        <v>13</v>
      </c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 t="s">
        <v>13</v>
      </c>
      <c r="S58" s="96"/>
      <c r="T58" s="96"/>
      <c r="U58" s="259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113"/>
      <c r="AK58" s="151">
        <f t="shared" si="0"/>
        <v>0</v>
      </c>
      <c r="AL58" s="35">
        <f t="shared" si="1"/>
        <v>0</v>
      </c>
      <c r="AM58" s="36">
        <f t="shared" si="2"/>
        <v>0</v>
      </c>
      <c r="AN58" s="36">
        <f t="shared" si="3"/>
        <v>2</v>
      </c>
      <c r="AO58" s="36">
        <f t="shared" si="4"/>
        <v>0</v>
      </c>
      <c r="AP58" s="37">
        <f t="shared" si="5"/>
        <v>2</v>
      </c>
      <c r="AQ58" s="37" t="s">
        <v>228</v>
      </c>
      <c r="AR58" s="38">
        <v>26</v>
      </c>
      <c r="AS58" s="39">
        <f t="shared" si="6"/>
        <v>0.0769230769230769</v>
      </c>
    </row>
    <row r="59" s="105" customFormat="1" ht="19.5" customHeight="1" spans="1:45">
      <c r="A59" s="68">
        <v>48</v>
      </c>
      <c r="B59" s="219" t="s">
        <v>71</v>
      </c>
      <c r="C59" s="150" t="s">
        <v>59</v>
      </c>
      <c r="D59" s="149" t="str">
        <f>VLOOKUP(B59,'[1]MASTER DATA 2025'!$C$3:$E$279,3,0)</f>
        <v>0Tahun5 Bulan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259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113"/>
      <c r="AK59" s="151">
        <f t="shared" si="0"/>
        <v>0</v>
      </c>
      <c r="AL59" s="35">
        <f t="shared" si="1"/>
        <v>0</v>
      </c>
      <c r="AM59" s="36">
        <f t="shared" si="2"/>
        <v>0</v>
      </c>
      <c r="AN59" s="36">
        <f t="shared" si="3"/>
        <v>0</v>
      </c>
      <c r="AO59" s="36">
        <f t="shared" si="4"/>
        <v>0</v>
      </c>
      <c r="AP59" s="37">
        <f t="shared" si="5"/>
        <v>0</v>
      </c>
      <c r="AQ59" s="37" t="s">
        <v>25</v>
      </c>
      <c r="AR59" s="38">
        <v>26</v>
      </c>
      <c r="AS59" s="39">
        <f t="shared" si="6"/>
        <v>0</v>
      </c>
    </row>
    <row r="60" s="105" customFormat="1" ht="19.5" customHeight="1" spans="1:45">
      <c r="A60" s="68">
        <v>49</v>
      </c>
      <c r="B60" s="221" t="s">
        <v>72</v>
      </c>
      <c r="C60" s="163" t="s">
        <v>16</v>
      </c>
      <c r="D60" s="149" t="s">
        <v>219</v>
      </c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259"/>
      <c r="V60" s="96"/>
      <c r="W60" s="96"/>
      <c r="X60" s="96"/>
      <c r="Y60" s="96"/>
      <c r="Z60" s="96" t="s">
        <v>13</v>
      </c>
      <c r="AA60" s="96"/>
      <c r="AB60" s="96"/>
      <c r="AC60" s="96"/>
      <c r="AD60" s="96"/>
      <c r="AE60" s="96"/>
      <c r="AF60" s="96"/>
      <c r="AG60" s="96"/>
      <c r="AH60" s="96"/>
      <c r="AI60" s="96"/>
      <c r="AJ60" s="113"/>
      <c r="AK60" s="151">
        <f t="shared" si="0"/>
        <v>0</v>
      </c>
      <c r="AL60" s="35">
        <f t="shared" si="1"/>
        <v>0</v>
      </c>
      <c r="AM60" s="36">
        <f t="shared" si="2"/>
        <v>0</v>
      </c>
      <c r="AN60" s="35">
        <f t="shared" si="3"/>
        <v>1</v>
      </c>
      <c r="AO60" s="36">
        <f t="shared" si="4"/>
        <v>0</v>
      </c>
      <c r="AP60" s="37">
        <f t="shared" si="5"/>
        <v>1</v>
      </c>
      <c r="AQ60" s="37" t="s">
        <v>228</v>
      </c>
      <c r="AR60" s="38">
        <v>26</v>
      </c>
      <c r="AS60" s="39">
        <f t="shared" si="6"/>
        <v>0.0384615384615385</v>
      </c>
    </row>
    <row r="61" s="105" customFormat="1" ht="19.5" customHeight="1" spans="1:45">
      <c r="A61" s="68">
        <v>50</v>
      </c>
      <c r="B61" s="219" t="s">
        <v>73</v>
      </c>
      <c r="C61" s="150" t="s">
        <v>16</v>
      </c>
      <c r="D61" s="152" t="s">
        <v>308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 t="s">
        <v>13</v>
      </c>
      <c r="S61" s="96"/>
      <c r="T61" s="96"/>
      <c r="U61" s="259"/>
      <c r="V61" s="96" t="s">
        <v>12</v>
      </c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113"/>
      <c r="AK61" s="151">
        <f t="shared" si="0"/>
        <v>0</v>
      </c>
      <c r="AL61" s="35">
        <f t="shared" si="1"/>
        <v>0</v>
      </c>
      <c r="AM61" s="36">
        <f t="shared" si="2"/>
        <v>1</v>
      </c>
      <c r="AN61" s="35">
        <f t="shared" si="3"/>
        <v>1</v>
      </c>
      <c r="AO61" s="36">
        <f t="shared" si="4"/>
        <v>0</v>
      </c>
      <c r="AP61" s="37">
        <f t="shared" si="5"/>
        <v>2</v>
      </c>
      <c r="AQ61" s="37" t="s">
        <v>309</v>
      </c>
      <c r="AR61" s="38">
        <v>26</v>
      </c>
      <c r="AS61" s="39">
        <f t="shared" si="6"/>
        <v>0.0769230769230769</v>
      </c>
    </row>
    <row r="62" s="105" customFormat="1" ht="19.5" customHeight="1" spans="1:45">
      <c r="A62" s="68">
        <v>51</v>
      </c>
      <c r="B62" s="219" t="s">
        <v>74</v>
      </c>
      <c r="C62" s="150" t="s">
        <v>16</v>
      </c>
      <c r="D62" s="149" t="str">
        <f>VLOOKUP(B62,'[1]MASTER DATA 2025'!$C$3:$E$279,3,0)</f>
        <v>0Tahun1 Bulan</v>
      </c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259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113"/>
      <c r="AK62" s="151">
        <f t="shared" si="0"/>
        <v>0</v>
      </c>
      <c r="AL62" s="35">
        <f t="shared" si="1"/>
        <v>0</v>
      </c>
      <c r="AM62" s="36">
        <f t="shared" si="2"/>
        <v>0</v>
      </c>
      <c r="AN62" s="36">
        <f t="shared" si="3"/>
        <v>0</v>
      </c>
      <c r="AO62" s="36">
        <f t="shared" si="4"/>
        <v>0</v>
      </c>
      <c r="AP62" s="37">
        <f t="shared" si="5"/>
        <v>0</v>
      </c>
      <c r="AQ62" s="130" t="s">
        <v>171</v>
      </c>
      <c r="AR62" s="38">
        <v>26</v>
      </c>
      <c r="AS62" s="39">
        <f t="shared" si="6"/>
        <v>0</v>
      </c>
    </row>
    <row r="63" s="105" customFormat="1" ht="19.5" customHeight="1" spans="1:45">
      <c r="A63" s="68">
        <v>52</v>
      </c>
      <c r="B63" s="219" t="s">
        <v>75</v>
      </c>
      <c r="C63" s="150" t="s">
        <v>16</v>
      </c>
      <c r="D63" s="149" t="str">
        <f>VLOOKUP(B63,'[1]MASTER DATA 2025'!$C$3:$E$279,3,0)</f>
        <v>0Tahun1 Bulan</v>
      </c>
      <c r="E63" s="96"/>
      <c r="F63" s="96"/>
      <c r="G63" s="96"/>
      <c r="H63" s="96"/>
      <c r="I63" s="96"/>
      <c r="J63" s="96"/>
      <c r="K63" s="96"/>
      <c r="L63" s="96"/>
      <c r="M63" s="96"/>
      <c r="N63" s="96" t="s">
        <v>13</v>
      </c>
      <c r="O63" s="96"/>
      <c r="P63" s="96"/>
      <c r="Q63" s="96"/>
      <c r="R63" s="96"/>
      <c r="S63" s="96"/>
      <c r="T63" s="96"/>
      <c r="U63" s="259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113"/>
      <c r="AK63" s="151">
        <f t="shared" si="0"/>
        <v>0</v>
      </c>
      <c r="AL63" s="35">
        <f t="shared" si="1"/>
        <v>0</v>
      </c>
      <c r="AM63" s="36">
        <f t="shared" si="2"/>
        <v>0</v>
      </c>
      <c r="AN63" s="36">
        <f t="shared" si="3"/>
        <v>1</v>
      </c>
      <c r="AO63" s="36">
        <f t="shared" si="4"/>
        <v>0</v>
      </c>
      <c r="AP63" s="37">
        <f t="shared" si="5"/>
        <v>1</v>
      </c>
      <c r="AQ63" s="130" t="s">
        <v>171</v>
      </c>
      <c r="AR63" s="38">
        <v>26</v>
      </c>
      <c r="AS63" s="39">
        <f t="shared" si="6"/>
        <v>0.0384615384615385</v>
      </c>
    </row>
    <row r="64" s="105" customFormat="1" ht="19.5" customHeight="1" spans="1:45">
      <c r="A64" s="68">
        <v>53</v>
      </c>
      <c r="B64" s="219" t="s">
        <v>76</v>
      </c>
      <c r="C64" s="150" t="s">
        <v>59</v>
      </c>
      <c r="D64" s="152" t="s">
        <v>267</v>
      </c>
      <c r="E64" s="96"/>
      <c r="F64" s="96"/>
      <c r="G64" s="96"/>
      <c r="H64" s="96"/>
      <c r="I64" s="96"/>
      <c r="J64" s="96"/>
      <c r="K64" s="96" t="s">
        <v>11</v>
      </c>
      <c r="L64" s="96"/>
      <c r="M64" s="96"/>
      <c r="N64" s="96"/>
      <c r="O64" s="96"/>
      <c r="P64" s="96"/>
      <c r="Q64" s="96"/>
      <c r="R64" s="96"/>
      <c r="S64" s="96"/>
      <c r="T64" s="96"/>
      <c r="U64" s="259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113"/>
      <c r="AK64" s="151">
        <f t="shared" si="0"/>
        <v>0</v>
      </c>
      <c r="AL64" s="35">
        <f t="shared" si="1"/>
        <v>1</v>
      </c>
      <c r="AM64" s="36">
        <f t="shared" si="2"/>
        <v>0</v>
      </c>
      <c r="AN64" s="36">
        <f t="shared" si="3"/>
        <v>0</v>
      </c>
      <c r="AO64" s="36">
        <f t="shared" si="4"/>
        <v>0</v>
      </c>
      <c r="AP64" s="37">
        <f t="shared" si="5"/>
        <v>1</v>
      </c>
      <c r="AQ64" s="38" t="s">
        <v>221</v>
      </c>
      <c r="AR64" s="38">
        <v>26</v>
      </c>
      <c r="AS64" s="39">
        <f t="shared" si="6"/>
        <v>0.0384615384615385</v>
      </c>
    </row>
    <row r="65" s="105" customFormat="1" ht="19.5" customHeight="1" spans="1:45">
      <c r="A65" s="68">
        <v>54</v>
      </c>
      <c r="B65" s="219" t="s">
        <v>77</v>
      </c>
      <c r="C65" s="150" t="s">
        <v>16</v>
      </c>
      <c r="D65" s="149" t="str">
        <f>VLOOKUP(B65,'[1]MASTER DATA 2025'!$C$3:$E$279,3,0)</f>
        <v>0Tahun8 Bulan</v>
      </c>
      <c r="E65" s="96"/>
      <c r="F65" s="96"/>
      <c r="G65" s="96"/>
      <c r="H65" s="96"/>
      <c r="I65" s="96" t="s">
        <v>13</v>
      </c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259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113"/>
      <c r="AK65" s="151">
        <f t="shared" si="0"/>
        <v>0</v>
      </c>
      <c r="AL65" s="35">
        <f t="shared" si="1"/>
        <v>0</v>
      </c>
      <c r="AM65" s="36">
        <f t="shared" si="2"/>
        <v>0</v>
      </c>
      <c r="AN65" s="36">
        <f t="shared" si="3"/>
        <v>1</v>
      </c>
      <c r="AO65" s="36">
        <f t="shared" si="4"/>
        <v>0</v>
      </c>
      <c r="AP65" s="37">
        <f t="shared" si="5"/>
        <v>1</v>
      </c>
      <c r="AQ65" s="37"/>
      <c r="AR65" s="38">
        <v>26</v>
      </c>
      <c r="AS65" s="39">
        <f t="shared" si="6"/>
        <v>0.0384615384615385</v>
      </c>
    </row>
    <row r="66" s="105" customFormat="1" ht="19.5" customHeight="1" spans="1:45">
      <c r="A66" s="68">
        <v>55</v>
      </c>
      <c r="B66" s="219" t="s">
        <v>78</v>
      </c>
      <c r="C66" s="150" t="s">
        <v>16</v>
      </c>
      <c r="D66" s="152" t="s">
        <v>274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259"/>
      <c r="V66" s="96"/>
      <c r="W66" s="96"/>
      <c r="X66" s="96"/>
      <c r="Y66" s="96" t="s">
        <v>12</v>
      </c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113"/>
      <c r="AK66" s="151">
        <f t="shared" si="0"/>
        <v>0</v>
      </c>
      <c r="AL66" s="35">
        <f t="shared" si="1"/>
        <v>0</v>
      </c>
      <c r="AM66" s="36">
        <f t="shared" si="2"/>
        <v>1</v>
      </c>
      <c r="AN66" s="36">
        <f t="shared" si="3"/>
        <v>0</v>
      </c>
      <c r="AO66" s="36">
        <f t="shared" si="4"/>
        <v>0</v>
      </c>
      <c r="AP66" s="37">
        <f t="shared" si="5"/>
        <v>1</v>
      </c>
      <c r="AQ66" s="37"/>
      <c r="AR66" s="38">
        <v>26</v>
      </c>
      <c r="AS66" s="39">
        <f t="shared" si="6"/>
        <v>0.0384615384615385</v>
      </c>
    </row>
    <row r="67" s="105" customFormat="1" ht="19.5" customHeight="1" spans="1:45">
      <c r="A67" s="68">
        <v>56</v>
      </c>
      <c r="B67" s="219" t="s">
        <v>79</v>
      </c>
      <c r="C67" s="150" t="s">
        <v>16</v>
      </c>
      <c r="D67" s="149" t="str">
        <f>VLOOKUP(B67,'[1]MASTER DATA 2025'!$C$3:$E$279,3,0)</f>
        <v>1Tahun5 Bulan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259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113"/>
      <c r="AK67" s="151">
        <f t="shared" si="0"/>
        <v>0</v>
      </c>
      <c r="AL67" s="35">
        <f t="shared" si="1"/>
        <v>0</v>
      </c>
      <c r="AM67" s="36">
        <f t="shared" si="2"/>
        <v>0</v>
      </c>
      <c r="AN67" s="36">
        <f t="shared" si="3"/>
        <v>0</v>
      </c>
      <c r="AO67" s="36">
        <f t="shared" si="4"/>
        <v>0</v>
      </c>
      <c r="AP67" s="37">
        <f t="shared" si="5"/>
        <v>0</v>
      </c>
      <c r="AQ67" s="37"/>
      <c r="AR67" s="38">
        <v>26</v>
      </c>
      <c r="AS67" s="39">
        <f t="shared" si="6"/>
        <v>0</v>
      </c>
    </row>
    <row r="68" s="105" customFormat="1" ht="19.5" customHeight="1" spans="1:45">
      <c r="A68" s="68">
        <v>57</v>
      </c>
      <c r="B68" s="219" t="s">
        <v>80</v>
      </c>
      <c r="C68" s="150" t="s">
        <v>16</v>
      </c>
      <c r="D68" s="149" t="str">
        <f>VLOOKUP(B68,'[1]MASTER DATA 2025'!$C$3:$E$279,3,0)</f>
        <v>0Tahun7 Bulan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259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96"/>
      <c r="AH68" s="96"/>
      <c r="AI68" s="96"/>
      <c r="AJ68" s="113"/>
      <c r="AK68" s="151">
        <f t="shared" si="0"/>
        <v>0</v>
      </c>
      <c r="AL68" s="35">
        <f t="shared" si="1"/>
        <v>0</v>
      </c>
      <c r="AM68" s="35">
        <f t="shared" si="2"/>
        <v>0</v>
      </c>
      <c r="AN68" s="47">
        <f t="shared" si="3"/>
        <v>0</v>
      </c>
      <c r="AO68" s="36">
        <f t="shared" si="4"/>
        <v>0</v>
      </c>
      <c r="AP68" s="37">
        <f t="shared" si="5"/>
        <v>0</v>
      </c>
      <c r="AQ68" s="49">
        <v>45967</v>
      </c>
      <c r="AR68" s="38">
        <v>26</v>
      </c>
      <c r="AS68" s="39">
        <f t="shared" si="6"/>
        <v>0</v>
      </c>
    </row>
    <row r="69" s="105" customFormat="1" ht="19.5" customHeight="1" spans="1:45">
      <c r="A69" s="68">
        <v>58</v>
      </c>
      <c r="B69" s="219" t="s">
        <v>81</v>
      </c>
      <c r="C69" s="150" t="s">
        <v>16</v>
      </c>
      <c r="D69" s="152" t="s">
        <v>308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 t="s">
        <v>13</v>
      </c>
      <c r="Q69" s="96"/>
      <c r="R69" s="96"/>
      <c r="S69" s="96"/>
      <c r="T69" s="96"/>
      <c r="U69" s="259"/>
      <c r="V69" s="96" t="s">
        <v>11</v>
      </c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113"/>
      <c r="AK69" s="151">
        <f t="shared" si="0"/>
        <v>0</v>
      </c>
      <c r="AL69" s="35">
        <f t="shared" si="1"/>
        <v>1</v>
      </c>
      <c r="AM69" s="36">
        <f t="shared" si="2"/>
        <v>0</v>
      </c>
      <c r="AN69" s="36">
        <f t="shared" si="3"/>
        <v>1</v>
      </c>
      <c r="AO69" s="36">
        <f t="shared" si="4"/>
        <v>0</v>
      </c>
      <c r="AP69" s="37">
        <f t="shared" si="5"/>
        <v>2</v>
      </c>
      <c r="AQ69" s="37" t="s">
        <v>302</v>
      </c>
      <c r="AR69" s="38">
        <v>26</v>
      </c>
      <c r="AS69" s="39">
        <f t="shared" si="6"/>
        <v>0.0769230769230769</v>
      </c>
    </row>
    <row r="70" s="105" customFormat="1" ht="19.5" customHeight="1" spans="1:45">
      <c r="A70" s="68">
        <v>59</v>
      </c>
      <c r="B70" s="219" t="s">
        <v>82</v>
      </c>
      <c r="C70" s="150" t="s">
        <v>16</v>
      </c>
      <c r="D70" s="149" t="str">
        <f>VLOOKUP(B70,'[1]MASTER DATA 2025'!$C$3:$E$279,3,0)</f>
        <v>0Tahun1 Bulan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259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113"/>
      <c r="AK70" s="151">
        <f t="shared" si="0"/>
        <v>0</v>
      </c>
      <c r="AL70" s="35">
        <f t="shared" si="1"/>
        <v>0</v>
      </c>
      <c r="AM70" s="35">
        <f t="shared" si="2"/>
        <v>0</v>
      </c>
      <c r="AN70" s="47">
        <f t="shared" si="3"/>
        <v>0</v>
      </c>
      <c r="AO70" s="36">
        <f t="shared" si="4"/>
        <v>0</v>
      </c>
      <c r="AP70" s="37">
        <f t="shared" si="5"/>
        <v>0</v>
      </c>
      <c r="AQ70" s="37" t="s">
        <v>25</v>
      </c>
      <c r="AR70" s="38">
        <v>26</v>
      </c>
      <c r="AS70" s="39">
        <f t="shared" si="6"/>
        <v>0</v>
      </c>
    </row>
    <row r="71" s="105" customFormat="1" ht="19.5" customHeight="1" spans="1:45">
      <c r="A71" s="68">
        <v>60</v>
      </c>
      <c r="B71" s="219" t="s">
        <v>83</v>
      </c>
      <c r="C71" s="150" t="s">
        <v>16</v>
      </c>
      <c r="D71" s="149" t="str">
        <f>VLOOKUP(B71,'[1]MASTER DATA 2025'!$C$3:$E$279,3,0)</f>
        <v>2Tahun1 Bulan</v>
      </c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259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113"/>
      <c r="AK71" s="151">
        <f t="shared" si="0"/>
        <v>0</v>
      </c>
      <c r="AL71" s="35">
        <f t="shared" si="1"/>
        <v>0</v>
      </c>
      <c r="AM71" s="36">
        <f t="shared" si="2"/>
        <v>0</v>
      </c>
      <c r="AN71" s="36">
        <f t="shared" si="3"/>
        <v>0</v>
      </c>
      <c r="AO71" s="36">
        <f t="shared" si="4"/>
        <v>0</v>
      </c>
      <c r="AP71" s="37">
        <f t="shared" si="5"/>
        <v>0</v>
      </c>
      <c r="AQ71" s="37"/>
      <c r="AR71" s="38">
        <v>26</v>
      </c>
      <c r="AS71" s="39">
        <f t="shared" si="6"/>
        <v>0</v>
      </c>
    </row>
    <row r="72" s="105" customFormat="1" ht="19.5" customHeight="1" spans="1:45">
      <c r="A72" s="68">
        <v>61</v>
      </c>
      <c r="B72" s="219" t="s">
        <v>84</v>
      </c>
      <c r="C72" s="150" t="s">
        <v>59</v>
      </c>
      <c r="D72" s="149" t="s">
        <v>242</v>
      </c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259"/>
      <c r="V72" s="96"/>
      <c r="W72" s="96"/>
      <c r="X72" s="96"/>
      <c r="Y72" s="96"/>
      <c r="Z72" s="96" t="s">
        <v>11</v>
      </c>
      <c r="AA72" s="96"/>
      <c r="AB72" s="96"/>
      <c r="AC72" s="96"/>
      <c r="AD72" s="96"/>
      <c r="AE72" s="96"/>
      <c r="AF72" s="96"/>
      <c r="AG72" s="96"/>
      <c r="AH72" s="96"/>
      <c r="AI72" s="96"/>
      <c r="AJ72" s="113"/>
      <c r="AK72" s="151">
        <f t="shared" si="0"/>
        <v>0</v>
      </c>
      <c r="AL72" s="35">
        <f t="shared" si="1"/>
        <v>1</v>
      </c>
      <c r="AM72" s="36">
        <f t="shared" si="2"/>
        <v>0</v>
      </c>
      <c r="AN72" s="36">
        <f t="shared" si="3"/>
        <v>0</v>
      </c>
      <c r="AO72" s="36">
        <f t="shared" si="4"/>
        <v>0</v>
      </c>
      <c r="AP72" s="37">
        <f t="shared" si="5"/>
        <v>1</v>
      </c>
      <c r="AQ72" s="37" t="s">
        <v>305</v>
      </c>
      <c r="AR72" s="38">
        <v>26</v>
      </c>
      <c r="AS72" s="39">
        <f t="shared" si="6"/>
        <v>0.0384615384615385</v>
      </c>
    </row>
    <row r="73" s="105" customFormat="1" ht="19.5" customHeight="1" spans="1:45">
      <c r="A73" s="68">
        <v>62</v>
      </c>
      <c r="B73" s="219" t="s">
        <v>85</v>
      </c>
      <c r="C73" s="150" t="s">
        <v>59</v>
      </c>
      <c r="D73" s="149" t="str">
        <f>VLOOKUP(B73,'[1]MASTER DATA 2025'!$C$3:$E$279,3,0)</f>
        <v>1Tahun3 Bulan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259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113"/>
      <c r="AK73" s="151">
        <f t="shared" si="0"/>
        <v>0</v>
      </c>
      <c r="AL73" s="35">
        <f t="shared" si="1"/>
        <v>0</v>
      </c>
      <c r="AM73" s="35">
        <f t="shared" si="2"/>
        <v>0</v>
      </c>
      <c r="AN73" s="47">
        <f t="shared" si="3"/>
        <v>0</v>
      </c>
      <c r="AO73" s="36">
        <f t="shared" si="4"/>
        <v>0</v>
      </c>
      <c r="AP73" s="37">
        <f t="shared" si="5"/>
        <v>0</v>
      </c>
      <c r="AQ73" s="37" t="s">
        <v>228</v>
      </c>
      <c r="AR73" s="38">
        <v>26</v>
      </c>
      <c r="AS73" s="39">
        <f t="shared" si="6"/>
        <v>0</v>
      </c>
    </row>
    <row r="74" s="105" customFormat="1" ht="19.5" customHeight="1" spans="1:45">
      <c r="A74" s="68">
        <v>63</v>
      </c>
      <c r="B74" s="219" t="s">
        <v>86</v>
      </c>
      <c r="C74" s="150" t="s">
        <v>59</v>
      </c>
      <c r="D74" s="149" t="str">
        <f>VLOOKUP(B74,'[1]MASTER DATA 2025'!$C$3:$E$279,3,0)</f>
        <v>2Tahun7 Bulan</v>
      </c>
      <c r="E74" s="96"/>
      <c r="F74" s="96"/>
      <c r="G74" s="96"/>
      <c r="H74" s="96"/>
      <c r="I74" s="96"/>
      <c r="J74" s="96" t="s">
        <v>13</v>
      </c>
      <c r="K74" s="96"/>
      <c r="L74" s="96"/>
      <c r="M74" s="96"/>
      <c r="N74" s="96"/>
      <c r="O74" s="96"/>
      <c r="P74" s="96"/>
      <c r="Q74" s="96"/>
      <c r="R74" s="96"/>
      <c r="S74" s="96"/>
      <c r="T74" s="96" t="s">
        <v>11</v>
      </c>
      <c r="U74" s="259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113"/>
      <c r="AK74" s="151">
        <f t="shared" si="0"/>
        <v>0</v>
      </c>
      <c r="AL74" s="35">
        <f t="shared" si="1"/>
        <v>1</v>
      </c>
      <c r="AM74" s="35">
        <f t="shared" si="2"/>
        <v>0</v>
      </c>
      <c r="AN74" s="36">
        <f t="shared" si="3"/>
        <v>1</v>
      </c>
      <c r="AO74" s="36">
        <f t="shared" si="4"/>
        <v>0</v>
      </c>
      <c r="AP74" s="37">
        <f t="shared" si="5"/>
        <v>2</v>
      </c>
      <c r="AQ74" s="37"/>
      <c r="AR74" s="38">
        <v>26</v>
      </c>
      <c r="AS74" s="39">
        <f t="shared" si="6"/>
        <v>0.0769230769230769</v>
      </c>
    </row>
    <row r="75" s="105" customFormat="1" ht="19.5" customHeight="1" spans="1:45">
      <c r="A75" s="68">
        <v>64</v>
      </c>
      <c r="B75" s="219" t="s">
        <v>86</v>
      </c>
      <c r="C75" s="150" t="s">
        <v>59</v>
      </c>
      <c r="D75" s="152" t="s">
        <v>153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259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113"/>
      <c r="AK75" s="151">
        <f t="shared" si="0"/>
        <v>0</v>
      </c>
      <c r="AL75" s="35">
        <f t="shared" si="1"/>
        <v>0</v>
      </c>
      <c r="AM75" s="36">
        <f t="shared" si="2"/>
        <v>0</v>
      </c>
      <c r="AN75" s="35">
        <f t="shared" si="3"/>
        <v>0</v>
      </c>
      <c r="AO75" s="36">
        <f t="shared" si="4"/>
        <v>0</v>
      </c>
      <c r="AP75" s="37">
        <f t="shared" si="5"/>
        <v>0</v>
      </c>
      <c r="AQ75" s="37" t="s">
        <v>222</v>
      </c>
      <c r="AR75" s="38">
        <v>26</v>
      </c>
      <c r="AS75" s="39">
        <f t="shared" si="6"/>
        <v>0</v>
      </c>
    </row>
    <row r="76" s="105" customFormat="1" ht="19.5" customHeight="1" spans="1:45">
      <c r="A76" s="68">
        <v>65</v>
      </c>
      <c r="B76" s="219" t="s">
        <v>88</v>
      </c>
      <c r="C76" s="150" t="s">
        <v>16</v>
      </c>
      <c r="D76" s="152" t="s">
        <v>273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 t="s">
        <v>11</v>
      </c>
      <c r="T76" s="96" t="s">
        <v>11</v>
      </c>
      <c r="U76" s="259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113"/>
      <c r="AK76" s="151">
        <f t="shared" ref="AK76:AK139" si="7">COUNTIF(E76:AI76,"H")</f>
        <v>0</v>
      </c>
      <c r="AL76" s="35">
        <f t="shared" ref="AL76:AL139" si="8">COUNTIF(E76:AI76,"S")</f>
        <v>2</v>
      </c>
      <c r="AM76" s="36">
        <f t="shared" ref="AM76:AM139" si="9">COUNTIF(E76:AI76,"I")</f>
        <v>0</v>
      </c>
      <c r="AN76" s="35">
        <f t="shared" ref="AN76:AN139" si="10">COUNTIF(E76:AI76,"A")</f>
        <v>0</v>
      </c>
      <c r="AO76" s="36">
        <f t="shared" ref="AO76:AO130" si="11">COUNTIF(E76:AI76,"OFF")</f>
        <v>0</v>
      </c>
      <c r="AP76" s="37">
        <f t="shared" ref="AP76:AP139" si="12">SUM(AK76:AN76)</f>
        <v>2</v>
      </c>
      <c r="AQ76" s="37" t="s">
        <v>228</v>
      </c>
      <c r="AR76" s="38">
        <v>26</v>
      </c>
      <c r="AS76" s="39">
        <f t="shared" ref="AS76:AS91" si="13">AP76/AR76</f>
        <v>0.0769230769230769</v>
      </c>
    </row>
    <row r="77" s="105" customFormat="1" ht="19.5" customHeight="1" spans="1:45">
      <c r="A77" s="68">
        <v>66</v>
      </c>
      <c r="B77" s="219" t="s">
        <v>89</v>
      </c>
      <c r="C77" s="150" t="s">
        <v>16</v>
      </c>
      <c r="D77" s="149" t="str">
        <f>VLOOKUP(B77,'[1]MASTER DATA 2025'!$C$3:$E$279,3,0)</f>
        <v>0Tahun2 Bulan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259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113"/>
      <c r="AK77" s="151">
        <f t="shared" si="7"/>
        <v>0</v>
      </c>
      <c r="AL77" s="35">
        <f t="shared" si="8"/>
        <v>0</v>
      </c>
      <c r="AM77" s="36">
        <f t="shared" si="9"/>
        <v>0</v>
      </c>
      <c r="AN77" s="35">
        <f t="shared" si="10"/>
        <v>0</v>
      </c>
      <c r="AO77" s="36">
        <f t="shared" si="11"/>
        <v>0</v>
      </c>
      <c r="AP77" s="37">
        <f t="shared" si="12"/>
        <v>0</v>
      </c>
      <c r="AQ77" s="37" t="s">
        <v>228</v>
      </c>
      <c r="AR77" s="38">
        <v>26</v>
      </c>
      <c r="AS77" s="39">
        <f t="shared" si="13"/>
        <v>0</v>
      </c>
    </row>
    <row r="78" s="105" customFormat="1" ht="19.5" customHeight="1" spans="1:45">
      <c r="A78" s="68">
        <v>67</v>
      </c>
      <c r="B78" s="219" t="s">
        <v>90</v>
      </c>
      <c r="C78" s="150" t="s">
        <v>16</v>
      </c>
      <c r="D78" s="149" t="s">
        <v>266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259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113"/>
      <c r="AK78" s="151">
        <f t="shared" si="7"/>
        <v>0</v>
      </c>
      <c r="AL78" s="35">
        <f t="shared" si="8"/>
        <v>0</v>
      </c>
      <c r="AM78" s="36">
        <f t="shared" si="9"/>
        <v>0</v>
      </c>
      <c r="AN78" s="36">
        <f t="shared" si="10"/>
        <v>0</v>
      </c>
      <c r="AO78" s="36">
        <f t="shared" si="11"/>
        <v>0</v>
      </c>
      <c r="AP78" s="37">
        <f t="shared" si="12"/>
        <v>0</v>
      </c>
      <c r="AQ78" s="37" t="s">
        <v>275</v>
      </c>
      <c r="AR78" s="38">
        <v>26</v>
      </c>
      <c r="AS78" s="39">
        <f t="shared" si="13"/>
        <v>0</v>
      </c>
    </row>
    <row r="79" s="105" customFormat="1" ht="19.5" customHeight="1" spans="1:45">
      <c r="A79" s="68">
        <v>68</v>
      </c>
      <c r="B79" s="264" t="s">
        <v>91</v>
      </c>
      <c r="C79" s="150" t="s">
        <v>16</v>
      </c>
      <c r="D79" s="152" t="s">
        <v>310</v>
      </c>
      <c r="E79" s="96"/>
      <c r="F79" s="96"/>
      <c r="G79" s="96"/>
      <c r="H79" s="96"/>
      <c r="I79" s="96" t="s">
        <v>13</v>
      </c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259"/>
      <c r="V79" s="96"/>
      <c r="W79" s="96" t="s">
        <v>11</v>
      </c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113"/>
      <c r="AK79" s="151">
        <f t="shared" si="7"/>
        <v>0</v>
      </c>
      <c r="AL79" s="35">
        <f t="shared" si="8"/>
        <v>1</v>
      </c>
      <c r="AM79" s="36">
        <f t="shared" si="9"/>
        <v>0</v>
      </c>
      <c r="AN79" s="36">
        <f t="shared" si="10"/>
        <v>1</v>
      </c>
      <c r="AO79" s="36">
        <f t="shared" si="11"/>
        <v>0</v>
      </c>
      <c r="AP79" s="37">
        <f t="shared" si="12"/>
        <v>2</v>
      </c>
      <c r="AQ79" s="37" t="s">
        <v>302</v>
      </c>
      <c r="AR79" s="38">
        <v>26</v>
      </c>
      <c r="AS79" s="39">
        <f t="shared" si="13"/>
        <v>0.0769230769230769</v>
      </c>
    </row>
    <row r="80" s="105" customFormat="1" ht="19.5" customHeight="1" spans="1:45">
      <c r="A80" s="68">
        <v>69</v>
      </c>
      <c r="B80" s="219" t="s">
        <v>92</v>
      </c>
      <c r="C80" s="150" t="s">
        <v>16</v>
      </c>
      <c r="D80" s="152" t="s">
        <v>219</v>
      </c>
      <c r="E80" s="96"/>
      <c r="F80" s="96"/>
      <c r="G80" s="96" t="s">
        <v>13</v>
      </c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259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113"/>
      <c r="AK80" s="151">
        <f t="shared" si="7"/>
        <v>0</v>
      </c>
      <c r="AL80" s="35">
        <f t="shared" si="8"/>
        <v>0</v>
      </c>
      <c r="AM80" s="36">
        <f t="shared" si="9"/>
        <v>0</v>
      </c>
      <c r="AN80" s="35">
        <f t="shared" si="10"/>
        <v>1</v>
      </c>
      <c r="AO80" s="36">
        <f t="shared" si="11"/>
        <v>0</v>
      </c>
      <c r="AP80" s="37">
        <f t="shared" si="12"/>
        <v>1</v>
      </c>
      <c r="AQ80" s="37" t="s">
        <v>228</v>
      </c>
      <c r="AR80" s="38">
        <v>26</v>
      </c>
      <c r="AS80" s="39">
        <f t="shared" si="13"/>
        <v>0.0384615384615385</v>
      </c>
    </row>
    <row r="81" s="105" customFormat="1" ht="19.5" customHeight="1" spans="1:45">
      <c r="A81" s="68">
        <v>70</v>
      </c>
      <c r="B81" s="219" t="s">
        <v>93</v>
      </c>
      <c r="C81" s="150" t="s">
        <v>16</v>
      </c>
      <c r="D81" s="149" t="str">
        <f>VLOOKUP(B81,'[1]MASTER DATA 2025'!$C$3:$E$279,3,0)</f>
        <v>0Tahun2 Bulan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259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113"/>
      <c r="AK81" s="151">
        <f t="shared" si="7"/>
        <v>0</v>
      </c>
      <c r="AL81" s="35">
        <f t="shared" si="8"/>
        <v>0</v>
      </c>
      <c r="AM81" s="36">
        <f t="shared" si="9"/>
        <v>0</v>
      </c>
      <c r="AN81" s="35">
        <f t="shared" si="10"/>
        <v>0</v>
      </c>
      <c r="AO81" s="36">
        <f t="shared" si="11"/>
        <v>0</v>
      </c>
      <c r="AP81" s="37">
        <f t="shared" si="12"/>
        <v>0</v>
      </c>
      <c r="AQ81" s="37"/>
      <c r="AR81" s="38">
        <v>26</v>
      </c>
      <c r="AS81" s="39">
        <f t="shared" si="13"/>
        <v>0</v>
      </c>
    </row>
    <row r="82" s="105" customFormat="1" ht="19.5" customHeight="1" spans="1:45">
      <c r="A82" s="68">
        <v>71</v>
      </c>
      <c r="B82" s="219" t="s">
        <v>94</v>
      </c>
      <c r="C82" s="150" t="s">
        <v>16</v>
      </c>
      <c r="D82" s="149" t="str">
        <f>VLOOKUP(B82,'[1]MASTER DATA 2025'!$C$3:$E$279,3,0)</f>
        <v>0Tahun2 Bulan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259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113"/>
      <c r="AK82" s="151">
        <f t="shared" si="7"/>
        <v>0</v>
      </c>
      <c r="AL82" s="35">
        <f t="shared" si="8"/>
        <v>0</v>
      </c>
      <c r="AM82" s="36">
        <f t="shared" si="9"/>
        <v>0</v>
      </c>
      <c r="AN82" s="36">
        <f t="shared" si="10"/>
        <v>0</v>
      </c>
      <c r="AO82" s="36">
        <f t="shared" si="11"/>
        <v>0</v>
      </c>
      <c r="AP82" s="37">
        <f t="shared" si="12"/>
        <v>0</v>
      </c>
      <c r="AQ82" s="37" t="s">
        <v>25</v>
      </c>
      <c r="AR82" s="38">
        <v>26</v>
      </c>
      <c r="AS82" s="39">
        <f t="shared" si="13"/>
        <v>0</v>
      </c>
    </row>
    <row r="83" s="105" customFormat="1" ht="19.5" customHeight="1" spans="1:45">
      <c r="A83" s="68">
        <v>72</v>
      </c>
      <c r="B83" s="219" t="s">
        <v>95</v>
      </c>
      <c r="C83" s="150" t="s">
        <v>59</v>
      </c>
      <c r="D83" s="152" t="s">
        <v>271</v>
      </c>
      <c r="E83" s="96"/>
      <c r="F83" s="96"/>
      <c r="G83" s="96" t="s">
        <v>13</v>
      </c>
      <c r="H83" s="96"/>
      <c r="I83" s="96"/>
      <c r="J83" s="96"/>
      <c r="K83" s="96"/>
      <c r="L83" s="96"/>
      <c r="M83" s="96" t="s">
        <v>12</v>
      </c>
      <c r="N83" s="96"/>
      <c r="O83" s="96"/>
      <c r="P83" s="96"/>
      <c r="Q83" s="96"/>
      <c r="R83" s="96"/>
      <c r="S83" s="96"/>
      <c r="T83" s="96"/>
      <c r="U83" s="259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113"/>
      <c r="AK83" s="151">
        <f t="shared" si="7"/>
        <v>0</v>
      </c>
      <c r="AL83" s="35">
        <f t="shared" si="8"/>
        <v>0</v>
      </c>
      <c r="AM83" s="36">
        <f t="shared" si="9"/>
        <v>1</v>
      </c>
      <c r="AN83" s="36">
        <f t="shared" si="10"/>
        <v>1</v>
      </c>
      <c r="AO83" s="36">
        <f t="shared" si="11"/>
        <v>0</v>
      </c>
      <c r="AP83" s="37">
        <f t="shared" si="12"/>
        <v>2</v>
      </c>
      <c r="AQ83" s="38" t="s">
        <v>311</v>
      </c>
      <c r="AR83" s="38">
        <v>26</v>
      </c>
      <c r="AS83" s="39">
        <f t="shared" si="13"/>
        <v>0.0769230769230769</v>
      </c>
    </row>
    <row r="84" s="105" customFormat="1" ht="19.5" customHeight="1" spans="1:45">
      <c r="A84" s="68">
        <v>73</v>
      </c>
      <c r="B84" s="219" t="s">
        <v>96</v>
      </c>
      <c r="C84" s="150" t="s">
        <v>59</v>
      </c>
      <c r="D84" s="152" t="s">
        <v>276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259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113"/>
      <c r="AK84" s="151">
        <f t="shared" si="7"/>
        <v>0</v>
      </c>
      <c r="AL84" s="35">
        <f t="shared" si="8"/>
        <v>0</v>
      </c>
      <c r="AM84" s="35">
        <f t="shared" si="9"/>
        <v>0</v>
      </c>
      <c r="AN84" s="47">
        <f t="shared" si="10"/>
        <v>0</v>
      </c>
      <c r="AO84" s="36">
        <f t="shared" si="11"/>
        <v>0</v>
      </c>
      <c r="AP84" s="37">
        <f t="shared" si="12"/>
        <v>0</v>
      </c>
      <c r="AQ84" s="37" t="s">
        <v>228</v>
      </c>
      <c r="AR84" s="38">
        <v>26</v>
      </c>
      <c r="AS84" s="39">
        <f t="shared" si="13"/>
        <v>0</v>
      </c>
    </row>
    <row r="85" s="105" customFormat="1" ht="19.5" customHeight="1" spans="1:45">
      <c r="A85" s="68">
        <v>74</v>
      </c>
      <c r="B85" s="219" t="s">
        <v>97</v>
      </c>
      <c r="C85" s="150" t="s">
        <v>59</v>
      </c>
      <c r="D85" s="152" t="s">
        <v>277</v>
      </c>
      <c r="E85" s="96"/>
      <c r="F85" s="96"/>
      <c r="G85" s="96"/>
      <c r="H85" s="96"/>
      <c r="I85" s="96" t="s">
        <v>11</v>
      </c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259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113"/>
      <c r="AK85" s="151">
        <f t="shared" si="7"/>
        <v>0</v>
      </c>
      <c r="AL85" s="35">
        <f t="shared" si="8"/>
        <v>1</v>
      </c>
      <c r="AM85" s="35">
        <f t="shared" si="9"/>
        <v>0</v>
      </c>
      <c r="AN85" s="47">
        <f t="shared" si="10"/>
        <v>0</v>
      </c>
      <c r="AO85" s="36">
        <f t="shared" si="11"/>
        <v>0</v>
      </c>
      <c r="AP85" s="37">
        <f t="shared" si="12"/>
        <v>1</v>
      </c>
      <c r="AQ85" s="37" t="s">
        <v>278</v>
      </c>
      <c r="AR85" s="38">
        <v>26</v>
      </c>
      <c r="AS85" s="39">
        <f t="shared" si="13"/>
        <v>0.0384615384615385</v>
      </c>
    </row>
    <row r="86" s="105" customFormat="1" ht="19.5" customHeight="1" spans="1:45">
      <c r="A86" s="68">
        <v>75</v>
      </c>
      <c r="B86" s="219" t="s">
        <v>98</v>
      </c>
      <c r="C86" s="150" t="s">
        <v>59</v>
      </c>
      <c r="D86" s="152" t="s">
        <v>279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259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113"/>
      <c r="AK86" s="151">
        <f t="shared" si="7"/>
        <v>0</v>
      </c>
      <c r="AL86" s="35">
        <f t="shared" si="8"/>
        <v>0</v>
      </c>
      <c r="AM86" s="36">
        <f t="shared" si="9"/>
        <v>0</v>
      </c>
      <c r="AN86" s="36">
        <f t="shared" si="10"/>
        <v>0</v>
      </c>
      <c r="AO86" s="36">
        <f t="shared" si="11"/>
        <v>0</v>
      </c>
      <c r="AP86" s="37">
        <f t="shared" si="12"/>
        <v>0</v>
      </c>
      <c r="AQ86" s="37"/>
      <c r="AR86" s="38">
        <v>26</v>
      </c>
      <c r="AS86" s="39">
        <f t="shared" si="13"/>
        <v>0</v>
      </c>
    </row>
    <row r="87" s="105" customFormat="1" ht="19.5" customHeight="1" spans="1:45">
      <c r="A87" s="68">
        <v>76</v>
      </c>
      <c r="B87" s="219" t="s">
        <v>99</v>
      </c>
      <c r="C87" s="150" t="s">
        <v>16</v>
      </c>
      <c r="D87" s="149" t="s">
        <v>250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 t="s">
        <v>13</v>
      </c>
      <c r="S87" s="96"/>
      <c r="T87" s="96"/>
      <c r="U87" s="259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113"/>
      <c r="AK87" s="151">
        <f t="shared" si="7"/>
        <v>0</v>
      </c>
      <c r="AL87" s="35">
        <f t="shared" si="8"/>
        <v>0</v>
      </c>
      <c r="AM87" s="36">
        <f t="shared" si="9"/>
        <v>0</v>
      </c>
      <c r="AN87" s="36">
        <f t="shared" si="10"/>
        <v>1</v>
      </c>
      <c r="AO87" s="36">
        <f t="shared" si="11"/>
        <v>0</v>
      </c>
      <c r="AP87" s="37">
        <f t="shared" si="12"/>
        <v>1</v>
      </c>
      <c r="AQ87" s="37" t="s">
        <v>228</v>
      </c>
      <c r="AR87" s="38">
        <v>26</v>
      </c>
      <c r="AS87" s="39">
        <f t="shared" si="13"/>
        <v>0.0384615384615385</v>
      </c>
    </row>
    <row r="88" s="105" customFormat="1" ht="19.5" customHeight="1" spans="1:45">
      <c r="A88" s="68">
        <v>77</v>
      </c>
      <c r="B88" s="219" t="s">
        <v>100</v>
      </c>
      <c r="C88" s="150" t="s">
        <v>101</v>
      </c>
      <c r="D88" s="149" t="s">
        <v>231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259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113"/>
      <c r="AK88" s="151">
        <f t="shared" si="7"/>
        <v>0</v>
      </c>
      <c r="AL88" s="35">
        <f t="shared" si="8"/>
        <v>0</v>
      </c>
      <c r="AM88" s="35">
        <f t="shared" si="9"/>
        <v>0</v>
      </c>
      <c r="AN88" s="47">
        <f t="shared" si="10"/>
        <v>0</v>
      </c>
      <c r="AO88" s="36">
        <f t="shared" si="11"/>
        <v>0</v>
      </c>
      <c r="AP88" s="37">
        <f t="shared" si="12"/>
        <v>0</v>
      </c>
      <c r="AQ88" s="37" t="s">
        <v>216</v>
      </c>
      <c r="AR88" s="38">
        <v>26</v>
      </c>
      <c r="AS88" s="39">
        <f t="shared" si="13"/>
        <v>0</v>
      </c>
    </row>
    <row r="89" s="105" customFormat="1" ht="19.5" customHeight="1" spans="1:45">
      <c r="A89" s="68">
        <v>79</v>
      </c>
      <c r="B89" s="219" t="s">
        <v>104</v>
      </c>
      <c r="C89" s="150" t="s">
        <v>16</v>
      </c>
      <c r="D89" s="149" t="str">
        <f>VLOOKUP(B89,'[1]MASTER DATA 2025'!$C$3:$E$279,3,0)</f>
        <v>2Tahun10 Bulan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259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113"/>
      <c r="AK89" s="151">
        <f t="shared" si="7"/>
        <v>0</v>
      </c>
      <c r="AL89" s="35">
        <f t="shared" si="8"/>
        <v>0</v>
      </c>
      <c r="AM89" s="36">
        <f t="shared" si="9"/>
        <v>0</v>
      </c>
      <c r="AN89" s="36">
        <f t="shared" si="10"/>
        <v>0</v>
      </c>
      <c r="AO89" s="36">
        <f t="shared" si="11"/>
        <v>0</v>
      </c>
      <c r="AP89" s="37">
        <f t="shared" si="12"/>
        <v>0</v>
      </c>
      <c r="AQ89" s="37" t="s">
        <v>25</v>
      </c>
      <c r="AR89" s="38">
        <v>26</v>
      </c>
      <c r="AS89" s="39">
        <f t="shared" si="13"/>
        <v>0</v>
      </c>
    </row>
    <row r="90" s="105" customFormat="1" ht="19.5" customHeight="1" spans="1:45">
      <c r="A90" s="68">
        <v>80</v>
      </c>
      <c r="B90" s="219" t="s">
        <v>121</v>
      </c>
      <c r="C90" s="150" t="s">
        <v>16</v>
      </c>
      <c r="D90" s="149" t="str">
        <f>VLOOKUP(B90,'[1]MASTER DATA 2025'!$C$3:$E$279,3,0)</f>
        <v>0Tahun5 Bulan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259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113"/>
      <c r="AK90" s="151">
        <f t="shared" si="7"/>
        <v>0</v>
      </c>
      <c r="AL90" s="35">
        <f t="shared" si="8"/>
        <v>0</v>
      </c>
      <c r="AM90" s="36">
        <f t="shared" si="9"/>
        <v>0</v>
      </c>
      <c r="AN90" s="35">
        <f t="shared" si="10"/>
        <v>0</v>
      </c>
      <c r="AO90" s="36">
        <f t="shared" si="11"/>
        <v>0</v>
      </c>
      <c r="AP90" s="37">
        <f t="shared" si="12"/>
        <v>0</v>
      </c>
      <c r="AQ90" s="37" t="s">
        <v>25</v>
      </c>
      <c r="AR90" s="38">
        <v>26</v>
      </c>
      <c r="AS90" s="39">
        <f t="shared" si="13"/>
        <v>0</v>
      </c>
    </row>
    <row r="91" s="105" customFormat="1" ht="19.5" customHeight="1" spans="1:45">
      <c r="A91" s="68">
        <v>81</v>
      </c>
      <c r="B91" s="219" t="s">
        <v>106</v>
      </c>
      <c r="C91" s="150" t="s">
        <v>59</v>
      </c>
      <c r="D91" s="149" t="str">
        <f>VLOOKUP(B91,'[1]MASTER DATA 2025'!$C$3:$E$279,3,0)</f>
        <v>0Tahun8 Bulan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259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113"/>
      <c r="AK91" s="151">
        <f t="shared" si="7"/>
        <v>0</v>
      </c>
      <c r="AL91" s="35">
        <f t="shared" si="8"/>
        <v>0</v>
      </c>
      <c r="AM91" s="36">
        <f t="shared" si="9"/>
        <v>0</v>
      </c>
      <c r="AN91" s="35">
        <f t="shared" si="10"/>
        <v>0</v>
      </c>
      <c r="AO91" s="36">
        <f t="shared" si="11"/>
        <v>0</v>
      </c>
      <c r="AP91" s="37">
        <f t="shared" si="12"/>
        <v>0</v>
      </c>
      <c r="AQ91" s="49" t="s">
        <v>120</v>
      </c>
      <c r="AR91" s="38">
        <v>26</v>
      </c>
      <c r="AS91" s="39">
        <f t="shared" si="13"/>
        <v>0</v>
      </c>
    </row>
    <row r="92" s="105" customFormat="1" ht="19.5" customHeight="1" spans="1:45">
      <c r="A92" s="68">
        <v>82</v>
      </c>
      <c r="B92" s="265" t="s">
        <v>107</v>
      </c>
      <c r="C92" s="150" t="s">
        <v>108</v>
      </c>
      <c r="D92" s="149" t="s">
        <v>271</v>
      </c>
      <c r="E92" s="96"/>
      <c r="F92" s="96"/>
      <c r="G92" s="96"/>
      <c r="H92" s="96"/>
      <c r="I92" s="96"/>
      <c r="J92" s="96"/>
      <c r="K92" s="96"/>
      <c r="L92" s="96"/>
      <c r="M92" s="96" t="s">
        <v>12</v>
      </c>
      <c r="N92" s="96"/>
      <c r="O92" s="96"/>
      <c r="P92" s="96"/>
      <c r="Q92" s="96"/>
      <c r="R92" s="96"/>
      <c r="S92" s="96"/>
      <c r="T92" s="96"/>
      <c r="U92" s="259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113"/>
      <c r="AK92" s="151">
        <f t="shared" si="7"/>
        <v>0</v>
      </c>
      <c r="AL92" s="47">
        <f t="shared" si="8"/>
        <v>0</v>
      </c>
      <c r="AM92" s="36">
        <f t="shared" si="9"/>
        <v>1</v>
      </c>
      <c r="AN92" s="35">
        <f t="shared" si="10"/>
        <v>0</v>
      </c>
      <c r="AO92" s="36">
        <f t="shared" si="11"/>
        <v>0</v>
      </c>
      <c r="AP92" s="48">
        <f t="shared" si="12"/>
        <v>1</v>
      </c>
      <c r="AQ92" s="38" t="s">
        <v>312</v>
      </c>
      <c r="AR92" s="38"/>
      <c r="AS92" s="39"/>
    </row>
    <row r="93" s="105" customFormat="1" ht="19.5" customHeight="1" spans="1:45">
      <c r="A93" s="68">
        <v>83</v>
      </c>
      <c r="B93" s="265" t="s">
        <v>109</v>
      </c>
      <c r="C93" s="150" t="s">
        <v>16</v>
      </c>
      <c r="D93" s="149" t="str">
        <f>VLOOKUP(B93,'[1]MASTER DATA 2025'!$C$3:$E$279,3,0)</f>
        <v>0Tahun1 Bulan</v>
      </c>
      <c r="E93" s="96" t="s">
        <v>13</v>
      </c>
      <c r="F93" s="96"/>
      <c r="G93" s="96"/>
      <c r="H93" s="96"/>
      <c r="I93" s="96"/>
      <c r="J93" s="96"/>
      <c r="K93" s="96"/>
      <c r="L93" s="96"/>
      <c r="M93" s="96"/>
      <c r="N93" s="96"/>
      <c r="O93" s="96" t="s">
        <v>13</v>
      </c>
      <c r="P93" s="96"/>
      <c r="Q93" s="96"/>
      <c r="R93" s="96"/>
      <c r="S93" s="96"/>
      <c r="T93" s="96"/>
      <c r="U93" s="259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113"/>
      <c r="AK93" s="151">
        <f t="shared" si="7"/>
        <v>0</v>
      </c>
      <c r="AL93" s="35">
        <f t="shared" si="8"/>
        <v>0</v>
      </c>
      <c r="AM93" s="35">
        <f t="shared" si="9"/>
        <v>0</v>
      </c>
      <c r="AN93" s="35">
        <f t="shared" si="10"/>
        <v>2</v>
      </c>
      <c r="AO93" s="36">
        <f t="shared" si="11"/>
        <v>0</v>
      </c>
      <c r="AP93" s="37">
        <f t="shared" si="12"/>
        <v>2</v>
      </c>
      <c r="AQ93" s="37" t="s">
        <v>228</v>
      </c>
      <c r="AR93" s="38"/>
      <c r="AS93" s="39"/>
    </row>
    <row r="94" s="105" customFormat="1" ht="19.5" customHeight="1" spans="1:45">
      <c r="A94" s="68">
        <v>84</v>
      </c>
      <c r="B94" s="265" t="s">
        <v>110</v>
      </c>
      <c r="C94" s="164" t="s">
        <v>111</v>
      </c>
      <c r="D94" s="149" t="s">
        <v>205</v>
      </c>
      <c r="E94" s="96"/>
      <c r="F94" s="96"/>
      <c r="G94" s="96"/>
      <c r="H94" s="96"/>
      <c r="I94" s="96"/>
      <c r="J94" s="96"/>
      <c r="K94" s="96"/>
      <c r="L94" s="112"/>
      <c r="M94" s="96"/>
      <c r="N94" s="96"/>
      <c r="O94" s="96"/>
      <c r="P94" s="96"/>
      <c r="Q94" s="96"/>
      <c r="R94" s="96"/>
      <c r="S94" s="96"/>
      <c r="T94" s="96"/>
      <c r="U94" s="259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113"/>
      <c r="AK94" s="151">
        <f t="shared" si="7"/>
        <v>0</v>
      </c>
      <c r="AL94" s="35">
        <f t="shared" si="8"/>
        <v>0</v>
      </c>
      <c r="AM94" s="36">
        <f t="shared" si="9"/>
        <v>0</v>
      </c>
      <c r="AN94" s="36">
        <f t="shared" si="10"/>
        <v>0</v>
      </c>
      <c r="AO94" s="36">
        <f t="shared" si="11"/>
        <v>0</v>
      </c>
      <c r="AP94" s="37">
        <f t="shared" si="12"/>
        <v>0</v>
      </c>
      <c r="AQ94" s="37" t="s">
        <v>280</v>
      </c>
      <c r="AR94" s="38"/>
      <c r="AS94" s="39"/>
    </row>
    <row r="95" s="105" customFormat="1" ht="19.5" customHeight="1" spans="1:45">
      <c r="A95" s="68">
        <v>85</v>
      </c>
      <c r="B95" s="249" t="s">
        <v>113</v>
      </c>
      <c r="C95" s="164" t="s">
        <v>16</v>
      </c>
      <c r="D95" s="149" t="s">
        <v>215</v>
      </c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 t="s">
        <v>11</v>
      </c>
      <c r="Q95" s="96"/>
      <c r="R95" s="96"/>
      <c r="S95" s="96"/>
      <c r="T95" s="96"/>
      <c r="U95" s="259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 t="s">
        <v>11</v>
      </c>
      <c r="AJ95" s="113"/>
      <c r="AK95" s="151">
        <f t="shared" si="7"/>
        <v>0</v>
      </c>
      <c r="AL95" s="35">
        <f t="shared" si="8"/>
        <v>2</v>
      </c>
      <c r="AM95" s="35">
        <f t="shared" si="9"/>
        <v>0</v>
      </c>
      <c r="AN95" s="35">
        <f t="shared" si="10"/>
        <v>0</v>
      </c>
      <c r="AO95" s="36">
        <f t="shared" si="11"/>
        <v>0</v>
      </c>
      <c r="AP95" s="37">
        <f t="shared" si="12"/>
        <v>2</v>
      </c>
      <c r="AQ95" s="37" t="s">
        <v>214</v>
      </c>
      <c r="AR95" s="38">
        <v>26</v>
      </c>
      <c r="AS95" s="39">
        <f t="shared" ref="AS95:AS101" si="14">AP95/AR95</f>
        <v>0.0769230769230769</v>
      </c>
    </row>
    <row r="96" s="105" customFormat="1" ht="19.5" customHeight="1" spans="1:45">
      <c r="A96" s="68">
        <v>86</v>
      </c>
      <c r="B96" s="249" t="s">
        <v>114</v>
      </c>
      <c r="C96" s="164" t="s">
        <v>16</v>
      </c>
      <c r="D96" s="149" t="s">
        <v>215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259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 t="s">
        <v>11</v>
      </c>
      <c r="AI96" s="96"/>
      <c r="AJ96" s="113"/>
      <c r="AK96" s="151">
        <f t="shared" si="7"/>
        <v>0</v>
      </c>
      <c r="AL96" s="35">
        <f t="shared" si="8"/>
        <v>1</v>
      </c>
      <c r="AM96" s="36">
        <f t="shared" si="9"/>
        <v>0</v>
      </c>
      <c r="AN96" s="36">
        <f t="shared" si="10"/>
        <v>0</v>
      </c>
      <c r="AO96" s="36">
        <f t="shared" si="11"/>
        <v>0</v>
      </c>
      <c r="AP96" s="37">
        <f t="shared" si="12"/>
        <v>1</v>
      </c>
      <c r="AQ96" s="37" t="s">
        <v>228</v>
      </c>
      <c r="AR96" s="38">
        <v>26</v>
      </c>
      <c r="AS96" s="39">
        <f t="shared" si="14"/>
        <v>0.0384615384615385</v>
      </c>
    </row>
    <row r="97" s="105" customFormat="1" ht="19.5" customHeight="1" spans="1:45">
      <c r="A97" s="68">
        <v>87</v>
      </c>
      <c r="B97" s="249" t="s">
        <v>115</v>
      </c>
      <c r="C97" s="164" t="s">
        <v>16</v>
      </c>
      <c r="D97" s="149" t="str">
        <f>VLOOKUP(B97,'[1]MASTER DATA 2025'!$C$3:$E$279,3,0)</f>
        <v>0Tahun1 Bulan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259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113"/>
      <c r="AK97" s="151">
        <f t="shared" si="7"/>
        <v>0</v>
      </c>
      <c r="AL97" s="35">
        <f t="shared" si="8"/>
        <v>0</v>
      </c>
      <c r="AM97" s="36">
        <f t="shared" si="9"/>
        <v>0</v>
      </c>
      <c r="AN97" s="36">
        <f t="shared" si="10"/>
        <v>0</v>
      </c>
      <c r="AO97" s="36">
        <f t="shared" si="11"/>
        <v>0</v>
      </c>
      <c r="AP97" s="37">
        <f t="shared" si="12"/>
        <v>0</v>
      </c>
      <c r="AQ97" s="37" t="s">
        <v>228</v>
      </c>
      <c r="AR97" s="38">
        <v>26</v>
      </c>
      <c r="AS97" s="39">
        <f t="shared" si="14"/>
        <v>0</v>
      </c>
    </row>
    <row r="98" s="105" customFormat="1" ht="19.5" customHeight="1" spans="1:45">
      <c r="A98" s="68">
        <v>88</v>
      </c>
      <c r="B98" s="249" t="s">
        <v>122</v>
      </c>
      <c r="C98" s="164" t="s">
        <v>20</v>
      </c>
      <c r="D98" s="149" t="str">
        <f>VLOOKUP(B98,'[1]MASTER DATA 2025'!$C$3:$E$279,3,0)</f>
        <v>0Tahun2 Bulan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259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113"/>
      <c r="AK98" s="151">
        <f t="shared" si="7"/>
        <v>0</v>
      </c>
      <c r="AL98" s="35">
        <f t="shared" si="8"/>
        <v>0</v>
      </c>
      <c r="AM98" s="35">
        <f t="shared" si="9"/>
        <v>0</v>
      </c>
      <c r="AN98" s="47">
        <f t="shared" si="10"/>
        <v>0</v>
      </c>
      <c r="AO98" s="36">
        <f t="shared" si="11"/>
        <v>0</v>
      </c>
      <c r="AP98" s="48">
        <f t="shared" si="12"/>
        <v>0</v>
      </c>
      <c r="AQ98" s="37" t="s">
        <v>228</v>
      </c>
      <c r="AR98" s="38">
        <v>26</v>
      </c>
      <c r="AS98" s="39">
        <f t="shared" si="14"/>
        <v>0</v>
      </c>
    </row>
    <row r="99" s="105" customFormat="1" ht="19.5" customHeight="1" spans="1:45">
      <c r="A99" s="68">
        <v>89</v>
      </c>
      <c r="B99" s="265" t="s">
        <v>123</v>
      </c>
      <c r="C99" s="164" t="s">
        <v>124</v>
      </c>
      <c r="D99" s="149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259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113"/>
      <c r="AK99" s="151">
        <f t="shared" si="7"/>
        <v>0</v>
      </c>
      <c r="AL99" s="47">
        <f t="shared" si="8"/>
        <v>0</v>
      </c>
      <c r="AM99" s="35">
        <f t="shared" si="9"/>
        <v>0</v>
      </c>
      <c r="AN99" s="35">
        <f t="shared" si="10"/>
        <v>0</v>
      </c>
      <c r="AO99" s="36">
        <f t="shared" si="11"/>
        <v>0</v>
      </c>
      <c r="AP99" s="48">
        <f t="shared" si="12"/>
        <v>0</v>
      </c>
      <c r="AQ99" s="49" t="s">
        <v>125</v>
      </c>
      <c r="AR99" s="38">
        <v>26</v>
      </c>
      <c r="AS99" s="39">
        <f t="shared" si="14"/>
        <v>0</v>
      </c>
    </row>
    <row r="100" s="105" customFormat="1" ht="19.5" customHeight="1" spans="1:45">
      <c r="A100" s="68">
        <v>90</v>
      </c>
      <c r="B100" s="265" t="s">
        <v>126</v>
      </c>
      <c r="C100" s="164" t="s">
        <v>16</v>
      </c>
      <c r="D100" s="149" t="str">
        <f>VLOOKUP(B100,'[1]MASTER DATA 2025'!$C$3:$E$279,3,0)</f>
        <v>0Tahun7 Bulan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259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113"/>
      <c r="AK100" s="151">
        <f t="shared" si="7"/>
        <v>0</v>
      </c>
      <c r="AL100" s="35">
        <f t="shared" si="8"/>
        <v>0</v>
      </c>
      <c r="AM100" s="35">
        <f t="shared" si="9"/>
        <v>0</v>
      </c>
      <c r="AN100" s="47">
        <f t="shared" si="10"/>
        <v>0</v>
      </c>
      <c r="AO100" s="36">
        <f t="shared" si="11"/>
        <v>0</v>
      </c>
      <c r="AP100" s="37">
        <f t="shared" si="12"/>
        <v>0</v>
      </c>
      <c r="AQ100" s="49">
        <v>45946</v>
      </c>
      <c r="AR100" s="38">
        <v>26</v>
      </c>
      <c r="AS100" s="39">
        <f t="shared" si="14"/>
        <v>0</v>
      </c>
    </row>
    <row r="101" s="105" customFormat="1" ht="19.5" customHeight="1" spans="1:45">
      <c r="A101" s="68">
        <v>91</v>
      </c>
      <c r="B101" s="265" t="s">
        <v>127</v>
      </c>
      <c r="C101" s="164" t="s">
        <v>61</v>
      </c>
      <c r="D101" s="149" t="str">
        <f>VLOOKUP(B101,'[1]MASTER DATA 2025'!$C$3:$E$279,3,0)</f>
        <v>0Tahun8 Bulan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259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113"/>
      <c r="AK101" s="151">
        <f t="shared" si="7"/>
        <v>0</v>
      </c>
      <c r="AL101" s="47">
        <f t="shared" si="8"/>
        <v>0</v>
      </c>
      <c r="AM101" s="35">
        <f t="shared" si="9"/>
        <v>0</v>
      </c>
      <c r="AN101" s="35">
        <f t="shared" si="10"/>
        <v>0</v>
      </c>
      <c r="AO101" s="36">
        <f t="shared" si="11"/>
        <v>0</v>
      </c>
      <c r="AP101" s="48">
        <f t="shared" si="12"/>
        <v>0</v>
      </c>
      <c r="AQ101" s="81" t="s">
        <v>128</v>
      </c>
      <c r="AR101" s="38">
        <v>26</v>
      </c>
      <c r="AS101" s="39">
        <f t="shared" si="14"/>
        <v>0</v>
      </c>
    </row>
    <row r="102" s="105" customFormat="1" ht="19.5" customHeight="1" spans="1:45">
      <c r="A102" s="68">
        <v>92</v>
      </c>
      <c r="B102" s="265" t="s">
        <v>129</v>
      </c>
      <c r="C102" s="164" t="s">
        <v>235</v>
      </c>
      <c r="D102" s="149" t="s">
        <v>236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259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113"/>
      <c r="AK102" s="151">
        <f t="shared" si="7"/>
        <v>0</v>
      </c>
      <c r="AL102" s="35">
        <f t="shared" si="8"/>
        <v>0</v>
      </c>
      <c r="AM102" s="36">
        <f t="shared" si="9"/>
        <v>0</v>
      </c>
      <c r="AN102" s="35">
        <f t="shared" si="10"/>
        <v>0</v>
      </c>
      <c r="AO102" s="36">
        <f t="shared" si="11"/>
        <v>0</v>
      </c>
      <c r="AP102" s="37">
        <f t="shared" si="12"/>
        <v>0</v>
      </c>
      <c r="AQ102" s="37" t="s">
        <v>228</v>
      </c>
      <c r="AR102" s="38"/>
      <c r="AS102" s="39"/>
    </row>
    <row r="103" s="105" customFormat="1" ht="19.5" customHeight="1" spans="1:45">
      <c r="A103" s="68">
        <v>93</v>
      </c>
      <c r="B103" s="265" t="s">
        <v>130</v>
      </c>
      <c r="C103" s="164" t="s">
        <v>131</v>
      </c>
      <c r="D103" s="149" t="str">
        <f>VLOOKUP(B103,'[1]MASTER DATA 2025'!$C$3:$E$279,3,0)</f>
        <v>3Tahun1 Bulan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259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113"/>
      <c r="AK103" s="151">
        <f t="shared" si="7"/>
        <v>0</v>
      </c>
      <c r="AL103" s="35">
        <f t="shared" si="8"/>
        <v>0</v>
      </c>
      <c r="AM103" s="35">
        <f t="shared" si="9"/>
        <v>0</v>
      </c>
      <c r="AN103" s="35">
        <f t="shared" si="10"/>
        <v>0</v>
      </c>
      <c r="AO103" s="36">
        <f t="shared" si="11"/>
        <v>0</v>
      </c>
      <c r="AP103" s="37">
        <f t="shared" si="12"/>
        <v>0</v>
      </c>
      <c r="AQ103" s="37"/>
      <c r="AR103" s="38"/>
      <c r="AS103" s="39"/>
    </row>
    <row r="104" s="105" customFormat="1" ht="19.5" customHeight="1" spans="1:45">
      <c r="A104" s="68">
        <v>94</v>
      </c>
      <c r="B104" s="265" t="s">
        <v>132</v>
      </c>
      <c r="C104" s="164" t="s">
        <v>16</v>
      </c>
      <c r="D104" s="149" t="str">
        <f>VLOOKUP(B104,'[1]MASTER DATA 2025'!$C$3:$E$279,3,0)</f>
        <v>0Tahun1 Bulan</v>
      </c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259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113"/>
      <c r="AK104" s="151">
        <f t="shared" si="7"/>
        <v>0</v>
      </c>
      <c r="AL104" s="35">
        <f t="shared" si="8"/>
        <v>0</v>
      </c>
      <c r="AM104" s="36">
        <f t="shared" si="9"/>
        <v>0</v>
      </c>
      <c r="AN104" s="35">
        <f t="shared" si="10"/>
        <v>0</v>
      </c>
      <c r="AO104" s="36">
        <f t="shared" si="11"/>
        <v>0</v>
      </c>
      <c r="AP104" s="37">
        <f t="shared" si="12"/>
        <v>0</v>
      </c>
      <c r="AQ104" s="37" t="s">
        <v>25</v>
      </c>
      <c r="AR104" s="38">
        <v>26</v>
      </c>
      <c r="AS104" s="39">
        <f t="shared" ref="AS104:AS109" si="15">AP104/AR104</f>
        <v>0</v>
      </c>
    </row>
    <row r="105" s="105" customFormat="1" ht="19.5" customHeight="1" spans="1:45">
      <c r="A105" s="68">
        <v>95</v>
      </c>
      <c r="B105" s="265" t="s">
        <v>133</v>
      </c>
      <c r="C105" s="164" t="s">
        <v>16</v>
      </c>
      <c r="D105" s="149" t="s">
        <v>205</v>
      </c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259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113"/>
      <c r="AK105" s="151">
        <f t="shared" si="7"/>
        <v>0</v>
      </c>
      <c r="AL105" s="35">
        <f t="shared" si="8"/>
        <v>0</v>
      </c>
      <c r="AM105" s="36">
        <f t="shared" si="9"/>
        <v>0</v>
      </c>
      <c r="AN105" s="36">
        <f t="shared" si="10"/>
        <v>0</v>
      </c>
      <c r="AO105" s="36">
        <f t="shared" si="11"/>
        <v>0</v>
      </c>
      <c r="AP105" s="37">
        <f t="shared" si="12"/>
        <v>0</v>
      </c>
      <c r="AQ105" s="37" t="s">
        <v>214</v>
      </c>
      <c r="AR105" s="38">
        <v>26</v>
      </c>
      <c r="AS105" s="39">
        <f t="shared" si="15"/>
        <v>0</v>
      </c>
    </row>
    <row r="106" s="105" customFormat="1" ht="19.5" customHeight="1" spans="1:45">
      <c r="A106" s="68">
        <v>96</v>
      </c>
      <c r="B106" s="265" t="s">
        <v>134</v>
      </c>
      <c r="C106" s="164" t="s">
        <v>16</v>
      </c>
      <c r="D106" s="152" t="s">
        <v>238</v>
      </c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259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113"/>
      <c r="AK106" s="151">
        <f t="shared" si="7"/>
        <v>0</v>
      </c>
      <c r="AL106" s="35">
        <f t="shared" si="8"/>
        <v>0</v>
      </c>
      <c r="AM106" s="36">
        <f t="shared" si="9"/>
        <v>0</v>
      </c>
      <c r="AN106" s="36">
        <f t="shared" si="10"/>
        <v>0</v>
      </c>
      <c r="AO106" s="36">
        <f t="shared" si="11"/>
        <v>0</v>
      </c>
      <c r="AP106" s="37">
        <f t="shared" si="12"/>
        <v>0</v>
      </c>
      <c r="AQ106" s="37" t="s">
        <v>228</v>
      </c>
      <c r="AR106" s="38">
        <v>26</v>
      </c>
      <c r="AS106" s="39">
        <f t="shared" si="15"/>
        <v>0</v>
      </c>
    </row>
    <row r="107" s="105" customFormat="1" ht="19.5" customHeight="1" spans="1:45">
      <c r="A107" s="68">
        <v>97</v>
      </c>
      <c r="B107" s="264" t="s">
        <v>135</v>
      </c>
      <c r="C107" s="164" t="s">
        <v>16</v>
      </c>
      <c r="D107" s="149" t="s">
        <v>268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259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113"/>
      <c r="AK107" s="151">
        <f t="shared" si="7"/>
        <v>0</v>
      </c>
      <c r="AL107" s="47">
        <f t="shared" si="8"/>
        <v>0</v>
      </c>
      <c r="AM107" s="35">
        <f t="shared" si="9"/>
        <v>0</v>
      </c>
      <c r="AN107" s="35">
        <f t="shared" si="10"/>
        <v>0</v>
      </c>
      <c r="AO107" s="36">
        <f t="shared" si="11"/>
        <v>0</v>
      </c>
      <c r="AP107" s="48">
        <f t="shared" si="12"/>
        <v>0</v>
      </c>
      <c r="AQ107" s="37" t="s">
        <v>228</v>
      </c>
      <c r="AR107" s="38">
        <v>26</v>
      </c>
      <c r="AS107" s="39">
        <f t="shared" si="15"/>
        <v>0</v>
      </c>
    </row>
    <row r="108" s="105" customFormat="1" ht="19.5" customHeight="1" spans="1:45">
      <c r="A108" s="68">
        <v>98</v>
      </c>
      <c r="B108" s="167" t="s">
        <v>137</v>
      </c>
      <c r="C108" s="164" t="s">
        <v>16</v>
      </c>
      <c r="D108" s="149" t="str">
        <f>VLOOKUP(B108,'[1]MASTER DATA 2025'!$C$3:$E$279,3,0)</f>
        <v>1Tahun7 Bulan</v>
      </c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 t="s">
        <v>13</v>
      </c>
      <c r="R108" s="96"/>
      <c r="S108" s="96"/>
      <c r="T108" s="96"/>
      <c r="U108" s="259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113"/>
      <c r="AK108" s="151">
        <f t="shared" si="7"/>
        <v>0</v>
      </c>
      <c r="AL108" s="35">
        <f t="shared" si="8"/>
        <v>0</v>
      </c>
      <c r="AM108" s="35">
        <f t="shared" si="9"/>
        <v>0</v>
      </c>
      <c r="AN108" s="36">
        <f t="shared" si="10"/>
        <v>1</v>
      </c>
      <c r="AO108" s="36">
        <f t="shared" si="11"/>
        <v>0</v>
      </c>
      <c r="AP108" s="37">
        <f t="shared" si="12"/>
        <v>1</v>
      </c>
      <c r="AQ108" s="37" t="s">
        <v>228</v>
      </c>
      <c r="AR108" s="38">
        <v>26</v>
      </c>
      <c r="AS108" s="39">
        <f t="shared" si="15"/>
        <v>0.0384615384615385</v>
      </c>
    </row>
    <row r="109" s="105" customFormat="1" ht="19.5" customHeight="1" spans="1:45">
      <c r="A109" s="68">
        <v>99</v>
      </c>
      <c r="B109" s="167" t="s">
        <v>138</v>
      </c>
      <c r="C109" s="150" t="s">
        <v>101</v>
      </c>
      <c r="D109" s="149" t="str">
        <f>VLOOKUP(B109,'[1]MASTER DATA 2025'!$C$3:$E$279,3,0)</f>
        <v>1Tahun1 Bulan</v>
      </c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259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113"/>
      <c r="AK109" s="151">
        <f t="shared" si="7"/>
        <v>0</v>
      </c>
      <c r="AL109" s="35">
        <f t="shared" si="8"/>
        <v>0</v>
      </c>
      <c r="AM109" s="36">
        <f t="shared" si="9"/>
        <v>0</v>
      </c>
      <c r="AN109" s="35">
        <f t="shared" si="10"/>
        <v>0</v>
      </c>
      <c r="AO109" s="36">
        <f t="shared" si="11"/>
        <v>0</v>
      </c>
      <c r="AP109" s="37">
        <f t="shared" si="12"/>
        <v>0</v>
      </c>
      <c r="AQ109" s="37" t="s">
        <v>228</v>
      </c>
      <c r="AR109" s="38">
        <v>26</v>
      </c>
      <c r="AS109" s="39">
        <f t="shared" si="15"/>
        <v>0</v>
      </c>
    </row>
    <row r="110" s="105" customFormat="1" ht="19.5" customHeight="1" spans="1:45">
      <c r="A110" s="68">
        <v>100</v>
      </c>
      <c r="B110" s="167" t="s">
        <v>139</v>
      </c>
      <c r="C110" s="164" t="s">
        <v>16</v>
      </c>
      <c r="D110" s="152" t="s">
        <v>313</v>
      </c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259"/>
      <c r="V110" s="96"/>
      <c r="W110" s="96"/>
      <c r="X110" s="96" t="s">
        <v>11</v>
      </c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113"/>
      <c r="AK110" s="151">
        <f t="shared" si="7"/>
        <v>0</v>
      </c>
      <c r="AL110" s="35">
        <f t="shared" si="8"/>
        <v>1</v>
      </c>
      <c r="AM110" s="36">
        <f t="shared" si="9"/>
        <v>0</v>
      </c>
      <c r="AN110" s="35">
        <f t="shared" si="10"/>
        <v>0</v>
      </c>
      <c r="AO110" s="36">
        <f t="shared" si="11"/>
        <v>0</v>
      </c>
      <c r="AP110" s="37">
        <f t="shared" si="12"/>
        <v>1</v>
      </c>
      <c r="AQ110" s="37" t="s">
        <v>302</v>
      </c>
      <c r="AR110" s="38"/>
      <c r="AS110" s="39"/>
    </row>
    <row r="111" s="105" customFormat="1" ht="19.5" customHeight="1" spans="1:45">
      <c r="A111" s="68">
        <v>101</v>
      </c>
      <c r="B111" s="265" t="s">
        <v>140</v>
      </c>
      <c r="C111" s="164" t="s">
        <v>16</v>
      </c>
      <c r="D111" s="149" t="str">
        <f>VLOOKUP(B111,'[1]MASTER DATA 2025'!$C$3:$E$279,3,0)</f>
        <v>2Tahun2 Bulan</v>
      </c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259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113"/>
      <c r="AK111" s="151">
        <f t="shared" si="7"/>
        <v>0</v>
      </c>
      <c r="AL111" s="35">
        <f t="shared" si="8"/>
        <v>0</v>
      </c>
      <c r="AM111" s="36">
        <f t="shared" si="9"/>
        <v>0</v>
      </c>
      <c r="AN111" s="35">
        <f t="shared" si="10"/>
        <v>0</v>
      </c>
      <c r="AO111" s="36">
        <f t="shared" si="11"/>
        <v>0</v>
      </c>
      <c r="AP111" s="37">
        <f t="shared" si="12"/>
        <v>0</v>
      </c>
      <c r="AQ111" s="37" t="s">
        <v>25</v>
      </c>
      <c r="AR111" s="38"/>
      <c r="AS111" s="39"/>
    </row>
    <row r="112" s="105" customFormat="1" ht="19.5" customHeight="1" spans="1:45">
      <c r="A112" s="68">
        <v>102</v>
      </c>
      <c r="B112" s="265" t="s">
        <v>141</v>
      </c>
      <c r="C112" s="164" t="s">
        <v>20</v>
      </c>
      <c r="D112" s="149" t="str">
        <f>VLOOKUP(B112,'[1]MASTER DATA 2025'!$C$3:$E$279,3,0)</f>
        <v>0Tahun1 Bulan</v>
      </c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259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113"/>
      <c r="AK112" s="151">
        <f t="shared" si="7"/>
        <v>0</v>
      </c>
      <c r="AL112" s="35">
        <f t="shared" si="8"/>
        <v>0</v>
      </c>
      <c r="AM112" s="36">
        <f t="shared" si="9"/>
        <v>0</v>
      </c>
      <c r="AN112" s="35">
        <f t="shared" si="10"/>
        <v>0</v>
      </c>
      <c r="AO112" s="36">
        <f t="shared" si="11"/>
        <v>0</v>
      </c>
      <c r="AP112" s="37">
        <f t="shared" si="12"/>
        <v>0</v>
      </c>
      <c r="AQ112" s="49">
        <v>45967</v>
      </c>
      <c r="AR112" s="38">
        <v>26</v>
      </c>
      <c r="AS112" s="39">
        <f t="shared" ref="AS112:AS117" si="16">AP112/AR112</f>
        <v>0</v>
      </c>
    </row>
    <row r="113" s="105" customFormat="1" ht="19.5" customHeight="1" spans="1:45">
      <c r="A113" s="68">
        <v>103</v>
      </c>
      <c r="B113" s="265" t="s">
        <v>142</v>
      </c>
      <c r="C113" s="164" t="s">
        <v>20</v>
      </c>
      <c r="D113" s="149" t="str">
        <f>VLOOKUP(B113,'[1]MASTER DATA 2025'!$C$3:$E$279,3,0)</f>
        <v>0Tahun2 Bulan</v>
      </c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259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113"/>
      <c r="AK113" s="151">
        <f t="shared" si="7"/>
        <v>0</v>
      </c>
      <c r="AL113" s="35">
        <f t="shared" si="8"/>
        <v>0</v>
      </c>
      <c r="AM113" s="35">
        <f t="shared" si="9"/>
        <v>0</v>
      </c>
      <c r="AN113" s="47">
        <f t="shared" si="10"/>
        <v>0</v>
      </c>
      <c r="AO113" s="36">
        <f t="shared" si="11"/>
        <v>0</v>
      </c>
      <c r="AP113" s="37">
        <f t="shared" si="12"/>
        <v>0</v>
      </c>
      <c r="AQ113" s="37" t="s">
        <v>173</v>
      </c>
      <c r="AR113" s="38">
        <v>26</v>
      </c>
      <c r="AS113" s="39">
        <f t="shared" si="16"/>
        <v>0</v>
      </c>
    </row>
    <row r="114" s="105" customFormat="1" ht="19.5" customHeight="1" spans="1:45">
      <c r="A114" s="68">
        <v>104</v>
      </c>
      <c r="B114" s="265" t="s">
        <v>143</v>
      </c>
      <c r="C114" s="164" t="s">
        <v>61</v>
      </c>
      <c r="D114" s="149" t="str">
        <f>VLOOKUP(B114,'[1]MASTER DATA 2025'!$C$3:$E$279,3,0)</f>
        <v>0Tahun9 Bulan</v>
      </c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259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113"/>
      <c r="AK114" s="151">
        <f t="shared" si="7"/>
        <v>0</v>
      </c>
      <c r="AL114" s="47">
        <f t="shared" si="8"/>
        <v>0</v>
      </c>
      <c r="AM114" s="35">
        <f t="shared" si="9"/>
        <v>0</v>
      </c>
      <c r="AN114" s="35">
        <f t="shared" si="10"/>
        <v>0</v>
      </c>
      <c r="AO114" s="36">
        <f t="shared" si="11"/>
        <v>0</v>
      </c>
      <c r="AP114" s="48">
        <f t="shared" si="12"/>
        <v>0</v>
      </c>
      <c r="AQ114" s="37" t="s">
        <v>25</v>
      </c>
      <c r="AR114" s="38">
        <v>26</v>
      </c>
      <c r="AS114" s="39">
        <f t="shared" si="16"/>
        <v>0</v>
      </c>
    </row>
    <row r="115" s="105" customFormat="1" ht="19.5" customHeight="1" spans="1:45">
      <c r="A115" s="68">
        <v>105</v>
      </c>
      <c r="B115" s="265" t="s">
        <v>144</v>
      </c>
      <c r="C115" s="164" t="s">
        <v>61</v>
      </c>
      <c r="D115" s="149" t="s">
        <v>242</v>
      </c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259"/>
      <c r="V115" s="96"/>
      <c r="W115" s="96"/>
      <c r="X115" s="96"/>
      <c r="Y115" s="96"/>
      <c r="Z115" s="96"/>
      <c r="AA115" s="96" t="s">
        <v>11</v>
      </c>
      <c r="AB115" s="96"/>
      <c r="AC115" s="96"/>
      <c r="AD115" s="96"/>
      <c r="AE115" s="96"/>
      <c r="AF115" s="96"/>
      <c r="AG115" s="96"/>
      <c r="AH115" s="96"/>
      <c r="AI115" s="96"/>
      <c r="AJ115" s="113"/>
      <c r="AK115" s="151">
        <f t="shared" si="7"/>
        <v>0</v>
      </c>
      <c r="AL115" s="35">
        <f t="shared" si="8"/>
        <v>1</v>
      </c>
      <c r="AM115" s="35">
        <f t="shared" si="9"/>
        <v>0</v>
      </c>
      <c r="AN115" s="35">
        <f t="shared" si="10"/>
        <v>0</v>
      </c>
      <c r="AO115" s="36">
        <f t="shared" si="11"/>
        <v>0</v>
      </c>
      <c r="AP115" s="37">
        <f t="shared" si="12"/>
        <v>1</v>
      </c>
      <c r="AQ115" s="37" t="s">
        <v>305</v>
      </c>
      <c r="AR115" s="38">
        <v>26</v>
      </c>
      <c r="AS115" s="39">
        <f t="shared" si="16"/>
        <v>0.0384615384615385</v>
      </c>
    </row>
    <row r="116" s="105" customFormat="1" ht="19.5" customHeight="1" spans="1:45">
      <c r="A116" s="68">
        <v>106</v>
      </c>
      <c r="B116" s="265" t="s">
        <v>145</v>
      </c>
      <c r="C116" s="164" t="s">
        <v>16</v>
      </c>
      <c r="D116" s="149" t="s">
        <v>219</v>
      </c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259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113"/>
      <c r="AK116" s="151">
        <f t="shared" si="7"/>
        <v>0</v>
      </c>
      <c r="AL116" s="47">
        <f t="shared" si="8"/>
        <v>0</v>
      </c>
      <c r="AM116" s="35">
        <f t="shared" si="9"/>
        <v>0</v>
      </c>
      <c r="AN116" s="35">
        <f t="shared" si="10"/>
        <v>0</v>
      </c>
      <c r="AO116" s="36">
        <f t="shared" si="11"/>
        <v>0</v>
      </c>
      <c r="AP116" s="48">
        <f t="shared" si="12"/>
        <v>0</v>
      </c>
      <c r="AQ116" s="37" t="s">
        <v>281</v>
      </c>
      <c r="AR116" s="38">
        <v>26</v>
      </c>
      <c r="AS116" s="39">
        <f t="shared" si="16"/>
        <v>0</v>
      </c>
    </row>
    <row r="117" s="105" customFormat="1" ht="19.5" customHeight="1" spans="1:45">
      <c r="A117" s="68">
        <v>107</v>
      </c>
      <c r="B117" s="265" t="s">
        <v>146</v>
      </c>
      <c r="C117" s="164" t="s">
        <v>16</v>
      </c>
      <c r="D117" s="149" t="str">
        <f>VLOOKUP(B117,'[1]MASTER DATA 2025'!$C$3:$E$279,3,0)</f>
        <v>1Tahun1 Bulan</v>
      </c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259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113"/>
      <c r="AK117" s="151">
        <f t="shared" si="7"/>
        <v>0</v>
      </c>
      <c r="AL117" s="47">
        <f t="shared" si="8"/>
        <v>0</v>
      </c>
      <c r="AM117" s="35">
        <f t="shared" si="9"/>
        <v>0</v>
      </c>
      <c r="AN117" s="35">
        <f t="shared" si="10"/>
        <v>0</v>
      </c>
      <c r="AO117" s="36">
        <f t="shared" si="11"/>
        <v>0</v>
      </c>
      <c r="AP117" s="48">
        <f t="shared" si="12"/>
        <v>0</v>
      </c>
      <c r="AQ117" s="37" t="s">
        <v>228</v>
      </c>
      <c r="AR117" s="38">
        <v>26</v>
      </c>
      <c r="AS117" s="39">
        <f t="shared" si="16"/>
        <v>0</v>
      </c>
    </row>
    <row r="118" s="105" customFormat="1" ht="19.5" customHeight="1" spans="1:45">
      <c r="A118" s="68">
        <v>108</v>
      </c>
      <c r="B118" s="265" t="s">
        <v>147</v>
      </c>
      <c r="C118" s="164" t="s">
        <v>240</v>
      </c>
      <c r="D118" s="149" t="s">
        <v>205</v>
      </c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259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113"/>
      <c r="AK118" s="151">
        <f t="shared" si="7"/>
        <v>0</v>
      </c>
      <c r="AL118" s="47">
        <f t="shared" si="8"/>
        <v>0</v>
      </c>
      <c r="AM118" s="35">
        <f t="shared" si="9"/>
        <v>0</v>
      </c>
      <c r="AN118" s="35">
        <f t="shared" si="10"/>
        <v>0</v>
      </c>
      <c r="AO118" s="36">
        <f t="shared" si="11"/>
        <v>0</v>
      </c>
      <c r="AP118" s="48">
        <f t="shared" si="12"/>
        <v>0</v>
      </c>
      <c r="AQ118" s="37" t="s">
        <v>228</v>
      </c>
      <c r="AR118" s="38"/>
      <c r="AS118" s="39"/>
    </row>
    <row r="119" s="105" customFormat="1" ht="19.5" customHeight="1" spans="1:45">
      <c r="A119" s="68">
        <v>109</v>
      </c>
      <c r="B119" s="267" t="s">
        <v>148</v>
      </c>
      <c r="C119" s="164" t="s">
        <v>16</v>
      </c>
      <c r="D119" s="152" t="s">
        <v>205</v>
      </c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 t="s">
        <v>13</v>
      </c>
      <c r="T119" s="96"/>
      <c r="U119" s="259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113"/>
      <c r="AK119" s="151">
        <f t="shared" si="7"/>
        <v>0</v>
      </c>
      <c r="AL119" s="35">
        <f t="shared" si="8"/>
        <v>0</v>
      </c>
      <c r="AM119" s="36">
        <f t="shared" si="9"/>
        <v>0</v>
      </c>
      <c r="AN119" s="35">
        <f t="shared" si="10"/>
        <v>1</v>
      </c>
      <c r="AO119" s="36">
        <f t="shared" si="11"/>
        <v>0</v>
      </c>
      <c r="AP119" s="37">
        <f t="shared" si="12"/>
        <v>1</v>
      </c>
      <c r="AQ119" s="37" t="s">
        <v>314</v>
      </c>
      <c r="AR119" s="38"/>
      <c r="AS119" s="39"/>
    </row>
    <row r="120" s="105" customFormat="1" ht="19.5" customHeight="1" spans="1:45">
      <c r="A120" s="68">
        <v>110</v>
      </c>
      <c r="B120" s="265" t="s">
        <v>149</v>
      </c>
      <c r="C120" s="164" t="s">
        <v>16</v>
      </c>
      <c r="D120" s="152" t="s">
        <v>215</v>
      </c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259" t="s">
        <v>11</v>
      </c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113"/>
      <c r="AK120" s="151">
        <f t="shared" si="7"/>
        <v>0</v>
      </c>
      <c r="AL120" s="35">
        <f t="shared" si="8"/>
        <v>1</v>
      </c>
      <c r="AM120" s="36">
        <f t="shared" si="9"/>
        <v>0</v>
      </c>
      <c r="AN120" s="35">
        <f t="shared" si="10"/>
        <v>0</v>
      </c>
      <c r="AO120" s="36">
        <f t="shared" si="11"/>
        <v>0</v>
      </c>
      <c r="AP120" s="37">
        <f t="shared" si="12"/>
        <v>1</v>
      </c>
      <c r="AQ120" s="37" t="s">
        <v>228</v>
      </c>
      <c r="AR120" s="38"/>
      <c r="AS120" s="39"/>
    </row>
    <row r="121" s="105" customFormat="1" ht="19.5" customHeight="1" spans="1:45">
      <c r="A121" s="68">
        <v>111</v>
      </c>
      <c r="B121" s="265" t="s">
        <v>150</v>
      </c>
      <c r="C121" s="164" t="s">
        <v>16</v>
      </c>
      <c r="D121" s="149" t="str">
        <f>VLOOKUP(B121,'[1]MASTER DATA 2025'!$C$3:$E$279,3,0)</f>
        <v>1Tahun7 Bulan</v>
      </c>
      <c r="E121" s="96"/>
      <c r="F121" s="96"/>
      <c r="G121" s="96"/>
      <c r="H121" s="96"/>
      <c r="I121" s="96"/>
      <c r="J121" s="96"/>
      <c r="K121" s="96" t="s">
        <v>11</v>
      </c>
      <c r="L121" s="96"/>
      <c r="M121" s="96"/>
      <c r="N121" s="96"/>
      <c r="O121" s="96"/>
      <c r="P121" s="96"/>
      <c r="Q121" s="96"/>
      <c r="R121" s="96"/>
      <c r="S121" s="96"/>
      <c r="T121" s="96"/>
      <c r="U121" s="259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113"/>
      <c r="AK121" s="151">
        <f t="shared" si="7"/>
        <v>0</v>
      </c>
      <c r="AL121" s="35">
        <f t="shared" si="8"/>
        <v>1</v>
      </c>
      <c r="AM121" s="36">
        <f t="shared" si="9"/>
        <v>0</v>
      </c>
      <c r="AN121" s="35">
        <f t="shared" si="10"/>
        <v>0</v>
      </c>
      <c r="AO121" s="36">
        <f t="shared" si="11"/>
        <v>0</v>
      </c>
      <c r="AP121" s="37">
        <f t="shared" si="12"/>
        <v>1</v>
      </c>
      <c r="AQ121" s="37" t="s">
        <v>25</v>
      </c>
      <c r="AR121" s="38"/>
      <c r="AS121" s="39"/>
    </row>
    <row r="122" s="105" customFormat="1" ht="19.5" customHeight="1" spans="1:45">
      <c r="A122" s="68">
        <v>112</v>
      </c>
      <c r="B122" s="265" t="s">
        <v>151</v>
      </c>
      <c r="C122" s="164" t="s">
        <v>241</v>
      </c>
      <c r="D122" s="152" t="s">
        <v>196</v>
      </c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259"/>
      <c r="V122" s="96"/>
      <c r="W122" s="96"/>
      <c r="X122" s="96" t="s">
        <v>11</v>
      </c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113"/>
      <c r="AK122" s="151">
        <f t="shared" si="7"/>
        <v>0</v>
      </c>
      <c r="AL122" s="35">
        <f t="shared" si="8"/>
        <v>1</v>
      </c>
      <c r="AM122" s="36">
        <f t="shared" si="9"/>
        <v>0</v>
      </c>
      <c r="AN122" s="35">
        <f t="shared" si="10"/>
        <v>0</v>
      </c>
      <c r="AO122" s="36">
        <f t="shared" si="11"/>
        <v>0</v>
      </c>
      <c r="AP122" s="37">
        <f t="shared" si="12"/>
        <v>1</v>
      </c>
      <c r="AQ122" s="38" t="s">
        <v>315</v>
      </c>
      <c r="AR122" s="38"/>
      <c r="AS122" s="39"/>
    </row>
    <row r="123" s="105" customFormat="1" ht="19.5" customHeight="1" spans="1:45">
      <c r="A123" s="68">
        <v>113</v>
      </c>
      <c r="B123" s="264" t="s">
        <v>152</v>
      </c>
      <c r="C123" s="164" t="s">
        <v>20</v>
      </c>
      <c r="D123" s="152" t="s">
        <v>236</v>
      </c>
      <c r="E123" s="96"/>
      <c r="F123" s="96"/>
      <c r="G123" s="96"/>
      <c r="H123" s="96"/>
      <c r="I123" s="96"/>
      <c r="J123" s="96" t="s">
        <v>316</v>
      </c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259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113"/>
      <c r="AK123" s="151">
        <f t="shared" si="7"/>
        <v>0</v>
      </c>
      <c r="AL123" s="47">
        <f t="shared" si="8"/>
        <v>0</v>
      </c>
      <c r="AM123" s="35">
        <f t="shared" si="9"/>
        <v>0</v>
      </c>
      <c r="AN123" s="35">
        <f t="shared" si="10"/>
        <v>0</v>
      </c>
      <c r="AO123" s="36">
        <f t="shared" si="11"/>
        <v>0</v>
      </c>
      <c r="AP123" s="48">
        <f t="shared" si="12"/>
        <v>0</v>
      </c>
      <c r="AQ123" s="37" t="s">
        <v>214</v>
      </c>
      <c r="AR123" s="38"/>
      <c r="AS123" s="39"/>
    </row>
    <row r="124" s="105" customFormat="1" ht="19.5" customHeight="1" spans="1:45">
      <c r="A124" s="68">
        <v>114</v>
      </c>
      <c r="B124" s="265" t="s">
        <v>154</v>
      </c>
      <c r="C124" s="164" t="s">
        <v>59</v>
      </c>
      <c r="D124" s="149" t="str">
        <f>VLOOKUP(B124,'[1]MASTER DATA 2025'!$C$3:$E$279,3,0)</f>
        <v>1Tahun2 Bulan</v>
      </c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259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113"/>
      <c r="AK124" s="151">
        <f t="shared" si="7"/>
        <v>0</v>
      </c>
      <c r="AL124" s="47">
        <f t="shared" si="8"/>
        <v>0</v>
      </c>
      <c r="AM124" s="35">
        <f t="shared" si="9"/>
        <v>0</v>
      </c>
      <c r="AN124" s="35">
        <f t="shared" si="10"/>
        <v>0</v>
      </c>
      <c r="AO124" s="36">
        <f t="shared" si="11"/>
        <v>0</v>
      </c>
      <c r="AP124" s="48">
        <f t="shared" si="12"/>
        <v>0</v>
      </c>
      <c r="AQ124" s="37" t="s">
        <v>25</v>
      </c>
      <c r="AR124" s="38">
        <v>26</v>
      </c>
      <c r="AS124" s="39">
        <f>AP124/AR124</f>
        <v>0</v>
      </c>
    </row>
    <row r="125" s="105" customFormat="1" ht="19.5" customHeight="1" spans="1:45">
      <c r="A125" s="68">
        <v>115</v>
      </c>
      <c r="B125" s="265" t="s">
        <v>155</v>
      </c>
      <c r="C125" s="164" t="s">
        <v>59</v>
      </c>
      <c r="D125" s="149" t="str">
        <f>VLOOKUP(B125,'[1]MASTER DATA 2025'!$C$3:$E$279,3,0)</f>
        <v>0Tahun1 Bulan</v>
      </c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259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113"/>
      <c r="AK125" s="151">
        <f t="shared" si="7"/>
        <v>0</v>
      </c>
      <c r="AL125" s="35">
        <f t="shared" si="8"/>
        <v>0</v>
      </c>
      <c r="AM125" s="35">
        <f t="shared" si="9"/>
        <v>0</v>
      </c>
      <c r="AN125" s="35">
        <f t="shared" si="10"/>
        <v>0</v>
      </c>
      <c r="AO125" s="36">
        <f t="shared" si="11"/>
        <v>0</v>
      </c>
      <c r="AP125" s="37">
        <f t="shared" si="12"/>
        <v>0</v>
      </c>
      <c r="AQ125" s="37" t="s">
        <v>228</v>
      </c>
      <c r="AR125" s="38"/>
      <c r="AS125" s="39"/>
    </row>
    <row r="126" s="105" customFormat="1" ht="19.5" customHeight="1" spans="1:45">
      <c r="A126" s="68">
        <v>116</v>
      </c>
      <c r="B126" s="265" t="s">
        <v>157</v>
      </c>
      <c r="C126" s="164" t="s">
        <v>61</v>
      </c>
      <c r="D126" s="149" t="str">
        <f>VLOOKUP(B126,'[1]MASTER DATA 2025'!$C$3:$E$279,3,0)</f>
        <v>0Tahun1 Bulan</v>
      </c>
      <c r="E126" s="96"/>
      <c r="F126" s="96"/>
      <c r="G126" s="96" t="s">
        <v>11</v>
      </c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259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113"/>
      <c r="AK126" s="151">
        <f t="shared" si="7"/>
        <v>0</v>
      </c>
      <c r="AL126" s="35">
        <f t="shared" si="8"/>
        <v>1</v>
      </c>
      <c r="AM126" s="35">
        <f t="shared" si="9"/>
        <v>0</v>
      </c>
      <c r="AN126" s="35">
        <f t="shared" si="10"/>
        <v>0</v>
      </c>
      <c r="AO126" s="36">
        <f t="shared" si="11"/>
        <v>0</v>
      </c>
      <c r="AP126" s="37">
        <f t="shared" si="12"/>
        <v>1</v>
      </c>
      <c r="AQ126" s="37" t="s">
        <v>228</v>
      </c>
      <c r="AR126" s="38"/>
      <c r="AS126" s="39"/>
    </row>
    <row r="127" s="105" customFormat="1" ht="19.5" customHeight="1" spans="1:45">
      <c r="A127" s="68">
        <v>117</v>
      </c>
      <c r="B127" s="265" t="s">
        <v>158</v>
      </c>
      <c r="C127" s="164" t="s">
        <v>20</v>
      </c>
      <c r="D127" s="149" t="str">
        <f>VLOOKUP(B127,'[1]MASTER DATA 2025'!$C$3:$E$279,3,0)</f>
        <v>0Tahun1 Bulan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259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113"/>
      <c r="AK127" s="151">
        <f t="shared" si="7"/>
        <v>0</v>
      </c>
      <c r="AL127" s="35">
        <f t="shared" si="8"/>
        <v>0</v>
      </c>
      <c r="AM127" s="36">
        <f t="shared" si="9"/>
        <v>0</v>
      </c>
      <c r="AN127" s="35">
        <f t="shared" si="10"/>
        <v>0</v>
      </c>
      <c r="AO127" s="36">
        <f t="shared" si="11"/>
        <v>0</v>
      </c>
      <c r="AP127" s="37">
        <f t="shared" si="12"/>
        <v>0</v>
      </c>
      <c r="AQ127" s="37" t="s">
        <v>228</v>
      </c>
      <c r="AR127" s="38"/>
      <c r="AS127" s="39"/>
    </row>
    <row r="128" s="105" customFormat="1" ht="19.5" customHeight="1" spans="1:45">
      <c r="A128" s="68">
        <v>118</v>
      </c>
      <c r="B128" s="265" t="s">
        <v>159</v>
      </c>
      <c r="C128" s="164" t="s">
        <v>59</v>
      </c>
      <c r="D128" s="152" t="s">
        <v>215</v>
      </c>
      <c r="E128" s="96"/>
      <c r="F128" s="96"/>
      <c r="G128" s="96"/>
      <c r="H128" s="96"/>
      <c r="I128" s="96"/>
      <c r="J128" s="96"/>
      <c r="K128" s="96"/>
      <c r="L128" s="96" t="s">
        <v>13</v>
      </c>
      <c r="M128" s="96"/>
      <c r="N128" s="96"/>
      <c r="O128" s="96"/>
      <c r="P128" s="96"/>
      <c r="Q128" s="96"/>
      <c r="R128" s="96"/>
      <c r="S128" s="96"/>
      <c r="T128" s="96"/>
      <c r="U128" s="259"/>
      <c r="V128" s="96"/>
      <c r="W128" s="96"/>
      <c r="X128" s="96"/>
      <c r="Y128" s="96"/>
      <c r="Z128" s="96"/>
      <c r="AA128" s="96"/>
      <c r="AB128" s="96" t="s">
        <v>11</v>
      </c>
      <c r="AC128" s="96"/>
      <c r="AD128" s="96"/>
      <c r="AE128" s="96"/>
      <c r="AF128" s="96"/>
      <c r="AG128" s="96"/>
      <c r="AH128" s="96"/>
      <c r="AI128" s="96"/>
      <c r="AJ128" s="113"/>
      <c r="AK128" s="151">
        <f t="shared" si="7"/>
        <v>0</v>
      </c>
      <c r="AL128" s="35">
        <f t="shared" si="8"/>
        <v>1</v>
      </c>
      <c r="AM128" s="36">
        <f t="shared" si="9"/>
        <v>0</v>
      </c>
      <c r="AN128" s="35">
        <f t="shared" si="10"/>
        <v>1</v>
      </c>
      <c r="AO128" s="36">
        <f t="shared" si="11"/>
        <v>0</v>
      </c>
      <c r="AP128" s="37">
        <f t="shared" si="12"/>
        <v>2</v>
      </c>
      <c r="AQ128" s="37" t="s">
        <v>228</v>
      </c>
      <c r="AR128" s="38"/>
      <c r="AS128" s="39"/>
    </row>
    <row r="129" s="105" customFormat="1" ht="19.5" customHeight="1" spans="1:45">
      <c r="A129" s="68">
        <v>119</v>
      </c>
      <c r="B129" s="265" t="s">
        <v>160</v>
      </c>
      <c r="C129" s="164" t="s">
        <v>20</v>
      </c>
      <c r="D129" s="149" t="str">
        <f>VLOOKUP(B129,'[1]MASTER DATA 2025'!$C$3:$E$279,3,0)</f>
        <v>0Tahun1 Bulan</v>
      </c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259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113"/>
      <c r="AK129" s="151">
        <f t="shared" si="7"/>
        <v>0</v>
      </c>
      <c r="AL129" s="47">
        <f t="shared" si="8"/>
        <v>0</v>
      </c>
      <c r="AM129" s="35">
        <f t="shared" si="9"/>
        <v>0</v>
      </c>
      <c r="AN129" s="35">
        <f t="shared" si="10"/>
        <v>0</v>
      </c>
      <c r="AO129" s="36">
        <f t="shared" si="11"/>
        <v>0</v>
      </c>
      <c r="AP129" s="48">
        <f t="shared" si="12"/>
        <v>0</v>
      </c>
      <c r="AQ129" s="37" t="s">
        <v>25</v>
      </c>
      <c r="AR129" s="38"/>
      <c r="AS129" s="39"/>
    </row>
    <row r="130" s="105" customFormat="1" ht="19.5" customHeight="1" spans="1:45">
      <c r="A130" s="68">
        <v>120</v>
      </c>
      <c r="B130" s="265" t="s">
        <v>161</v>
      </c>
      <c r="C130" s="164" t="s">
        <v>20</v>
      </c>
      <c r="D130" s="149" t="str">
        <f>VLOOKUP(B130,'[1]MASTER DATA 2025'!$C$3:$E$279,3,0)</f>
        <v>1Tahun2 Bulan</v>
      </c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259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113"/>
      <c r="AK130" s="151">
        <f t="shared" si="7"/>
        <v>0</v>
      </c>
      <c r="AL130" s="35">
        <f t="shared" si="8"/>
        <v>0</v>
      </c>
      <c r="AM130" s="35">
        <f t="shared" si="9"/>
        <v>0</v>
      </c>
      <c r="AN130" s="47">
        <f t="shared" si="10"/>
        <v>0</v>
      </c>
      <c r="AO130" s="36">
        <f t="shared" si="11"/>
        <v>0</v>
      </c>
      <c r="AP130" s="48">
        <f t="shared" si="12"/>
        <v>0</v>
      </c>
      <c r="AQ130" s="37" t="s">
        <v>175</v>
      </c>
      <c r="AR130" s="38"/>
      <c r="AS130" s="39"/>
    </row>
    <row r="131" s="105" customFormat="1" ht="19.5" customHeight="1" spans="1:45">
      <c r="A131" s="68">
        <v>121</v>
      </c>
      <c r="B131" s="265" t="s">
        <v>162</v>
      </c>
      <c r="C131" s="164" t="s">
        <v>20</v>
      </c>
      <c r="D131" s="149" t="s">
        <v>163</v>
      </c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259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113"/>
      <c r="AK131" s="151">
        <f t="shared" si="7"/>
        <v>0</v>
      </c>
      <c r="AL131" s="35">
        <f t="shared" si="8"/>
        <v>0</v>
      </c>
      <c r="AM131" s="35">
        <f t="shared" si="9"/>
        <v>0</v>
      </c>
      <c r="AN131" s="47">
        <f t="shared" si="10"/>
        <v>0</v>
      </c>
      <c r="AO131" s="36"/>
      <c r="AP131" s="37">
        <f t="shared" si="12"/>
        <v>0</v>
      </c>
      <c r="AQ131" s="38" t="s">
        <v>207</v>
      </c>
      <c r="AR131" s="38"/>
      <c r="AS131" s="39"/>
    </row>
    <row r="132" s="105" customFormat="1" ht="19.5" customHeight="1" spans="1:45">
      <c r="A132" s="68">
        <v>122</v>
      </c>
      <c r="B132" s="265" t="s">
        <v>164</v>
      </c>
      <c r="C132" s="164" t="s">
        <v>101</v>
      </c>
      <c r="D132" s="149" t="str">
        <f>VLOOKUP(B132,'[1]MASTER DATA 2025'!$C$3:$E$279,3,0)</f>
        <v>2Tahun0 Bulan</v>
      </c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259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113"/>
      <c r="AK132" s="151">
        <f t="shared" si="7"/>
        <v>0</v>
      </c>
      <c r="AL132" s="35">
        <f t="shared" si="8"/>
        <v>0</v>
      </c>
      <c r="AM132" s="35">
        <f t="shared" si="9"/>
        <v>0</v>
      </c>
      <c r="AN132" s="47">
        <f t="shared" si="10"/>
        <v>0</v>
      </c>
      <c r="AO132" s="36">
        <f t="shared" ref="AO132:AO171" si="17">COUNTIF(E132:AI132,"OFF")</f>
        <v>0</v>
      </c>
      <c r="AP132" s="48">
        <f t="shared" si="12"/>
        <v>0</v>
      </c>
      <c r="AQ132" s="37" t="s">
        <v>25</v>
      </c>
      <c r="AR132" s="38"/>
      <c r="AS132" s="39"/>
    </row>
    <row r="133" s="105" customFormat="1" ht="19.5" customHeight="1" spans="1:45">
      <c r="A133" s="68">
        <v>123</v>
      </c>
      <c r="B133" s="265" t="s">
        <v>176</v>
      </c>
      <c r="C133" s="164" t="s">
        <v>20</v>
      </c>
      <c r="D133" s="149" t="str">
        <f>VLOOKUP(B133,'[1]MASTER DATA 2025'!$C$3:$E$279,3,0)</f>
        <v>0Tahun2 Bulan</v>
      </c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259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113"/>
      <c r="AK133" s="151">
        <f t="shared" si="7"/>
        <v>0</v>
      </c>
      <c r="AL133" s="35">
        <f t="shared" si="8"/>
        <v>0</v>
      </c>
      <c r="AM133" s="35">
        <f t="shared" si="9"/>
        <v>0</v>
      </c>
      <c r="AN133" s="47">
        <f t="shared" si="10"/>
        <v>0</v>
      </c>
      <c r="AO133" s="36">
        <f t="shared" si="17"/>
        <v>0</v>
      </c>
      <c r="AP133" s="48">
        <f t="shared" si="12"/>
        <v>0</v>
      </c>
      <c r="AQ133" s="37"/>
      <c r="AR133" s="38"/>
      <c r="AS133" s="39"/>
    </row>
    <row r="134" s="105" customFormat="1" ht="19.5" customHeight="1" spans="1:45">
      <c r="A134" s="68">
        <v>124</v>
      </c>
      <c r="B134" s="268" t="s">
        <v>177</v>
      </c>
      <c r="C134" s="164" t="s">
        <v>16</v>
      </c>
      <c r="D134" s="149" t="s">
        <v>178</v>
      </c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259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113"/>
      <c r="AK134" s="151">
        <f t="shared" si="7"/>
        <v>0</v>
      </c>
      <c r="AL134" s="35">
        <f t="shared" si="8"/>
        <v>0</v>
      </c>
      <c r="AM134" s="36">
        <f t="shared" si="9"/>
        <v>0</v>
      </c>
      <c r="AN134" s="35">
        <f t="shared" si="10"/>
        <v>0</v>
      </c>
      <c r="AO134" s="36">
        <f t="shared" si="17"/>
        <v>0</v>
      </c>
      <c r="AP134" s="37">
        <f t="shared" si="12"/>
        <v>0</v>
      </c>
      <c r="AQ134" s="37" t="s">
        <v>25</v>
      </c>
      <c r="AR134" s="38"/>
      <c r="AS134" s="39"/>
    </row>
    <row r="135" s="105" customFormat="1" ht="19.5" customHeight="1" spans="1:45">
      <c r="A135" s="68">
        <v>125</v>
      </c>
      <c r="B135" s="268" t="s">
        <v>179</v>
      </c>
      <c r="C135" s="164" t="s">
        <v>16</v>
      </c>
      <c r="D135" s="149" t="s">
        <v>112</v>
      </c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259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113"/>
      <c r="AK135" s="151">
        <f t="shared" si="7"/>
        <v>0</v>
      </c>
      <c r="AL135" s="35">
        <f t="shared" si="8"/>
        <v>0</v>
      </c>
      <c r="AM135" s="35">
        <f t="shared" si="9"/>
        <v>0</v>
      </c>
      <c r="AN135" s="47">
        <f t="shared" si="10"/>
        <v>0</v>
      </c>
      <c r="AO135" s="36">
        <f t="shared" si="17"/>
        <v>0</v>
      </c>
      <c r="AP135" s="48">
        <f t="shared" si="12"/>
        <v>0</v>
      </c>
      <c r="AQ135" s="37" t="s">
        <v>25</v>
      </c>
      <c r="AR135" s="38"/>
      <c r="AS135" s="39"/>
    </row>
    <row r="136" s="105" customFormat="1" ht="19.5" customHeight="1" spans="1:45">
      <c r="A136" s="68">
        <v>126</v>
      </c>
      <c r="B136" s="268" t="s">
        <v>158</v>
      </c>
      <c r="C136" s="164" t="s">
        <v>20</v>
      </c>
      <c r="D136" s="149" t="s">
        <v>180</v>
      </c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259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113"/>
      <c r="AK136" s="151">
        <f t="shared" si="7"/>
        <v>0</v>
      </c>
      <c r="AL136" s="35">
        <f t="shared" si="8"/>
        <v>0</v>
      </c>
      <c r="AM136" s="35">
        <f t="shared" si="9"/>
        <v>0</v>
      </c>
      <c r="AN136" s="47">
        <f t="shared" si="10"/>
        <v>0</v>
      </c>
      <c r="AO136" s="36">
        <f t="shared" si="17"/>
        <v>0</v>
      </c>
      <c r="AP136" s="48">
        <f t="shared" si="12"/>
        <v>0</v>
      </c>
      <c r="AQ136" s="37" t="s">
        <v>25</v>
      </c>
      <c r="AR136" s="38"/>
      <c r="AS136" s="39"/>
    </row>
    <row r="137" s="105" customFormat="1" ht="19.5" customHeight="1" spans="1:45">
      <c r="A137" s="68">
        <v>127</v>
      </c>
      <c r="B137" s="269" t="s">
        <v>181</v>
      </c>
      <c r="C137" s="165" t="s">
        <v>59</v>
      </c>
      <c r="D137" s="152" t="s">
        <v>308</v>
      </c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 t="s">
        <v>11</v>
      </c>
      <c r="R137" s="96" t="s">
        <v>11</v>
      </c>
      <c r="S137" s="96"/>
      <c r="T137" s="96"/>
      <c r="U137" s="259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113"/>
      <c r="AK137" s="151">
        <f t="shared" si="7"/>
        <v>0</v>
      </c>
      <c r="AL137" s="35">
        <f t="shared" si="8"/>
        <v>2</v>
      </c>
      <c r="AM137" s="36">
        <f t="shared" si="9"/>
        <v>0</v>
      </c>
      <c r="AN137" s="35">
        <f t="shared" si="10"/>
        <v>0</v>
      </c>
      <c r="AO137" s="36">
        <f t="shared" si="17"/>
        <v>0</v>
      </c>
      <c r="AP137" s="37">
        <f t="shared" si="12"/>
        <v>2</v>
      </c>
      <c r="AQ137" s="37" t="s">
        <v>317</v>
      </c>
      <c r="AR137" s="38"/>
      <c r="AS137" s="39"/>
    </row>
    <row r="138" s="105" customFormat="1" ht="19.5" customHeight="1" spans="1:45">
      <c r="A138" s="68">
        <v>128</v>
      </c>
      <c r="B138" s="249" t="s">
        <v>182</v>
      </c>
      <c r="C138" s="166" t="s">
        <v>59</v>
      </c>
      <c r="D138" s="152" t="s">
        <v>178</v>
      </c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259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113"/>
      <c r="AK138" s="151">
        <f t="shared" si="7"/>
        <v>0</v>
      </c>
      <c r="AL138" s="35">
        <f t="shared" si="8"/>
        <v>0</v>
      </c>
      <c r="AM138" s="36">
        <f t="shared" si="9"/>
        <v>0</v>
      </c>
      <c r="AN138" s="35">
        <f t="shared" si="10"/>
        <v>0</v>
      </c>
      <c r="AO138" s="36">
        <f t="shared" si="17"/>
        <v>0</v>
      </c>
      <c r="AP138" s="37">
        <f t="shared" si="12"/>
        <v>0</v>
      </c>
      <c r="AQ138" s="37" t="s">
        <v>25</v>
      </c>
      <c r="AR138" s="38"/>
      <c r="AS138" s="39"/>
    </row>
    <row r="139" s="105" customFormat="1" ht="19.5" customHeight="1" spans="1:45">
      <c r="A139" s="68">
        <v>129</v>
      </c>
      <c r="B139" s="249" t="s">
        <v>183</v>
      </c>
      <c r="C139" s="166" t="s">
        <v>16</v>
      </c>
      <c r="D139" s="152" t="str">
        <f>VLOOKUP(B139,'[1]MASTER DATA 2025'!$C$3:$E$279,3,0)</f>
        <v>0Tahun1 Bulan</v>
      </c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259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113"/>
      <c r="AK139" s="151">
        <f t="shared" si="7"/>
        <v>0</v>
      </c>
      <c r="AL139" s="35">
        <f t="shared" si="8"/>
        <v>0</v>
      </c>
      <c r="AM139" s="36">
        <f t="shared" si="9"/>
        <v>0</v>
      </c>
      <c r="AN139" s="35">
        <f t="shared" si="10"/>
        <v>0</v>
      </c>
      <c r="AO139" s="36">
        <f t="shared" si="17"/>
        <v>0</v>
      </c>
      <c r="AP139" s="37">
        <f t="shared" si="12"/>
        <v>0</v>
      </c>
      <c r="AQ139" s="37" t="s">
        <v>246</v>
      </c>
      <c r="AR139" s="38"/>
      <c r="AS139" s="39"/>
    </row>
    <row r="140" s="105" customFormat="1" ht="19.5" customHeight="1" spans="1:45">
      <c r="A140" s="68">
        <v>130</v>
      </c>
      <c r="B140" s="249" t="s">
        <v>184</v>
      </c>
      <c r="C140" s="166" t="s">
        <v>16</v>
      </c>
      <c r="D140" s="152" t="s">
        <v>180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 t="s">
        <v>13</v>
      </c>
      <c r="R140" s="96"/>
      <c r="S140" s="96"/>
      <c r="T140" s="96"/>
      <c r="U140" s="259" t="s">
        <v>13</v>
      </c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113"/>
      <c r="AK140" s="151">
        <f t="shared" ref="AK140:AK148" si="18">COUNTIF(E140:AI140,"H")</f>
        <v>0</v>
      </c>
      <c r="AL140" s="35">
        <f t="shared" ref="AL140:AL171" si="19">COUNTIF(E140:AI140,"S")</f>
        <v>0</v>
      </c>
      <c r="AM140" s="36">
        <f t="shared" ref="AM140:AM171" si="20">COUNTIF(E140:AI140,"I")</f>
        <v>0</v>
      </c>
      <c r="AN140" s="35">
        <f t="shared" ref="AN140:AN171" si="21">COUNTIF(E140:AI140,"A")</f>
        <v>2</v>
      </c>
      <c r="AO140" s="36">
        <f t="shared" si="17"/>
        <v>0</v>
      </c>
      <c r="AP140" s="37">
        <f t="shared" ref="AP140:AP171" si="22">SUM(AK140:AN140)</f>
        <v>2</v>
      </c>
      <c r="AQ140" s="37" t="s">
        <v>228</v>
      </c>
      <c r="AR140" s="38"/>
      <c r="AS140" s="39"/>
    </row>
    <row r="141" s="105" customFormat="1" ht="19.5" customHeight="1" spans="1:45">
      <c r="A141" s="68">
        <v>131</v>
      </c>
      <c r="B141" s="249" t="s">
        <v>185</v>
      </c>
      <c r="C141" s="166" t="s">
        <v>16</v>
      </c>
      <c r="D141" s="152" t="s">
        <v>112</v>
      </c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259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113"/>
      <c r="AK141" s="151">
        <f t="shared" si="18"/>
        <v>0</v>
      </c>
      <c r="AL141" s="35">
        <f t="shared" si="19"/>
        <v>0</v>
      </c>
      <c r="AM141" s="36">
        <f t="shared" si="20"/>
        <v>0</v>
      </c>
      <c r="AN141" s="35">
        <f t="shared" si="21"/>
        <v>0</v>
      </c>
      <c r="AO141" s="36">
        <f t="shared" si="17"/>
        <v>0</v>
      </c>
      <c r="AP141" s="37">
        <f t="shared" si="22"/>
        <v>0</v>
      </c>
      <c r="AQ141" s="37" t="s">
        <v>228</v>
      </c>
      <c r="AR141" s="38"/>
      <c r="AS141" s="39"/>
    </row>
    <row r="142" s="105" customFormat="1" ht="19.5" customHeight="1" spans="1:45">
      <c r="A142" s="68">
        <v>132</v>
      </c>
      <c r="B142" s="249" t="s">
        <v>186</v>
      </c>
      <c r="C142" s="166" t="s">
        <v>245</v>
      </c>
      <c r="D142" s="149" t="s">
        <v>112</v>
      </c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259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113"/>
      <c r="AK142" s="151">
        <f t="shared" si="18"/>
        <v>0</v>
      </c>
      <c r="AL142" s="35">
        <f t="shared" si="19"/>
        <v>0</v>
      </c>
      <c r="AM142" s="36">
        <f t="shared" si="20"/>
        <v>0</v>
      </c>
      <c r="AN142" s="35">
        <f t="shared" si="21"/>
        <v>0</v>
      </c>
      <c r="AO142" s="36">
        <f t="shared" si="17"/>
        <v>0</v>
      </c>
      <c r="AP142" s="37">
        <f t="shared" si="22"/>
        <v>0</v>
      </c>
      <c r="AQ142" s="37" t="s">
        <v>216</v>
      </c>
      <c r="AR142" s="38"/>
      <c r="AS142" s="39"/>
    </row>
    <row r="143" s="105" customFormat="1" ht="19.5" customHeight="1" spans="1:45">
      <c r="A143" s="68">
        <v>133</v>
      </c>
      <c r="B143" s="249" t="s">
        <v>187</v>
      </c>
      <c r="C143" s="166" t="s">
        <v>16</v>
      </c>
      <c r="D143" s="152" t="str">
        <f>VLOOKUP(B143,'[1]MASTER DATA 2025'!$C$3:$E$279,3,0)</f>
        <v>0Tahun1 Bulan</v>
      </c>
      <c r="E143" s="96"/>
      <c r="F143" s="96"/>
      <c r="G143" s="96"/>
      <c r="H143" s="96"/>
      <c r="I143" s="96"/>
      <c r="J143" s="96"/>
      <c r="K143" s="96"/>
      <c r="L143" s="96"/>
      <c r="M143" s="96" t="s">
        <v>13</v>
      </c>
      <c r="N143" s="96"/>
      <c r="O143" s="96"/>
      <c r="P143" s="96"/>
      <c r="Q143" s="96"/>
      <c r="R143" s="96"/>
      <c r="S143" s="96"/>
      <c r="T143" s="96"/>
      <c r="U143" s="259"/>
      <c r="V143" s="96"/>
      <c r="W143" s="96"/>
      <c r="X143" s="96"/>
      <c r="Y143" s="96"/>
      <c r="Z143" s="96"/>
      <c r="AA143" s="96"/>
      <c r="AB143" s="96"/>
      <c r="AC143" s="96" t="s">
        <v>11</v>
      </c>
      <c r="AD143" s="96"/>
      <c r="AE143" s="96"/>
      <c r="AF143" s="96"/>
      <c r="AG143" s="96"/>
      <c r="AH143" s="96"/>
      <c r="AI143" s="96"/>
      <c r="AJ143" s="113"/>
      <c r="AK143" s="151">
        <f t="shared" si="18"/>
        <v>0</v>
      </c>
      <c r="AL143" s="35">
        <f t="shared" si="19"/>
        <v>1</v>
      </c>
      <c r="AM143" s="36">
        <f t="shared" si="20"/>
        <v>0</v>
      </c>
      <c r="AN143" s="35">
        <f t="shared" si="21"/>
        <v>1</v>
      </c>
      <c r="AO143" s="36">
        <f t="shared" si="17"/>
        <v>0</v>
      </c>
      <c r="AP143" s="37">
        <f t="shared" si="22"/>
        <v>2</v>
      </c>
      <c r="AQ143" s="37" t="s">
        <v>228</v>
      </c>
      <c r="AR143" s="38"/>
      <c r="AS143" s="39"/>
    </row>
    <row r="144" s="105" customFormat="1" ht="19.5" customHeight="1" spans="1:45">
      <c r="A144" s="68">
        <v>134</v>
      </c>
      <c r="B144" s="249" t="s">
        <v>188</v>
      </c>
      <c r="C144" s="166" t="s">
        <v>16</v>
      </c>
      <c r="D144" s="152" t="str">
        <f>VLOOKUP(B144,'[1]MASTER DATA 2025'!$C$3:$E$279,3,0)</f>
        <v>1Tahun5 Bulan</v>
      </c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259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113"/>
      <c r="AK144" s="151">
        <f t="shared" si="18"/>
        <v>0</v>
      </c>
      <c r="AL144" s="35">
        <f t="shared" si="19"/>
        <v>0</v>
      </c>
      <c r="AM144" s="36">
        <f t="shared" si="20"/>
        <v>0</v>
      </c>
      <c r="AN144" s="35">
        <f t="shared" si="21"/>
        <v>0</v>
      </c>
      <c r="AO144" s="36">
        <f t="shared" si="17"/>
        <v>0</v>
      </c>
      <c r="AP144" s="37">
        <f t="shared" si="22"/>
        <v>0</v>
      </c>
      <c r="AQ144" s="37"/>
      <c r="AR144" s="38"/>
      <c r="AS144" s="39"/>
    </row>
    <row r="145" s="105" customFormat="1" ht="19.5" customHeight="1" spans="1:45">
      <c r="A145" s="68">
        <v>135</v>
      </c>
      <c r="B145" s="249" t="s">
        <v>189</v>
      </c>
      <c r="C145" s="166" t="s">
        <v>16</v>
      </c>
      <c r="D145" s="152" t="s">
        <v>178</v>
      </c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259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113"/>
      <c r="AK145" s="151">
        <f t="shared" si="18"/>
        <v>0</v>
      </c>
      <c r="AL145" s="35">
        <f t="shared" si="19"/>
        <v>0</v>
      </c>
      <c r="AM145" s="36">
        <f t="shared" si="20"/>
        <v>0</v>
      </c>
      <c r="AN145" s="35">
        <f t="shared" si="21"/>
        <v>0</v>
      </c>
      <c r="AO145" s="36">
        <f t="shared" si="17"/>
        <v>0</v>
      </c>
      <c r="AP145" s="37">
        <f t="shared" si="22"/>
        <v>0</v>
      </c>
      <c r="AQ145" s="37" t="s">
        <v>25</v>
      </c>
      <c r="AR145" s="38"/>
      <c r="AS145" s="39"/>
    </row>
    <row r="146" s="105" customFormat="1" ht="19.5" customHeight="1" spans="1:45">
      <c r="A146" s="68">
        <v>136</v>
      </c>
      <c r="B146" s="265" t="s">
        <v>190</v>
      </c>
      <c r="C146" s="166" t="s">
        <v>16</v>
      </c>
      <c r="D146" s="152" t="s">
        <v>180</v>
      </c>
      <c r="E146" s="96" t="s">
        <v>11</v>
      </c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259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113"/>
      <c r="AK146" s="151">
        <f t="shared" si="18"/>
        <v>0</v>
      </c>
      <c r="AL146" s="35">
        <f t="shared" si="19"/>
        <v>1</v>
      </c>
      <c r="AM146" s="36">
        <f t="shared" si="20"/>
        <v>0</v>
      </c>
      <c r="AN146" s="35">
        <f t="shared" si="21"/>
        <v>0</v>
      </c>
      <c r="AO146" s="36">
        <f t="shared" si="17"/>
        <v>0</v>
      </c>
      <c r="AP146" s="37">
        <f t="shared" si="22"/>
        <v>1</v>
      </c>
      <c r="AQ146" s="37" t="s">
        <v>214</v>
      </c>
      <c r="AR146" s="38"/>
      <c r="AS146" s="39"/>
    </row>
    <row r="147" s="105" customFormat="1" ht="19.5" customHeight="1" spans="1:45">
      <c r="A147" s="68">
        <v>137</v>
      </c>
      <c r="B147" s="265" t="s">
        <v>191</v>
      </c>
      <c r="C147" s="150" t="s">
        <v>16</v>
      </c>
      <c r="D147" s="152" t="s">
        <v>178</v>
      </c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259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113"/>
      <c r="AK147" s="151">
        <f t="shared" si="18"/>
        <v>0</v>
      </c>
      <c r="AL147" s="35">
        <f t="shared" si="19"/>
        <v>0</v>
      </c>
      <c r="AM147" s="35">
        <f t="shared" si="20"/>
        <v>0</v>
      </c>
      <c r="AN147" s="36">
        <f t="shared" si="21"/>
        <v>0</v>
      </c>
      <c r="AO147" s="36">
        <f t="shared" si="17"/>
        <v>0</v>
      </c>
      <c r="AP147" s="37">
        <f t="shared" si="22"/>
        <v>0</v>
      </c>
      <c r="AQ147" s="37" t="s">
        <v>192</v>
      </c>
      <c r="AR147" s="38">
        <v>16</v>
      </c>
      <c r="AS147" s="39">
        <f>AP147/AR147</f>
        <v>0</v>
      </c>
    </row>
    <row r="148" s="105" customFormat="1" ht="19.5" customHeight="1" spans="1:45">
      <c r="A148" s="68"/>
      <c r="B148" s="265" t="s">
        <v>247</v>
      </c>
      <c r="C148" s="150" t="s">
        <v>16</v>
      </c>
      <c r="D148" s="152" t="s">
        <v>153</v>
      </c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259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113"/>
      <c r="AK148" s="151">
        <f t="shared" si="18"/>
        <v>0</v>
      </c>
      <c r="AL148" s="35">
        <f t="shared" si="19"/>
        <v>0</v>
      </c>
      <c r="AM148" s="36">
        <f t="shared" si="20"/>
        <v>0</v>
      </c>
      <c r="AN148" s="35">
        <f t="shared" si="21"/>
        <v>0</v>
      </c>
      <c r="AO148" s="36">
        <f t="shared" si="17"/>
        <v>0</v>
      </c>
      <c r="AP148" s="37">
        <f t="shared" si="22"/>
        <v>0</v>
      </c>
      <c r="AQ148" s="38" t="s">
        <v>207</v>
      </c>
      <c r="AR148" s="38"/>
      <c r="AS148" s="39"/>
    </row>
    <row r="149" s="105" customFormat="1" ht="19.5" customHeight="1" spans="1:45">
      <c r="A149" s="68"/>
      <c r="B149" s="265" t="s">
        <v>248</v>
      </c>
      <c r="C149" s="150" t="s">
        <v>16</v>
      </c>
      <c r="D149" s="152" t="s">
        <v>178</v>
      </c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259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113"/>
      <c r="AK149" s="151"/>
      <c r="AL149" s="35">
        <f t="shared" si="19"/>
        <v>0</v>
      </c>
      <c r="AM149" s="36">
        <f t="shared" si="20"/>
        <v>0</v>
      </c>
      <c r="AN149" s="35">
        <f t="shared" si="21"/>
        <v>0</v>
      </c>
      <c r="AO149" s="36">
        <f t="shared" si="17"/>
        <v>0</v>
      </c>
      <c r="AP149" s="37">
        <f t="shared" si="22"/>
        <v>0</v>
      </c>
      <c r="AQ149" s="37"/>
      <c r="AR149" s="38"/>
      <c r="AS149" s="39"/>
    </row>
    <row r="150" s="105" customFormat="1" ht="19.5" customHeight="1" spans="1:45">
      <c r="A150" s="68"/>
      <c r="B150" s="265" t="s">
        <v>249</v>
      </c>
      <c r="C150" s="150" t="s">
        <v>16</v>
      </c>
      <c r="D150" s="152" t="s">
        <v>250</v>
      </c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259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113"/>
      <c r="AK150" s="151"/>
      <c r="AL150" s="35">
        <f t="shared" si="19"/>
        <v>0</v>
      </c>
      <c r="AM150" s="36">
        <f t="shared" si="20"/>
        <v>0</v>
      </c>
      <c r="AN150" s="35">
        <f t="shared" si="21"/>
        <v>0</v>
      </c>
      <c r="AO150" s="36">
        <f t="shared" si="17"/>
        <v>0</v>
      </c>
      <c r="AP150" s="37">
        <f t="shared" si="22"/>
        <v>0</v>
      </c>
      <c r="AQ150" s="37"/>
      <c r="AR150" s="38"/>
      <c r="AS150" s="39"/>
    </row>
    <row r="151" s="105" customFormat="1" ht="19.5" customHeight="1" spans="1:45">
      <c r="A151" s="68"/>
      <c r="B151" s="265" t="s">
        <v>251</v>
      </c>
      <c r="C151" s="150" t="s">
        <v>16</v>
      </c>
      <c r="D151" s="152" t="s">
        <v>252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259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113"/>
      <c r="AK151" s="151"/>
      <c r="AL151" s="35">
        <f t="shared" si="19"/>
        <v>0</v>
      </c>
      <c r="AM151" s="36">
        <f t="shared" si="20"/>
        <v>0</v>
      </c>
      <c r="AN151" s="35">
        <f t="shared" si="21"/>
        <v>0</v>
      </c>
      <c r="AO151" s="36">
        <f t="shared" si="17"/>
        <v>0</v>
      </c>
      <c r="AP151" s="37">
        <f t="shared" si="22"/>
        <v>0</v>
      </c>
      <c r="AQ151" s="37" t="s">
        <v>198</v>
      </c>
      <c r="AR151" s="38"/>
      <c r="AS151" s="39"/>
    </row>
    <row r="152" s="105" customFormat="1" ht="19.5" customHeight="1" spans="1:45">
      <c r="A152" s="68"/>
      <c r="B152" s="265" t="s">
        <v>253</v>
      </c>
      <c r="C152" s="150" t="s">
        <v>16</v>
      </c>
      <c r="D152" s="152" t="s">
        <v>112</v>
      </c>
      <c r="E152" s="96"/>
      <c r="F152" s="96"/>
      <c r="G152" s="96"/>
      <c r="H152" s="96"/>
      <c r="I152" s="96"/>
      <c r="J152" s="96"/>
      <c r="K152" s="96" t="s">
        <v>13</v>
      </c>
      <c r="L152" s="96"/>
      <c r="M152" s="96"/>
      <c r="N152" s="96"/>
      <c r="O152" s="96"/>
      <c r="P152" s="96"/>
      <c r="Q152" s="96"/>
      <c r="R152" s="96"/>
      <c r="S152" s="96"/>
      <c r="T152" s="96"/>
      <c r="U152" s="259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 t="s">
        <v>11</v>
      </c>
      <c r="AJ152" s="113"/>
      <c r="AK152" s="151"/>
      <c r="AL152" s="35">
        <f t="shared" si="19"/>
        <v>1</v>
      </c>
      <c r="AM152" s="36">
        <f t="shared" si="20"/>
        <v>0</v>
      </c>
      <c r="AN152" s="35">
        <f t="shared" si="21"/>
        <v>1</v>
      </c>
      <c r="AO152" s="36">
        <f t="shared" si="17"/>
        <v>0</v>
      </c>
      <c r="AP152" s="37">
        <f t="shared" si="22"/>
        <v>2</v>
      </c>
      <c r="AQ152" s="37" t="s">
        <v>228</v>
      </c>
      <c r="AR152" s="38"/>
      <c r="AS152" s="39"/>
    </row>
    <row r="153" s="105" customFormat="1" ht="19.5" customHeight="1" spans="1:45">
      <c r="A153" s="68"/>
      <c r="B153" s="265" t="s">
        <v>255</v>
      </c>
      <c r="C153" s="150" t="s">
        <v>165</v>
      </c>
      <c r="D153" s="152" t="s">
        <v>238</v>
      </c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259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113"/>
      <c r="AK153" s="151"/>
      <c r="AL153" s="35">
        <f t="shared" si="19"/>
        <v>0</v>
      </c>
      <c r="AM153" s="36">
        <f t="shared" si="20"/>
        <v>0</v>
      </c>
      <c r="AN153" s="35">
        <f t="shared" si="21"/>
        <v>0</v>
      </c>
      <c r="AO153" s="36">
        <f t="shared" si="17"/>
        <v>0</v>
      </c>
      <c r="AP153" s="37">
        <f t="shared" si="22"/>
        <v>0</v>
      </c>
      <c r="AQ153" s="38"/>
      <c r="AR153" s="38"/>
      <c r="AS153" s="39"/>
    </row>
    <row r="154" s="105" customFormat="1" ht="19.5" customHeight="1" spans="1:45">
      <c r="A154" s="68"/>
      <c r="B154" s="265" t="s">
        <v>256</v>
      </c>
      <c r="C154" s="150" t="s">
        <v>59</v>
      </c>
      <c r="D154" s="152" t="s">
        <v>257</v>
      </c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259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113"/>
      <c r="AK154" s="151"/>
      <c r="AL154" s="35">
        <f t="shared" si="19"/>
        <v>0</v>
      </c>
      <c r="AM154" s="36">
        <f t="shared" si="20"/>
        <v>0</v>
      </c>
      <c r="AN154" s="35">
        <f t="shared" si="21"/>
        <v>0</v>
      </c>
      <c r="AO154" s="36">
        <f t="shared" si="17"/>
        <v>0</v>
      </c>
      <c r="AP154" s="37">
        <f t="shared" si="22"/>
        <v>0</v>
      </c>
      <c r="AQ154" s="38" t="s">
        <v>232</v>
      </c>
      <c r="AR154" s="38"/>
      <c r="AS154" s="39"/>
    </row>
    <row r="155" s="105" customFormat="1" ht="20.15" customHeight="1" spans="1:45">
      <c r="A155" s="68"/>
      <c r="B155" s="167" t="s">
        <v>258</v>
      </c>
      <c r="C155" s="167" t="s">
        <v>59</v>
      </c>
      <c r="D155" s="152" t="s">
        <v>215</v>
      </c>
      <c r="E155" s="96"/>
      <c r="F155" s="96"/>
      <c r="G155" s="96"/>
      <c r="H155" s="96"/>
      <c r="I155" s="96"/>
      <c r="J155" s="96"/>
      <c r="K155" s="96"/>
      <c r="L155" s="96"/>
      <c r="M155" s="96" t="s">
        <v>13</v>
      </c>
      <c r="N155" s="96"/>
      <c r="O155" s="96"/>
      <c r="P155" s="96"/>
      <c r="Q155" s="96"/>
      <c r="R155" s="96"/>
      <c r="S155" s="96"/>
      <c r="T155" s="96"/>
      <c r="U155" s="259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113"/>
      <c r="AK155" s="151"/>
      <c r="AL155" s="35">
        <f t="shared" si="19"/>
        <v>0</v>
      </c>
      <c r="AM155" s="36">
        <f t="shared" si="20"/>
        <v>0</v>
      </c>
      <c r="AN155" s="35">
        <f t="shared" si="21"/>
        <v>1</v>
      </c>
      <c r="AO155" s="36">
        <f t="shared" si="17"/>
        <v>0</v>
      </c>
      <c r="AP155" s="37">
        <f t="shared" si="22"/>
        <v>1</v>
      </c>
      <c r="AQ155" s="37" t="s">
        <v>228</v>
      </c>
      <c r="AR155" s="38"/>
      <c r="AS155" s="39"/>
    </row>
    <row r="156" s="105" customFormat="1" ht="20.15" customHeight="1" spans="1:45">
      <c r="A156" s="68"/>
      <c r="B156" s="167" t="s">
        <v>259</v>
      </c>
      <c r="C156" s="167" t="s">
        <v>260</v>
      </c>
      <c r="D156" s="152" t="s">
        <v>238</v>
      </c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259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113"/>
      <c r="AK156" s="151"/>
      <c r="AL156" s="35">
        <f t="shared" si="19"/>
        <v>0</v>
      </c>
      <c r="AM156" s="36">
        <f t="shared" si="20"/>
        <v>0</v>
      </c>
      <c r="AN156" s="35">
        <f t="shared" si="21"/>
        <v>0</v>
      </c>
      <c r="AO156" s="36">
        <f t="shared" si="17"/>
        <v>0</v>
      </c>
      <c r="AP156" s="37">
        <f t="shared" si="22"/>
        <v>0</v>
      </c>
      <c r="AQ156" s="38" t="s">
        <v>261</v>
      </c>
      <c r="AR156" s="38"/>
      <c r="AS156" s="39"/>
    </row>
    <row r="157" s="105" customFormat="1" ht="20.15" customHeight="1" spans="1:45">
      <c r="A157" s="68"/>
      <c r="B157" s="167" t="s">
        <v>262</v>
      </c>
      <c r="C157" s="167" t="s">
        <v>263</v>
      </c>
      <c r="D157" s="152" t="s">
        <v>180</v>
      </c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259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113"/>
      <c r="AK157" s="151"/>
      <c r="AL157" s="35">
        <f t="shared" si="19"/>
        <v>0</v>
      </c>
      <c r="AM157" s="36">
        <f t="shared" si="20"/>
        <v>0</v>
      </c>
      <c r="AN157" s="35">
        <f t="shared" si="21"/>
        <v>0</v>
      </c>
      <c r="AO157" s="36">
        <f t="shared" si="17"/>
        <v>0</v>
      </c>
      <c r="AP157" s="37">
        <f t="shared" si="22"/>
        <v>0</v>
      </c>
      <c r="AQ157" s="38" t="s">
        <v>282</v>
      </c>
      <c r="AR157" s="38"/>
      <c r="AS157" s="39"/>
    </row>
    <row r="158" s="105" customFormat="1" ht="20.15" customHeight="1" spans="1:45">
      <c r="A158" s="68"/>
      <c r="B158" s="167" t="s">
        <v>283</v>
      </c>
      <c r="C158" s="150" t="s">
        <v>16</v>
      </c>
      <c r="D158" s="152" t="s">
        <v>136</v>
      </c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259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113"/>
      <c r="AK158" s="151"/>
      <c r="AL158" s="35">
        <f t="shared" si="19"/>
        <v>0</v>
      </c>
      <c r="AM158" s="36">
        <f t="shared" si="20"/>
        <v>0</v>
      </c>
      <c r="AN158" s="35">
        <f t="shared" si="21"/>
        <v>0</v>
      </c>
      <c r="AO158" s="36">
        <f t="shared" si="17"/>
        <v>0</v>
      </c>
      <c r="AP158" s="37">
        <f t="shared" si="22"/>
        <v>0</v>
      </c>
      <c r="AQ158" s="38" t="s">
        <v>246</v>
      </c>
      <c r="AR158" s="38"/>
      <c r="AS158" s="39"/>
    </row>
    <row r="159" s="105" customFormat="1" ht="20.15" customHeight="1" spans="1:45">
      <c r="A159" s="68"/>
      <c r="B159" s="270" t="s">
        <v>284</v>
      </c>
      <c r="C159" s="167" t="s">
        <v>285</v>
      </c>
      <c r="D159" s="152" t="s">
        <v>178</v>
      </c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259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113"/>
      <c r="AK159" s="151"/>
      <c r="AL159" s="35">
        <f t="shared" si="19"/>
        <v>0</v>
      </c>
      <c r="AM159" s="36">
        <f t="shared" si="20"/>
        <v>0</v>
      </c>
      <c r="AN159" s="35">
        <f t="shared" si="21"/>
        <v>0</v>
      </c>
      <c r="AO159" s="36">
        <f t="shared" si="17"/>
        <v>0</v>
      </c>
      <c r="AP159" s="37">
        <f t="shared" si="22"/>
        <v>0</v>
      </c>
      <c r="AQ159" s="130" t="s">
        <v>171</v>
      </c>
      <c r="AR159" s="38"/>
      <c r="AS159" s="39"/>
    </row>
    <row r="160" s="105" customFormat="1" ht="20.15" customHeight="1" spans="1:45">
      <c r="A160" s="68"/>
      <c r="B160" s="270" t="s">
        <v>286</v>
      </c>
      <c r="C160" s="150" t="s">
        <v>16</v>
      </c>
      <c r="D160" s="152" t="s">
        <v>180</v>
      </c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 t="s">
        <v>13</v>
      </c>
      <c r="Q160" s="96"/>
      <c r="R160" s="96"/>
      <c r="S160" s="96"/>
      <c r="T160" s="96"/>
      <c r="U160" s="259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113"/>
      <c r="AK160" s="151"/>
      <c r="AL160" s="35">
        <f t="shared" si="19"/>
        <v>0</v>
      </c>
      <c r="AM160" s="36">
        <f t="shared" si="20"/>
        <v>0</v>
      </c>
      <c r="AN160" s="35">
        <f t="shared" si="21"/>
        <v>1</v>
      </c>
      <c r="AO160" s="36">
        <f t="shared" si="17"/>
        <v>0</v>
      </c>
      <c r="AP160" s="37">
        <f t="shared" si="22"/>
        <v>1</v>
      </c>
      <c r="AQ160" s="38"/>
      <c r="AR160" s="38"/>
      <c r="AS160" s="39"/>
    </row>
    <row r="161" s="105" customFormat="1" ht="20.15" customHeight="1" spans="1:45">
      <c r="A161" s="68"/>
      <c r="B161" s="270" t="s">
        <v>287</v>
      </c>
      <c r="C161" s="166" t="s">
        <v>16</v>
      </c>
      <c r="D161" s="149" t="s">
        <v>288</v>
      </c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113"/>
      <c r="AK161" s="96"/>
      <c r="AL161" s="35">
        <f t="shared" si="19"/>
        <v>0</v>
      </c>
      <c r="AM161" s="36">
        <f t="shared" si="20"/>
        <v>0</v>
      </c>
      <c r="AN161" s="35">
        <f t="shared" si="21"/>
        <v>0</v>
      </c>
      <c r="AO161" s="36">
        <f t="shared" si="17"/>
        <v>0</v>
      </c>
      <c r="AP161" s="37">
        <f t="shared" si="22"/>
        <v>0</v>
      </c>
      <c r="AQ161" s="96"/>
      <c r="AR161" s="96"/>
      <c r="AS161" s="39"/>
    </row>
    <row r="162" s="105" customFormat="1" ht="20.15" customHeight="1" spans="1:45">
      <c r="A162" s="68"/>
      <c r="B162" s="270" t="s">
        <v>289</v>
      </c>
      <c r="C162" s="150" t="s">
        <v>16</v>
      </c>
      <c r="D162" s="152" t="s">
        <v>231</v>
      </c>
      <c r="E162" s="96"/>
      <c r="F162" s="96"/>
      <c r="G162" s="96"/>
      <c r="H162" s="96"/>
      <c r="I162" s="96"/>
      <c r="J162" s="96"/>
      <c r="K162" s="96"/>
      <c r="L162" s="96" t="s">
        <v>11</v>
      </c>
      <c r="M162" s="96" t="s">
        <v>11</v>
      </c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113"/>
      <c r="AK162" s="96"/>
      <c r="AL162" s="35">
        <f t="shared" si="19"/>
        <v>2</v>
      </c>
      <c r="AM162" s="36">
        <f t="shared" si="20"/>
        <v>0</v>
      </c>
      <c r="AN162" s="35">
        <f t="shared" si="21"/>
        <v>0</v>
      </c>
      <c r="AO162" s="36">
        <f t="shared" si="17"/>
        <v>0</v>
      </c>
      <c r="AP162" s="37">
        <f t="shared" si="22"/>
        <v>2</v>
      </c>
      <c r="AQ162" s="37" t="s">
        <v>228</v>
      </c>
      <c r="AR162" s="96"/>
      <c r="AS162" s="39"/>
    </row>
    <row r="163" s="105" customFormat="1" ht="20.15" customHeight="1" spans="1:45">
      <c r="A163" s="68"/>
      <c r="B163" s="270" t="s">
        <v>290</v>
      </c>
      <c r="C163" s="150" t="s">
        <v>16</v>
      </c>
      <c r="D163" s="152" t="s">
        <v>236</v>
      </c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259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113"/>
      <c r="AK163" s="151"/>
      <c r="AL163" s="35">
        <f t="shared" si="19"/>
        <v>0</v>
      </c>
      <c r="AM163" s="36">
        <f t="shared" si="20"/>
        <v>0</v>
      </c>
      <c r="AN163" s="35">
        <f t="shared" si="21"/>
        <v>0</v>
      </c>
      <c r="AO163" s="36">
        <f t="shared" si="17"/>
        <v>0</v>
      </c>
      <c r="AP163" s="37">
        <f t="shared" si="22"/>
        <v>0</v>
      </c>
      <c r="AQ163" s="37"/>
      <c r="AR163" s="38"/>
      <c r="AS163" s="39"/>
    </row>
    <row r="164" s="105" customFormat="1" ht="20.15" customHeight="1" spans="1:45">
      <c r="A164" s="68"/>
      <c r="B164" s="167" t="s">
        <v>291</v>
      </c>
      <c r="C164" s="167" t="s">
        <v>108</v>
      </c>
      <c r="D164" s="152" t="s">
        <v>153</v>
      </c>
      <c r="E164" s="96"/>
      <c r="F164" s="96"/>
      <c r="G164" s="96"/>
      <c r="H164" s="96"/>
      <c r="I164" s="96"/>
      <c r="J164" s="96"/>
      <c r="K164" s="96"/>
      <c r="L164" s="96" t="s">
        <v>11</v>
      </c>
      <c r="M164" s="96"/>
      <c r="N164" s="96"/>
      <c r="O164" s="96"/>
      <c r="P164" s="96"/>
      <c r="Q164" s="96"/>
      <c r="R164" s="96"/>
      <c r="S164" s="96"/>
      <c r="T164" s="96"/>
      <c r="U164" s="259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113"/>
      <c r="AK164" s="151">
        <f>COUNTIF(E164:AI164,"H")</f>
        <v>0</v>
      </c>
      <c r="AL164" s="47">
        <f t="shared" si="19"/>
        <v>1</v>
      </c>
      <c r="AM164" s="35">
        <f t="shared" si="20"/>
        <v>0</v>
      </c>
      <c r="AN164" s="35">
        <f t="shared" si="21"/>
        <v>0</v>
      </c>
      <c r="AO164" s="36">
        <f t="shared" si="17"/>
        <v>0</v>
      </c>
      <c r="AP164" s="48">
        <f t="shared" si="22"/>
        <v>1</v>
      </c>
      <c r="AQ164" s="37"/>
      <c r="AR164" s="38">
        <v>26</v>
      </c>
      <c r="AS164" s="39">
        <f>AP164/AR164</f>
        <v>0.0384615384615385</v>
      </c>
    </row>
    <row r="165" ht="20.15" customHeight="1" spans="1:45">
      <c r="A165" s="97"/>
      <c r="B165" s="97" t="s">
        <v>292</v>
      </c>
      <c r="C165" s="166" t="s">
        <v>16</v>
      </c>
      <c r="D165" s="152" t="s">
        <v>112</v>
      </c>
      <c r="E165" s="271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59" t="s">
        <v>12</v>
      </c>
      <c r="Z165" s="96" t="s">
        <v>11</v>
      </c>
      <c r="AA165" s="96"/>
      <c r="AB165" s="271"/>
      <c r="AC165" s="271"/>
      <c r="AD165" s="271"/>
      <c r="AE165" s="271"/>
      <c r="AF165" s="271"/>
      <c r="AG165" s="271"/>
      <c r="AH165" s="271"/>
      <c r="AI165" s="271"/>
      <c r="AJ165" s="113"/>
      <c r="AL165" s="35">
        <f t="shared" si="19"/>
        <v>1</v>
      </c>
      <c r="AM165" s="36">
        <f t="shared" si="20"/>
        <v>1</v>
      </c>
      <c r="AN165" s="35">
        <f t="shared" si="21"/>
        <v>0</v>
      </c>
      <c r="AO165" s="36">
        <f t="shared" si="17"/>
        <v>0</v>
      </c>
      <c r="AP165" s="37">
        <f t="shared" si="22"/>
        <v>2</v>
      </c>
      <c r="AQ165" s="37" t="s">
        <v>305</v>
      </c>
      <c r="AR165" s="97"/>
      <c r="AS165" s="97"/>
    </row>
    <row r="166" ht="20.15" customHeight="1" spans="1:45">
      <c r="A166" s="97"/>
      <c r="B166" s="97" t="s">
        <v>293</v>
      </c>
      <c r="C166" s="166" t="s">
        <v>16</v>
      </c>
      <c r="D166" s="152" t="s">
        <v>178</v>
      </c>
      <c r="E166" s="271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96"/>
      <c r="AA166" s="241"/>
      <c r="AB166" s="272"/>
      <c r="AC166" s="272"/>
      <c r="AD166" s="272"/>
      <c r="AE166" s="272"/>
      <c r="AF166" s="272"/>
      <c r="AG166" s="96" t="s">
        <v>11</v>
      </c>
      <c r="AH166" s="96" t="s">
        <v>11</v>
      </c>
      <c r="AI166" s="272"/>
      <c r="AJ166" s="113"/>
      <c r="AL166" s="131">
        <f t="shared" si="19"/>
        <v>2</v>
      </c>
      <c r="AM166" s="103">
        <f t="shared" si="20"/>
        <v>0</v>
      </c>
      <c r="AN166" s="131">
        <f t="shared" si="21"/>
        <v>0</v>
      </c>
      <c r="AO166" s="103">
        <f t="shared" si="17"/>
        <v>0</v>
      </c>
      <c r="AP166" s="128">
        <f t="shared" si="22"/>
        <v>2</v>
      </c>
      <c r="AQ166" s="128" t="s">
        <v>228</v>
      </c>
      <c r="AR166" s="99"/>
      <c r="AS166" s="99"/>
    </row>
    <row r="167" s="105" customFormat="1" ht="20.15" customHeight="1" spans="1:45">
      <c r="A167" s="101"/>
      <c r="B167" s="276" t="s">
        <v>294</v>
      </c>
      <c r="C167" s="170" t="s">
        <v>16</v>
      </c>
      <c r="D167" s="171" t="s">
        <v>178</v>
      </c>
      <c r="E167" s="244"/>
      <c r="F167" s="241"/>
      <c r="G167" s="241"/>
      <c r="H167" s="241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78"/>
      <c r="V167" s="241"/>
      <c r="W167" s="241"/>
      <c r="X167" s="241"/>
      <c r="Y167" s="241"/>
      <c r="Z167" s="279"/>
      <c r="AA167" s="280"/>
      <c r="AB167" s="280"/>
      <c r="AC167" s="280"/>
      <c r="AD167" s="280"/>
      <c r="AE167" s="280"/>
      <c r="AF167" s="280"/>
      <c r="AG167" s="280"/>
      <c r="AH167" s="280"/>
      <c r="AI167" s="280"/>
      <c r="AJ167" s="113"/>
      <c r="AK167" s="281"/>
      <c r="AL167" s="131">
        <f t="shared" si="19"/>
        <v>0</v>
      </c>
      <c r="AM167" s="131">
        <f t="shared" si="20"/>
        <v>0</v>
      </c>
      <c r="AN167" s="250">
        <f t="shared" si="21"/>
        <v>0</v>
      </c>
      <c r="AO167" s="103">
        <f t="shared" si="17"/>
        <v>0</v>
      </c>
      <c r="AP167" s="128">
        <f t="shared" si="22"/>
        <v>0</v>
      </c>
      <c r="AQ167" s="128" t="s">
        <v>228</v>
      </c>
      <c r="AR167" s="101"/>
      <c r="AS167" s="102"/>
    </row>
    <row r="168" s="105" customFormat="1" ht="20.15" customHeight="1" spans="1:45">
      <c r="A168" s="66"/>
      <c r="B168" s="276" t="s">
        <v>295</v>
      </c>
      <c r="C168" s="166" t="s">
        <v>296</v>
      </c>
      <c r="D168" s="166" t="s">
        <v>112</v>
      </c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28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  <c r="AI168" s="112"/>
      <c r="AJ168" s="113"/>
      <c r="AK168" s="179"/>
      <c r="AL168" s="131">
        <f t="shared" si="19"/>
        <v>0</v>
      </c>
      <c r="AM168" s="103">
        <f t="shared" si="20"/>
        <v>0</v>
      </c>
      <c r="AN168" s="131">
        <f t="shared" si="21"/>
        <v>0</v>
      </c>
      <c r="AO168" s="103">
        <f t="shared" si="17"/>
        <v>0</v>
      </c>
      <c r="AP168" s="128">
        <f t="shared" si="22"/>
        <v>0</v>
      </c>
      <c r="AQ168" s="128" t="s">
        <v>228</v>
      </c>
      <c r="AR168" s="101"/>
      <c r="AS168" s="102"/>
    </row>
    <row r="169" s="105" customFormat="1" ht="20.15" customHeight="1" spans="1:45">
      <c r="A169" s="112"/>
      <c r="B169" s="276" t="s">
        <v>297</v>
      </c>
      <c r="C169" s="164" t="s">
        <v>111</v>
      </c>
      <c r="D169" s="152" t="s">
        <v>298</v>
      </c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2"/>
      <c r="AH169" s="112"/>
      <c r="AI169" s="112"/>
      <c r="AJ169" s="113"/>
      <c r="AK169" s="151">
        <f>COUNTIF(E169:AI169,"H")</f>
        <v>0</v>
      </c>
      <c r="AL169" s="47">
        <f t="shared" si="19"/>
        <v>0</v>
      </c>
      <c r="AM169" s="35">
        <f t="shared" si="20"/>
        <v>0</v>
      </c>
      <c r="AN169" s="35">
        <f t="shared" si="21"/>
        <v>0</v>
      </c>
      <c r="AO169" s="36">
        <f t="shared" si="17"/>
        <v>0</v>
      </c>
      <c r="AP169" s="48">
        <f t="shared" si="22"/>
        <v>0</v>
      </c>
      <c r="AQ169" s="37" t="s">
        <v>299</v>
      </c>
      <c r="AR169" s="38"/>
      <c r="AS169" s="104"/>
    </row>
    <row r="170" s="105" customFormat="1" ht="20.15" customHeight="1" spans="1:45">
      <c r="A170" s="112"/>
      <c r="B170" s="190" t="s">
        <v>300</v>
      </c>
      <c r="C170" s="150" t="s">
        <v>59</v>
      </c>
      <c r="D170" s="149" t="s">
        <v>180</v>
      </c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2"/>
      <c r="AH170" s="112" t="s">
        <v>11</v>
      </c>
      <c r="AI170" s="112" t="s">
        <v>11</v>
      </c>
      <c r="AJ170" s="113"/>
      <c r="AK170" s="151">
        <f>COUNTIF(E170:AI170,"H")</f>
        <v>0</v>
      </c>
      <c r="AL170" s="47">
        <f t="shared" si="19"/>
        <v>2</v>
      </c>
      <c r="AM170" s="35">
        <f t="shared" si="20"/>
        <v>0</v>
      </c>
      <c r="AN170" s="35">
        <f t="shared" si="21"/>
        <v>0</v>
      </c>
      <c r="AO170" s="36">
        <f t="shared" si="17"/>
        <v>0</v>
      </c>
      <c r="AP170" s="48">
        <f t="shared" si="22"/>
        <v>2</v>
      </c>
      <c r="AQ170" s="37" t="s">
        <v>228</v>
      </c>
      <c r="AR170" s="38"/>
      <c r="AS170" s="104"/>
    </row>
    <row r="171" s="105" customFormat="1" ht="20.15" customHeight="1" spans="1:45">
      <c r="A171" s="112"/>
      <c r="B171" s="190" t="s">
        <v>318</v>
      </c>
      <c r="C171" s="166" t="s">
        <v>296</v>
      </c>
      <c r="D171" s="171" t="s">
        <v>178</v>
      </c>
      <c r="E171" s="112"/>
      <c r="F171" s="112"/>
      <c r="G171" s="112"/>
      <c r="H171" s="112"/>
      <c r="I171" s="112"/>
      <c r="J171" s="112"/>
      <c r="K171" s="112"/>
      <c r="L171" s="112"/>
      <c r="M171" s="112" t="s">
        <v>13</v>
      </c>
      <c r="N171" s="112"/>
      <c r="O171" s="112"/>
      <c r="P171" s="112"/>
      <c r="Q171" s="112"/>
      <c r="R171" s="112" t="s">
        <v>13</v>
      </c>
      <c r="S171" s="112"/>
      <c r="T171" s="112"/>
      <c r="U171" s="112"/>
      <c r="V171" s="112"/>
      <c r="W171" s="112"/>
      <c r="X171" s="112"/>
      <c r="Y171" s="112"/>
      <c r="Z171" s="112"/>
      <c r="AA171" s="112"/>
      <c r="AB171" s="112"/>
      <c r="AC171" s="112"/>
      <c r="AD171" s="112"/>
      <c r="AE171" s="112"/>
      <c r="AF171" s="112"/>
      <c r="AG171" s="112"/>
      <c r="AH171" s="112"/>
      <c r="AI171" s="112"/>
      <c r="AJ171" s="113"/>
      <c r="AK171" s="179"/>
      <c r="AL171" s="35">
        <f t="shared" si="19"/>
        <v>0</v>
      </c>
      <c r="AM171" s="36">
        <f t="shared" si="20"/>
        <v>0</v>
      </c>
      <c r="AN171" s="35">
        <f t="shared" si="21"/>
        <v>2</v>
      </c>
      <c r="AO171" s="36">
        <f t="shared" si="17"/>
        <v>0</v>
      </c>
      <c r="AP171" s="37">
        <f t="shared" si="22"/>
        <v>2</v>
      </c>
      <c r="AQ171" s="37" t="s">
        <v>228</v>
      </c>
      <c r="AS171" s="106"/>
    </row>
    <row r="172" s="105" customFormat="1" ht="20.15" customHeight="1" spans="1:45">
      <c r="A172" s="112"/>
      <c r="B172" s="276" t="s">
        <v>319</v>
      </c>
      <c r="C172" s="170" t="s">
        <v>16</v>
      </c>
      <c r="D172" s="149" t="s">
        <v>205</v>
      </c>
      <c r="E172" s="112" t="s">
        <v>13</v>
      </c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2"/>
      <c r="AH172" s="112"/>
      <c r="AI172" s="112"/>
      <c r="AJ172" s="113"/>
      <c r="AK172" s="179"/>
      <c r="AL172" s="283"/>
      <c r="AN172" s="283"/>
      <c r="AP172" s="283"/>
      <c r="AQ172" s="283"/>
      <c r="AS172" s="106"/>
    </row>
    <row r="173" s="105" customFormat="1" ht="20.15" customHeight="1" spans="1:45">
      <c r="A173" s="112"/>
      <c r="B173" s="276" t="s">
        <v>320</v>
      </c>
      <c r="C173" s="170" t="s">
        <v>321</v>
      </c>
      <c r="D173" s="149" t="s">
        <v>322</v>
      </c>
      <c r="E173" s="112" t="s">
        <v>11</v>
      </c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3"/>
      <c r="AK173" s="179"/>
      <c r="AL173" s="283"/>
      <c r="AN173" s="283"/>
      <c r="AP173" s="283"/>
      <c r="AQ173" s="283"/>
      <c r="AS173" s="106"/>
    </row>
    <row r="174" s="105" customFormat="1" ht="20.15" customHeight="1" spans="1:45">
      <c r="A174" s="112"/>
      <c r="B174" s="276" t="s">
        <v>323</v>
      </c>
      <c r="C174" s="150" t="s">
        <v>59</v>
      </c>
      <c r="D174" s="149" t="s">
        <v>267</v>
      </c>
      <c r="E174" s="112"/>
      <c r="F174" s="112" t="s">
        <v>11</v>
      </c>
      <c r="G174" s="112" t="s">
        <v>11</v>
      </c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2"/>
      <c r="AH174" s="112"/>
      <c r="AI174" s="112"/>
      <c r="AJ174" s="113"/>
      <c r="AK174" s="179"/>
      <c r="AL174" s="283"/>
      <c r="AN174" s="283"/>
      <c r="AP174" s="283"/>
      <c r="AQ174" s="283"/>
      <c r="AS174" s="106"/>
    </row>
    <row r="175" s="105" customFormat="1" ht="20.15" customHeight="1" spans="1:45">
      <c r="A175" s="112"/>
      <c r="B175" s="276" t="s">
        <v>324</v>
      </c>
      <c r="C175" s="170" t="s">
        <v>325</v>
      </c>
      <c r="D175" s="149" t="s">
        <v>273</v>
      </c>
      <c r="E175" s="112"/>
      <c r="F175" s="112"/>
      <c r="G175" s="112" t="s">
        <v>13</v>
      </c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2" t="s">
        <v>12</v>
      </c>
      <c r="AH175" s="112"/>
      <c r="AI175" s="112"/>
      <c r="AJ175" s="113"/>
      <c r="AK175" s="179"/>
      <c r="AL175" s="283"/>
      <c r="AN175" s="283"/>
      <c r="AP175" s="283"/>
      <c r="AQ175" s="283"/>
      <c r="AS175" s="106"/>
    </row>
    <row r="176" s="105" customFormat="1" ht="20.15" customHeight="1" spans="1:45">
      <c r="A176" s="112"/>
      <c r="B176" s="276" t="s">
        <v>326</v>
      </c>
      <c r="C176" s="181" t="s">
        <v>59</v>
      </c>
      <c r="D176" s="171" t="s">
        <v>178</v>
      </c>
      <c r="E176" s="112"/>
      <c r="F176" s="112"/>
      <c r="G176" s="112"/>
      <c r="H176" s="112" t="s">
        <v>13</v>
      </c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2"/>
      <c r="AH176" s="112"/>
      <c r="AI176" s="112"/>
      <c r="AJ176" s="113"/>
      <c r="AK176" s="179"/>
      <c r="AL176" s="283"/>
      <c r="AN176" s="283"/>
      <c r="AP176" s="283"/>
      <c r="AQ176" s="283"/>
      <c r="AS176" s="106"/>
    </row>
    <row r="177" s="105" customFormat="1" ht="20.15" customHeight="1" spans="1:45">
      <c r="A177" s="112"/>
      <c r="B177" s="182" t="s">
        <v>327</v>
      </c>
      <c r="C177" s="166" t="s">
        <v>59</v>
      </c>
      <c r="D177" s="166" t="s">
        <v>178</v>
      </c>
      <c r="E177" s="112"/>
      <c r="F177" s="112"/>
      <c r="G177" s="112"/>
      <c r="H177" s="112"/>
      <c r="I177" s="112"/>
      <c r="J177" s="112"/>
      <c r="K177" s="112"/>
      <c r="L177" s="112"/>
      <c r="M177" s="112" t="s">
        <v>13</v>
      </c>
      <c r="N177" s="112"/>
      <c r="O177" s="112"/>
      <c r="P177" s="112"/>
      <c r="Q177" s="112"/>
      <c r="R177" s="112" t="s">
        <v>11</v>
      </c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2"/>
      <c r="AH177" s="112"/>
      <c r="AI177" s="112"/>
      <c r="AJ177" s="113"/>
      <c r="AK177" s="179"/>
      <c r="AL177" s="43">
        <f>COUNTIF(E177:AI177,"S")</f>
        <v>1</v>
      </c>
      <c r="AM177" s="66">
        <f>COUNTIF(E177:AI177,"I")</f>
        <v>0</v>
      </c>
      <c r="AN177" s="43">
        <f>COUNTIF(E177:AI177,"A")</f>
        <v>1</v>
      </c>
      <c r="AO177" s="284">
        <f>COUNTIF(E177:AI177,"OFF")</f>
        <v>0</v>
      </c>
      <c r="AP177" s="37">
        <f>SUM(AK177:AN177)</f>
        <v>2</v>
      </c>
      <c r="AQ177" s="37" t="s">
        <v>328</v>
      </c>
      <c r="AS177" s="106"/>
    </row>
    <row r="178" s="105" customFormat="1" ht="20.15" customHeight="1" spans="1:45">
      <c r="A178" s="112"/>
      <c r="B178" s="182" t="s">
        <v>329</v>
      </c>
      <c r="C178" s="166" t="s">
        <v>330</v>
      </c>
      <c r="D178" s="166" t="s">
        <v>238</v>
      </c>
      <c r="E178" s="112"/>
      <c r="F178" s="112" t="s">
        <v>13</v>
      </c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2"/>
      <c r="AJ178" s="113"/>
      <c r="AK178" s="179"/>
      <c r="AL178" s="283"/>
      <c r="AN178" s="283"/>
      <c r="AP178" s="283"/>
      <c r="AQ178" s="283"/>
      <c r="AS178" s="106"/>
    </row>
    <row r="179" s="105" customFormat="1" ht="20.15" customHeight="1" spans="1:45">
      <c r="A179" s="112"/>
      <c r="B179" s="182" t="s">
        <v>331</v>
      </c>
      <c r="C179" s="166" t="s">
        <v>211</v>
      </c>
      <c r="D179" s="152" t="s">
        <v>112</v>
      </c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 t="s">
        <v>11</v>
      </c>
      <c r="W179" s="112"/>
      <c r="X179" s="112"/>
      <c r="Y179" s="112"/>
      <c r="Z179" s="112"/>
      <c r="AA179" s="112"/>
      <c r="AB179" s="112"/>
      <c r="AC179" s="112"/>
      <c r="AD179" s="112"/>
      <c r="AE179" s="112" t="s">
        <v>11</v>
      </c>
      <c r="AF179" s="112"/>
      <c r="AG179" s="112"/>
      <c r="AH179" s="112"/>
      <c r="AI179" s="112"/>
      <c r="AJ179" s="113"/>
      <c r="AK179" s="179"/>
      <c r="AL179" s="35">
        <f>COUNTIF(E179:AI179,"S")</f>
        <v>2</v>
      </c>
      <c r="AM179" s="36">
        <f>COUNTIF(E179:AI179,"I")</f>
        <v>0</v>
      </c>
      <c r="AN179" s="35">
        <f>COUNTIF(E179:AI179,"A")</f>
        <v>0</v>
      </c>
      <c r="AO179" s="36">
        <f>COUNTIF(E179:AI179,"OFF")</f>
        <v>0</v>
      </c>
      <c r="AP179" s="37">
        <f>SUM(AK179:AN179)</f>
        <v>2</v>
      </c>
      <c r="AQ179" s="37" t="s">
        <v>302</v>
      </c>
      <c r="AS179" s="106"/>
    </row>
    <row r="180" s="105" customFormat="1" ht="20.15" customHeight="1" spans="1:45">
      <c r="A180" s="112"/>
      <c r="B180" s="182" t="s">
        <v>332</v>
      </c>
      <c r="C180" s="166" t="s">
        <v>333</v>
      </c>
      <c r="D180" s="152" t="s">
        <v>178</v>
      </c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96" t="s">
        <v>11</v>
      </c>
      <c r="Y180" s="112"/>
      <c r="Z180" s="112"/>
      <c r="AA180" s="112"/>
      <c r="AB180" s="112"/>
      <c r="AC180" s="112"/>
      <c r="AD180" s="112"/>
      <c r="AE180" s="112"/>
      <c r="AF180" s="112"/>
      <c r="AG180" s="112"/>
      <c r="AH180" s="112"/>
      <c r="AI180" s="112"/>
      <c r="AJ180" s="113"/>
      <c r="AK180" s="179"/>
      <c r="AL180" s="35">
        <f>COUNTIF(E180:AI180,"S")</f>
        <v>1</v>
      </c>
      <c r="AM180" s="36">
        <f>COUNTIF(E180:AI180,"I")</f>
        <v>0</v>
      </c>
      <c r="AN180" s="35">
        <f>COUNTIF(E180:AI180,"A")</f>
        <v>0</v>
      </c>
      <c r="AO180" s="36">
        <f>COUNTIF(E180:AI180,"OFF")</f>
        <v>0</v>
      </c>
      <c r="AP180" s="37">
        <f>SUM(AK180:AN180)</f>
        <v>1</v>
      </c>
      <c r="AQ180" s="37" t="s">
        <v>302</v>
      </c>
      <c r="AS180" s="106"/>
    </row>
    <row r="181" s="105" customFormat="1" ht="20.15" customHeight="1" spans="1:45">
      <c r="A181" s="112"/>
      <c r="B181" s="182" t="s">
        <v>334</v>
      </c>
      <c r="C181" s="166" t="s">
        <v>296</v>
      </c>
      <c r="D181" s="166" t="s">
        <v>180</v>
      </c>
      <c r="E181" s="112"/>
      <c r="F181" s="112"/>
      <c r="G181" s="112"/>
      <c r="H181" s="112"/>
      <c r="I181" s="112"/>
      <c r="J181" s="112"/>
      <c r="K181" s="112"/>
      <c r="L181" s="112"/>
      <c r="M181" s="112" t="s">
        <v>12</v>
      </c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96"/>
      <c r="Y181" s="112"/>
      <c r="Z181" s="112"/>
      <c r="AA181" s="112"/>
      <c r="AB181" s="112"/>
      <c r="AC181" s="112"/>
      <c r="AD181" s="112"/>
      <c r="AE181" s="112"/>
      <c r="AF181" s="112"/>
      <c r="AG181" s="112"/>
      <c r="AH181" s="112"/>
      <c r="AI181" s="112"/>
      <c r="AJ181" s="113"/>
      <c r="AK181" s="179"/>
      <c r="AL181" s="283"/>
      <c r="AN181" s="283"/>
      <c r="AP181" s="283"/>
      <c r="AQ181" s="283"/>
      <c r="AS181" s="106"/>
    </row>
    <row r="182" s="105" customFormat="1" ht="20.15" customHeight="1" spans="1:45">
      <c r="A182" s="112"/>
      <c r="B182" s="182" t="s">
        <v>335</v>
      </c>
      <c r="C182" s="166"/>
      <c r="D182" s="166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96"/>
      <c r="Y182" s="112"/>
      <c r="Z182" s="112"/>
      <c r="AA182" s="112"/>
      <c r="AB182" s="112"/>
      <c r="AC182" s="112"/>
      <c r="AD182" s="112"/>
      <c r="AE182" s="112"/>
      <c r="AF182" s="112"/>
      <c r="AG182" s="112"/>
      <c r="AH182" s="112"/>
      <c r="AI182" s="112" t="s">
        <v>11</v>
      </c>
      <c r="AJ182" s="113"/>
      <c r="AK182" s="179"/>
      <c r="AL182" s="283"/>
      <c r="AN182" s="283"/>
      <c r="AP182" s="283"/>
      <c r="AQ182" s="283"/>
      <c r="AS182" s="106"/>
    </row>
    <row r="183" s="105" customFormat="1" ht="20.15" customHeight="1" spans="1:45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  <c r="AA183" s="112"/>
      <c r="AB183" s="112"/>
      <c r="AC183" s="112"/>
      <c r="AD183" s="112"/>
      <c r="AE183" s="112"/>
      <c r="AF183" s="112"/>
      <c r="AG183" s="112"/>
      <c r="AH183" s="112"/>
      <c r="AI183" s="112"/>
      <c r="AJ183" s="113"/>
      <c r="AK183" s="179"/>
      <c r="AL183" s="285"/>
      <c r="AM183" s="283"/>
      <c r="AN183" s="283"/>
      <c r="AP183" s="285"/>
      <c r="AQ183" s="283"/>
      <c r="AS183" s="106"/>
    </row>
    <row r="184" s="20" customFormat="1" ht="19.5" customHeight="1" spans="1:45">
      <c r="A184" s="286" t="s">
        <v>6</v>
      </c>
      <c r="B184" s="287"/>
      <c r="C184" s="287"/>
      <c r="D184" s="287"/>
      <c r="E184" s="288">
        <f t="shared" ref="E184:N184" si="23">COUNTIF(E14:E86,"H")</f>
        <v>0</v>
      </c>
      <c r="F184" s="288">
        <f t="shared" si="23"/>
        <v>0</v>
      </c>
      <c r="G184" s="288">
        <f t="shared" si="23"/>
        <v>0</v>
      </c>
      <c r="H184" s="288">
        <f t="shared" si="23"/>
        <v>0</v>
      </c>
      <c r="I184" s="288">
        <f t="shared" si="23"/>
        <v>0</v>
      </c>
      <c r="J184" s="288">
        <f t="shared" si="23"/>
        <v>0</v>
      </c>
      <c r="K184" s="288">
        <f t="shared" si="23"/>
        <v>0</v>
      </c>
      <c r="L184" s="288">
        <f t="shared" si="23"/>
        <v>0</v>
      </c>
      <c r="M184" s="288">
        <f t="shared" si="23"/>
        <v>0</v>
      </c>
      <c r="N184" s="288">
        <f t="shared" si="23"/>
        <v>0</v>
      </c>
      <c r="O184" s="288"/>
      <c r="P184" s="288">
        <f t="shared" ref="P184:AB184" si="24">COUNTIF(P14:P86,"H")</f>
        <v>0</v>
      </c>
      <c r="Q184" s="288">
        <f t="shared" si="24"/>
        <v>0</v>
      </c>
      <c r="R184" s="288">
        <f t="shared" si="24"/>
        <v>0</v>
      </c>
      <c r="S184" s="288">
        <f t="shared" si="24"/>
        <v>0</v>
      </c>
      <c r="T184" s="288">
        <f t="shared" si="24"/>
        <v>0</v>
      </c>
      <c r="U184" s="288">
        <f t="shared" si="24"/>
        <v>0</v>
      </c>
      <c r="V184" s="288">
        <f t="shared" si="24"/>
        <v>0</v>
      </c>
      <c r="W184" s="288">
        <f t="shared" si="24"/>
        <v>0</v>
      </c>
      <c r="X184" s="288">
        <f t="shared" si="24"/>
        <v>0</v>
      </c>
      <c r="Y184" s="288">
        <f t="shared" si="24"/>
        <v>0</v>
      </c>
      <c r="Z184" s="288">
        <f t="shared" si="24"/>
        <v>0</v>
      </c>
      <c r="AA184" s="288">
        <f t="shared" si="24"/>
        <v>0</v>
      </c>
      <c r="AB184" s="288">
        <f t="shared" si="24"/>
        <v>0</v>
      </c>
      <c r="AC184" s="288"/>
      <c r="AD184" s="288"/>
      <c r="AE184" s="288"/>
      <c r="AF184" s="288"/>
      <c r="AG184" s="288"/>
      <c r="AH184" s="288"/>
      <c r="AI184" s="288">
        <f>COUNTIF(AI14:AI86,"H")</f>
        <v>0</v>
      </c>
      <c r="AJ184" s="113"/>
    </row>
  </sheetData>
  <autoFilter xmlns:etc="http://www.wps.cn/officeDocument/2017/etCustomData" ref="A11:AS184" etc:filterBottomFollowUsedRange="0">
    <extLst/>
  </autoFilter>
  <mergeCells count="14">
    <mergeCell ref="E10:AI10"/>
    <mergeCell ref="AL10:AO10"/>
    <mergeCell ref="A184:B184"/>
    <mergeCell ref="A10:A11"/>
    <mergeCell ref="B10:B11"/>
    <mergeCell ref="C10:C11"/>
    <mergeCell ref="D10:D11"/>
    <mergeCell ref="AK10:AK11"/>
    <mergeCell ref="AP10:AP11"/>
    <mergeCell ref="AQ10:AQ11"/>
    <mergeCell ref="AR10:AR11"/>
    <mergeCell ref="AS10:AS11"/>
    <mergeCell ref="E4:AI6"/>
    <mergeCell ref="E7:AI8"/>
  </mergeCells>
  <conditionalFormatting sqref="B54">
    <cfRule type="cellIs" dxfId="0" priority="201" operator="equal">
      <formula>"ALPA"</formula>
    </cfRule>
    <cfRule type="cellIs" dxfId="1" priority="202" operator="equal">
      <formula>"IZIN"</formula>
    </cfRule>
    <cfRule type="cellIs" dxfId="2" priority="203" operator="equal">
      <formula>"SAKIT"</formula>
    </cfRule>
  </conditionalFormatting>
  <conditionalFormatting sqref="Y165">
    <cfRule type="containsText" dxfId="3" priority="41" operator="between" text="OFF">
      <formula>NOT(ISERROR(SEARCH("OFF",Y165)))</formula>
    </cfRule>
    <cfRule type="containsText" dxfId="4" priority="42" operator="between" text="OFF">
      <formula>NOT(ISERROR(SEARCH("OFF",Y165)))</formula>
    </cfRule>
    <cfRule type="containsText" dxfId="5" priority="43" operator="between" text="S">
      <formula>NOT(ISERROR(SEARCH("S",Y165)))</formula>
    </cfRule>
    <cfRule type="containsText" dxfId="6" priority="44" operator="between" text="I">
      <formula>NOT(ISERROR(SEARCH("I",Y165)))</formula>
    </cfRule>
    <cfRule type="containsText" dxfId="7" priority="45" operator="between" text="A">
      <formula>NOT(ISERROR(SEARCH("A",Y165)))</formula>
    </cfRule>
    <cfRule type="containsText" dxfId="8" priority="46" operator="between" text="L">
      <formula>NOT(ISERROR(SEARCH("L",Y165)))</formula>
    </cfRule>
    <cfRule type="containsText" dxfId="6" priority="47" operator="between" text="A">
      <formula>NOT(ISERROR(SEARCH("A",Y165)))</formula>
    </cfRule>
    <cfRule type="containsText" dxfId="7" priority="48" operator="between" text="S">
      <formula>NOT(ISERROR(SEARCH("S",Y165)))</formula>
    </cfRule>
    <cfRule type="containsText" dxfId="5" priority="49" operator="between" text="OFF">
      <formula>NOT(ISERROR(SEARCH("OFF",Y165)))</formula>
    </cfRule>
    <cfRule type="containsText" dxfId="7" priority="50" operator="between" text="OFF">
      <formula>NOT(ISERROR(SEARCH("OFF",Y165)))</formula>
    </cfRule>
  </conditionalFormatting>
  <conditionalFormatting sqref="AG166:AH166">
    <cfRule type="containsText" dxfId="3" priority="1" operator="between" text="OFF">
      <formula>NOT(ISERROR(SEARCH("OFF",AG166)))</formula>
    </cfRule>
    <cfRule type="containsText" dxfId="4" priority="2" operator="between" text="OFF">
      <formula>NOT(ISERROR(SEARCH("OFF",AG166)))</formula>
    </cfRule>
    <cfRule type="containsText" dxfId="5" priority="3" operator="between" text="S">
      <formula>NOT(ISERROR(SEARCH("S",AG166)))</formula>
    </cfRule>
    <cfRule type="containsText" dxfId="6" priority="4" operator="between" text="I">
      <formula>NOT(ISERROR(SEARCH("I",AG166)))</formula>
    </cfRule>
    <cfRule type="containsText" dxfId="7" priority="5" operator="between" text="A">
      <formula>NOT(ISERROR(SEARCH("A",AG166)))</formula>
    </cfRule>
    <cfRule type="containsText" dxfId="8" priority="6" operator="between" text="L">
      <formula>NOT(ISERROR(SEARCH("L",AG166)))</formula>
    </cfRule>
    <cfRule type="containsText" dxfId="6" priority="7" operator="between" text="A">
      <formula>NOT(ISERROR(SEARCH("A",AG166)))</formula>
    </cfRule>
    <cfRule type="containsText" dxfId="7" priority="8" operator="between" text="S">
      <formula>NOT(ISERROR(SEARCH("S",AG166)))</formula>
    </cfRule>
    <cfRule type="containsText" dxfId="5" priority="9" operator="between" text="OFF">
      <formula>NOT(ISERROR(SEARCH("OFF",AG166)))</formula>
    </cfRule>
    <cfRule type="containsText" dxfId="7" priority="10" operator="between" text="OFF">
      <formula>NOT(ISERROR(SEARCH("OFF",AG166)))</formula>
    </cfRule>
  </conditionalFormatting>
  <conditionalFormatting sqref="B183:AI183">
    <cfRule type="containsText" dxfId="3" priority="71" operator="between" text="OFF">
      <formula>NOT(ISERROR(SEARCH("OFF",B183)))</formula>
    </cfRule>
    <cfRule type="containsText" dxfId="4" priority="72" operator="between" text="OFF">
      <formula>NOT(ISERROR(SEARCH("OFF",B183)))</formula>
    </cfRule>
    <cfRule type="containsText" dxfId="5" priority="73" operator="between" text="S">
      <formula>NOT(ISERROR(SEARCH("S",B183)))</formula>
    </cfRule>
    <cfRule type="containsText" dxfId="6" priority="74" operator="between" text="I">
      <formula>NOT(ISERROR(SEARCH("I",B183)))</formula>
    </cfRule>
    <cfRule type="containsText" dxfId="7" priority="75" operator="between" text="A">
      <formula>NOT(ISERROR(SEARCH("A",B183)))</formula>
    </cfRule>
    <cfRule type="containsText" dxfId="8" priority="76" operator="between" text="L">
      <formula>NOT(ISERROR(SEARCH("L",B183)))</formula>
    </cfRule>
    <cfRule type="containsText" dxfId="6" priority="77" operator="between" text="A">
      <formula>NOT(ISERROR(SEARCH("A",B183)))</formula>
    </cfRule>
    <cfRule type="containsText" dxfId="7" priority="78" operator="between" text="S">
      <formula>NOT(ISERROR(SEARCH("S",B183)))</formula>
    </cfRule>
    <cfRule type="containsText" dxfId="5" priority="79" operator="between" text="OFF">
      <formula>NOT(ISERROR(SEARCH("OFF",B183)))</formula>
    </cfRule>
    <cfRule type="containsText" dxfId="7" priority="80" operator="between" text="OFF">
      <formula>NOT(ISERROR(SEARCH("OFF",B183)))</formula>
    </cfRule>
  </conditionalFormatting>
  <conditionalFormatting sqref="A169:A183">
    <cfRule type="containsText" dxfId="3" priority="91" operator="between" text="OFF">
      <formula>NOT(ISERROR(SEARCH("OFF",A169)))</formula>
    </cfRule>
    <cfRule type="containsText" dxfId="4" priority="92" operator="between" text="OFF">
      <formula>NOT(ISERROR(SEARCH("OFF",A169)))</formula>
    </cfRule>
    <cfRule type="containsText" dxfId="5" priority="93" operator="between" text="S">
      <formula>NOT(ISERROR(SEARCH("S",A169)))</formula>
    </cfRule>
    <cfRule type="containsText" dxfId="6" priority="94" operator="between" text="I">
      <formula>NOT(ISERROR(SEARCH("I",A169)))</formula>
    </cfRule>
    <cfRule type="containsText" dxfId="7" priority="95" operator="between" text="A">
      <formula>NOT(ISERROR(SEARCH("A",A169)))</formula>
    </cfRule>
    <cfRule type="containsText" dxfId="8" priority="96" operator="between" text="L">
      <formula>NOT(ISERROR(SEARCH("L",A169)))</formula>
    </cfRule>
    <cfRule type="containsText" dxfId="6" priority="97" operator="between" text="A">
      <formula>NOT(ISERROR(SEARCH("A",A169)))</formula>
    </cfRule>
    <cfRule type="containsText" dxfId="7" priority="98" operator="between" text="S">
      <formula>NOT(ISERROR(SEARCH("S",A169)))</formula>
    </cfRule>
    <cfRule type="containsText" dxfId="5" priority="99" operator="between" text="OFF">
      <formula>NOT(ISERROR(SEARCH("OFF",A169)))</formula>
    </cfRule>
    <cfRule type="containsText" dxfId="7" priority="100" operator="between" text="OFF">
      <formula>NOT(ISERROR(SEARCH("OFF",A169)))</formula>
    </cfRule>
  </conditionalFormatting>
  <conditionalFormatting sqref="AJ44:AJ184">
    <cfRule type="containsText" dxfId="3" priority="121" operator="between" text="OFF">
      <formula>NOT(ISERROR(SEARCH("OFF",AJ44)))</formula>
    </cfRule>
    <cfRule type="containsText" dxfId="4" priority="122" operator="between" text="OFF">
      <formula>NOT(ISERROR(SEARCH("OFF",AJ44)))</formula>
    </cfRule>
    <cfRule type="containsText" dxfId="5" priority="123" operator="between" text="S">
      <formula>NOT(ISERROR(SEARCH("S",AJ44)))</formula>
    </cfRule>
    <cfRule type="containsText" dxfId="6" priority="124" operator="between" text="I">
      <formula>NOT(ISERROR(SEARCH("I",AJ44)))</formula>
    </cfRule>
    <cfRule type="containsText" dxfId="7" priority="125" operator="between" text="A">
      <formula>NOT(ISERROR(SEARCH("A",AJ44)))</formula>
    </cfRule>
    <cfRule type="containsText" dxfId="8" priority="126" operator="between" text="L">
      <formula>NOT(ISERROR(SEARCH("L",AJ44)))</formula>
    </cfRule>
    <cfRule type="containsText" dxfId="6" priority="127" operator="between" text="A">
      <formula>NOT(ISERROR(SEARCH("A",AJ44)))</formula>
    </cfRule>
    <cfRule type="containsText" dxfId="7" priority="128" operator="between" text="S">
      <formula>NOT(ISERROR(SEARCH("S",AJ44)))</formula>
    </cfRule>
    <cfRule type="containsText" dxfId="5" priority="129" operator="between" text="OFF">
      <formula>NOT(ISERROR(SEARCH("OFF",AJ44)))</formula>
    </cfRule>
    <cfRule type="containsText" dxfId="7" priority="130" operator="between" text="OFF">
      <formula>NOT(ISERROR(SEARCH("OFF",AJ44)))</formula>
    </cfRule>
  </conditionalFormatting>
  <conditionalFormatting sqref="E12:N164">
    <cfRule type="containsText" dxfId="3" priority="51" operator="between" text="OFF">
      <formula>NOT(ISERROR(SEARCH("OFF",E12)))</formula>
    </cfRule>
    <cfRule type="containsText" dxfId="4" priority="52" operator="between" text="OFF">
      <formula>NOT(ISERROR(SEARCH("OFF",E12)))</formula>
    </cfRule>
    <cfRule type="containsText" dxfId="5" priority="53" operator="between" text="S">
      <formula>NOT(ISERROR(SEARCH("S",E12)))</formula>
    </cfRule>
    <cfRule type="containsText" dxfId="6" priority="54" operator="between" text="I">
      <formula>NOT(ISERROR(SEARCH("I",E12)))</formula>
    </cfRule>
    <cfRule type="containsText" dxfId="7" priority="55" operator="between" text="A">
      <formula>NOT(ISERROR(SEARCH("A",E12)))</formula>
    </cfRule>
    <cfRule type="containsText" dxfId="8" priority="56" operator="between" text="L">
      <formula>NOT(ISERROR(SEARCH("L",E12)))</formula>
    </cfRule>
    <cfRule type="containsText" dxfId="6" priority="57" operator="between" text="A">
      <formula>NOT(ISERROR(SEARCH("A",E12)))</formula>
    </cfRule>
    <cfRule type="containsText" dxfId="7" priority="58" operator="between" text="S">
      <formula>NOT(ISERROR(SEARCH("S",E12)))</formula>
    </cfRule>
    <cfRule type="containsText" dxfId="5" priority="59" operator="between" text="OFF">
      <formula>NOT(ISERROR(SEARCH("OFF",E12)))</formula>
    </cfRule>
    <cfRule type="containsText" dxfId="7" priority="60" operator="between" text="OFF">
      <formula>NOT(ISERROR(SEARCH("OFF",E12)))</formula>
    </cfRule>
  </conditionalFormatting>
  <conditionalFormatting sqref="AH44:AI160">
    <cfRule type="containsText" dxfId="3" priority="11" operator="between" text="OFF">
      <formula>NOT(ISERROR(SEARCH("OFF",AH44)))</formula>
    </cfRule>
    <cfRule type="containsText" dxfId="4" priority="12" operator="between" text="OFF">
      <formula>NOT(ISERROR(SEARCH("OFF",AH44)))</formula>
    </cfRule>
    <cfRule type="containsText" dxfId="5" priority="13" operator="between" text="S">
      <formula>NOT(ISERROR(SEARCH("S",AH44)))</formula>
    </cfRule>
    <cfRule type="containsText" dxfId="6" priority="14" operator="between" text="I">
      <formula>NOT(ISERROR(SEARCH("I",AH44)))</formula>
    </cfRule>
    <cfRule type="containsText" dxfId="7" priority="15" operator="between" text="A">
      <formula>NOT(ISERROR(SEARCH("A",AH44)))</formula>
    </cfRule>
    <cfRule type="containsText" dxfId="8" priority="16" operator="between" text="L">
      <formula>NOT(ISERROR(SEARCH("L",AH44)))</formula>
    </cfRule>
    <cfRule type="containsText" dxfId="6" priority="17" operator="between" text="A">
      <formula>NOT(ISERROR(SEARCH("A",AH44)))</formula>
    </cfRule>
    <cfRule type="containsText" dxfId="7" priority="18" operator="between" text="S">
      <formula>NOT(ISERROR(SEARCH("S",AH44)))</formula>
    </cfRule>
    <cfRule type="containsText" dxfId="5" priority="19" operator="between" text="OFF">
      <formula>NOT(ISERROR(SEARCH("OFF",AH44)))</formula>
    </cfRule>
    <cfRule type="containsText" dxfId="7" priority="20" operator="between" text="OFF">
      <formula>NOT(ISERROR(SEARCH("OFF",AH44)))</formula>
    </cfRule>
  </conditionalFormatting>
  <conditionalFormatting sqref="O161:AI164">
    <cfRule type="containsText" dxfId="3" priority="171" operator="between" text="OFF">
      <formula>NOT(ISERROR(SEARCH("OFF",O161)))</formula>
    </cfRule>
    <cfRule type="containsText" dxfId="4" priority="172" operator="between" text="OFF">
      <formula>NOT(ISERROR(SEARCH("OFF",O161)))</formula>
    </cfRule>
    <cfRule type="containsText" dxfId="5" priority="173" operator="between" text="S">
      <formula>NOT(ISERROR(SEARCH("S",O161)))</formula>
    </cfRule>
    <cfRule type="containsText" dxfId="6" priority="174" operator="between" text="I">
      <formula>NOT(ISERROR(SEARCH("I",O161)))</formula>
    </cfRule>
    <cfRule type="containsText" dxfId="7" priority="175" operator="between" text="A">
      <formula>NOT(ISERROR(SEARCH("A",O161)))</formula>
    </cfRule>
    <cfRule type="containsText" dxfId="8" priority="176" operator="between" text="L">
      <formula>NOT(ISERROR(SEARCH("L",O161)))</formula>
    </cfRule>
    <cfRule type="containsText" dxfId="6" priority="177" operator="between" text="A">
      <formula>NOT(ISERROR(SEARCH("A",O161)))</formula>
    </cfRule>
    <cfRule type="containsText" dxfId="7" priority="178" operator="between" text="S">
      <formula>NOT(ISERROR(SEARCH("S",O161)))</formula>
    </cfRule>
    <cfRule type="containsText" dxfId="5" priority="179" operator="between" text="OFF">
      <formula>NOT(ISERROR(SEARCH("OFF",O161)))</formula>
    </cfRule>
    <cfRule type="containsText" dxfId="7" priority="180" operator="between" text="OFF">
      <formula>NOT(ISERROR(SEARCH("OFF",O161)))</formula>
    </cfRule>
  </conditionalFormatting>
  <conditionalFormatting sqref="Z165:AA166">
    <cfRule type="containsText" dxfId="3" priority="131" operator="between" text="OFF">
      <formula>NOT(ISERROR(SEARCH("OFF",Z165)))</formula>
    </cfRule>
    <cfRule type="containsText" dxfId="4" priority="132" operator="between" text="OFF">
      <formula>NOT(ISERROR(SEARCH("OFF",Z165)))</formula>
    </cfRule>
    <cfRule type="containsText" dxfId="5" priority="133" operator="between" text="S">
      <formula>NOT(ISERROR(SEARCH("S",Z165)))</formula>
    </cfRule>
    <cfRule type="containsText" dxfId="6" priority="134" operator="between" text="I">
      <formula>NOT(ISERROR(SEARCH("I",Z165)))</formula>
    </cfRule>
    <cfRule type="containsText" dxfId="7" priority="135" operator="between" text="A">
      <formula>NOT(ISERROR(SEARCH("A",Z165)))</formula>
    </cfRule>
    <cfRule type="containsText" dxfId="8" priority="136" operator="between" text="L">
      <formula>NOT(ISERROR(SEARCH("L",Z165)))</formula>
    </cfRule>
    <cfRule type="containsText" dxfId="6" priority="137" operator="between" text="A">
      <formula>NOT(ISERROR(SEARCH("A",Z165)))</formula>
    </cfRule>
    <cfRule type="containsText" dxfId="7" priority="138" operator="between" text="S">
      <formula>NOT(ISERROR(SEARCH("S",Z165)))</formula>
    </cfRule>
    <cfRule type="containsText" dxfId="5" priority="139" operator="between" text="OFF">
      <formula>NOT(ISERROR(SEARCH("OFF",Z165)))</formula>
    </cfRule>
    <cfRule type="containsText" dxfId="7" priority="140" operator="between" text="OFF">
      <formula>NOT(ISERROR(SEARCH("OFF",Z165)))</formula>
    </cfRule>
  </conditionalFormatting>
  <conditionalFormatting sqref="E167:AI182">
    <cfRule type="containsText" dxfId="3" priority="31" operator="between" text="OFF">
      <formula>NOT(ISERROR(SEARCH("OFF",E167)))</formula>
    </cfRule>
    <cfRule type="containsText" dxfId="4" priority="32" operator="between" text="OFF">
      <formula>NOT(ISERROR(SEARCH("OFF",E167)))</formula>
    </cfRule>
    <cfRule type="containsText" dxfId="5" priority="33" operator="between" text="S">
      <formula>NOT(ISERROR(SEARCH("S",E167)))</formula>
    </cfRule>
    <cfRule type="containsText" dxfId="6" priority="34" operator="between" text="I">
      <formula>NOT(ISERROR(SEARCH("I",E167)))</formula>
    </cfRule>
    <cfRule type="containsText" dxfId="7" priority="35" operator="between" text="A">
      <formula>NOT(ISERROR(SEARCH("A",E167)))</formula>
    </cfRule>
    <cfRule type="containsText" dxfId="8" priority="36" operator="between" text="L">
      <formula>NOT(ISERROR(SEARCH("L",E167)))</formula>
    </cfRule>
    <cfRule type="containsText" dxfId="6" priority="37" operator="between" text="A">
      <formula>NOT(ISERROR(SEARCH("A",E167)))</formula>
    </cfRule>
    <cfRule type="containsText" dxfId="7" priority="38" operator="between" text="S">
      <formula>NOT(ISERROR(SEARCH("S",E167)))</formula>
    </cfRule>
    <cfRule type="containsText" dxfId="5" priority="39" operator="between" text="OFF">
      <formula>NOT(ISERROR(SEARCH("OFF",E167)))</formula>
    </cfRule>
    <cfRule type="containsText" dxfId="7" priority="40" operator="between" text="OFF">
      <formula>NOT(ISERROR(SEARCH("OFF",E167)))</formula>
    </cfRule>
  </conditionalFormatting>
  <printOptions horizontalCentered="1"/>
  <pageMargins left="0" right="0" top="0" bottom="0" header="0" footer="0"/>
  <pageSetup paperSize="9" scale="25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P202"/>
  <sheetViews>
    <sheetView zoomScale="85" zoomScaleNormal="85" topLeftCell="A10" workbookViewId="0">
      <pane xSplit="2" ySplit="2" topLeftCell="AE38" activePane="bottomRight" state="frozen"/>
      <selection/>
      <selection pane="topRight"/>
      <selection pane="bottomLeft"/>
      <selection pane="bottomRight" activeCell="B38" sqref="B38"/>
    </sheetView>
  </sheetViews>
  <sheetFormatPr defaultColWidth="9" defaultRowHeight="14.5"/>
  <cols>
    <col min="1" max="1" width="10.3636363636364" hidden="1" customWidth="1"/>
    <col min="2" max="2" width="24.3636363636364" customWidth="1"/>
    <col min="3" max="3" width="21.4545454545455" customWidth="1"/>
    <col min="4" max="4" width="13.4545454545455" customWidth="1"/>
    <col min="5" max="8" width="7.63636363636364" customWidth="1"/>
    <col min="9" max="9" width="6.36363636363636" customWidth="1"/>
    <col min="10" max="10" width="6.45454545454545" customWidth="1"/>
    <col min="11" max="11" width="7.63636363636364" customWidth="1"/>
    <col min="12" max="12" width="7.90909090909091" customWidth="1"/>
    <col min="13" max="13" width="7" customWidth="1"/>
    <col min="14" max="17" width="7.63636363636364" customWidth="1"/>
    <col min="18" max="19" width="7.45454545454545" customWidth="1"/>
    <col min="20" max="23" width="7.63636363636364" customWidth="1"/>
    <col min="24" max="24" width="6.63636363636364" customWidth="1"/>
    <col min="25" max="32" width="7.63636363636364" customWidth="1"/>
    <col min="33" max="33" width="8" style="116" customWidth="1"/>
    <col min="34" max="34" width="2.63636363636364" customWidth="1"/>
    <col min="35" max="35" width="6.90909090909091" customWidth="1"/>
    <col min="36" max="37" width="6.36363636363636" customWidth="1"/>
    <col min="38" max="38" width="7" customWidth="1"/>
    <col min="39" max="39" width="7.36363636363636" customWidth="1"/>
    <col min="40" max="40" width="23" customWidth="1"/>
    <col min="41" max="42" width="15.6363636363636" customWidth="1"/>
    <col min="43" max="43" width="9" customWidth="1"/>
  </cols>
  <sheetData>
    <row r="2" ht="20.15" customHeight="1" spans="1:42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133"/>
    </row>
    <row r="3" ht="20.15" customHeight="1" spans="1:42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133"/>
    </row>
    <row r="4" ht="20.15" customHeight="1" spans="1:42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134"/>
    </row>
    <row r="5" ht="20.15" customHeight="1" spans="1:42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134"/>
    </row>
    <row r="6" ht="20.15" customHeight="1" spans="1:42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134"/>
    </row>
    <row r="7" ht="20.15" customHeight="1" spans="1:42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135"/>
    </row>
    <row r="8" ht="20.15" customHeight="1" spans="1:42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135"/>
    </row>
    <row r="9" ht="20.15" customHeight="1" spans="1:42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33"/>
    </row>
    <row r="10" s="20" customFormat="1" ht="16.5" spans="1:42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39"/>
      <c r="AH10" s="56"/>
      <c r="AI10" s="23" t="s">
        <v>5</v>
      </c>
      <c r="AJ10" s="24"/>
      <c r="AK10" s="24"/>
      <c r="AL10" s="25"/>
      <c r="AM10" s="2" t="s">
        <v>6</v>
      </c>
      <c r="AN10" s="2" t="s">
        <v>5</v>
      </c>
      <c r="AO10" s="26" t="s">
        <v>8</v>
      </c>
      <c r="AP10" s="27" t="s">
        <v>9</v>
      </c>
    </row>
    <row r="11" s="21" customFormat="1" ht="23.15" customHeight="1" spans="1:42">
      <c r="A11" s="1"/>
      <c r="B11" s="1"/>
      <c r="C11" s="32"/>
      <c r="D11" s="32"/>
      <c r="E11" s="58">
        <v>21</v>
      </c>
      <c r="F11" s="258">
        <v>22</v>
      </c>
      <c r="G11" s="58">
        <v>23</v>
      </c>
      <c r="H11" s="58">
        <v>24</v>
      </c>
      <c r="I11" s="58">
        <v>25</v>
      </c>
      <c r="J11" s="235">
        <v>26</v>
      </c>
      <c r="K11" s="58">
        <v>27</v>
      </c>
      <c r="L11" s="58">
        <v>28</v>
      </c>
      <c r="M11" s="258">
        <v>1</v>
      </c>
      <c r="N11" s="58">
        <v>2</v>
      </c>
      <c r="O11" s="58">
        <v>3</v>
      </c>
      <c r="P11" s="58">
        <v>4</v>
      </c>
      <c r="Q11" s="58">
        <v>5</v>
      </c>
      <c r="R11" s="58">
        <v>6</v>
      </c>
      <c r="S11" s="58">
        <v>7</v>
      </c>
      <c r="T11" s="258">
        <v>8</v>
      </c>
      <c r="U11" s="58">
        <v>9</v>
      </c>
      <c r="V11" s="58">
        <v>10</v>
      </c>
      <c r="W11" s="58">
        <v>11</v>
      </c>
      <c r="X11" s="58">
        <v>12</v>
      </c>
      <c r="Y11" s="58">
        <v>13</v>
      </c>
      <c r="Z11" s="58">
        <v>14</v>
      </c>
      <c r="AA11" s="258">
        <v>15</v>
      </c>
      <c r="AB11" s="58">
        <v>16</v>
      </c>
      <c r="AC11" s="58">
        <v>17</v>
      </c>
      <c r="AD11" s="58">
        <v>18</v>
      </c>
      <c r="AE11" s="58">
        <v>19</v>
      </c>
      <c r="AF11" s="58">
        <v>20</v>
      </c>
      <c r="AG11" s="140"/>
      <c r="AH11" s="148" t="s">
        <v>10</v>
      </c>
      <c r="AI11" s="11" t="s">
        <v>11</v>
      </c>
      <c r="AJ11" s="11" t="s">
        <v>12</v>
      </c>
      <c r="AK11" s="11" t="s">
        <v>13</v>
      </c>
      <c r="AL11" s="11" t="s">
        <v>14</v>
      </c>
      <c r="AM11" s="32"/>
      <c r="AN11" s="32"/>
      <c r="AO11" s="33"/>
      <c r="AP11" s="34"/>
    </row>
    <row r="12" s="105" customFormat="1" ht="20.15" customHeight="1" spans="1:42">
      <c r="A12" s="68">
        <v>1</v>
      </c>
      <c r="B12" s="149" t="s">
        <v>15</v>
      </c>
      <c r="C12" s="164" t="s">
        <v>20</v>
      </c>
      <c r="D12" s="149" t="s">
        <v>217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259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113"/>
      <c r="AH12" s="151">
        <f t="shared" ref="AH12:AH75" si="0">COUNTIF(E12:AF12,"H")</f>
        <v>0</v>
      </c>
      <c r="AI12" s="47">
        <f t="shared" ref="AI12:AI75" si="1">COUNTIF(E12:AF12,"S")</f>
        <v>0</v>
      </c>
      <c r="AJ12" s="36">
        <f t="shared" ref="AJ12:AJ75" si="2">COUNTIF(E12:AF12,"I")</f>
        <v>0</v>
      </c>
      <c r="AK12" s="35">
        <f t="shared" ref="AK12:AK75" si="3">COUNTIF(E12:AF12,"A")</f>
        <v>0</v>
      </c>
      <c r="AL12" s="36">
        <f t="shared" ref="AL12:AL75" si="4">COUNTIF(E12:AF12,"OFF")</f>
        <v>0</v>
      </c>
      <c r="AM12" s="48">
        <f t="shared" ref="AM12:AM75" si="5">SUM(AH12:AK12)</f>
        <v>0</v>
      </c>
      <c r="AN12" s="37" t="s">
        <v>228</v>
      </c>
      <c r="AO12" s="38">
        <v>16</v>
      </c>
      <c r="AP12" s="39">
        <f t="shared" ref="AP12:AP75" si="6">AM12/AO12</f>
        <v>0</v>
      </c>
    </row>
    <row r="13" s="105" customFormat="1" ht="20.15" customHeight="1" spans="1:42">
      <c r="A13" s="68">
        <v>2</v>
      </c>
      <c r="B13" s="149" t="s">
        <v>17</v>
      </c>
      <c r="C13" s="149" t="s">
        <v>16</v>
      </c>
      <c r="D13" s="152" t="s">
        <v>265</v>
      </c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259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113"/>
      <c r="AH13" s="151">
        <f t="shared" si="0"/>
        <v>0</v>
      </c>
      <c r="AI13" s="35">
        <f t="shared" si="1"/>
        <v>0</v>
      </c>
      <c r="AJ13" s="36">
        <f t="shared" si="2"/>
        <v>0</v>
      </c>
      <c r="AK13" s="35">
        <f t="shared" si="3"/>
        <v>0</v>
      </c>
      <c r="AL13" s="36">
        <f t="shared" si="4"/>
        <v>0</v>
      </c>
      <c r="AM13" s="37">
        <f t="shared" si="5"/>
        <v>0</v>
      </c>
      <c r="AN13" s="37"/>
      <c r="AO13" s="38">
        <v>16</v>
      </c>
      <c r="AP13" s="39">
        <f t="shared" si="6"/>
        <v>0</v>
      </c>
    </row>
    <row r="14" s="105" customFormat="1" ht="20.15" customHeight="1" spans="1:42">
      <c r="A14" s="68">
        <v>3</v>
      </c>
      <c r="B14" s="149" t="s">
        <v>116</v>
      </c>
      <c r="C14" s="150" t="s">
        <v>59</v>
      </c>
      <c r="D14" s="152" t="s">
        <v>199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259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113"/>
      <c r="AH14" s="151">
        <f t="shared" si="0"/>
        <v>0</v>
      </c>
      <c r="AI14" s="35">
        <f t="shared" si="1"/>
        <v>0</v>
      </c>
      <c r="AJ14" s="35">
        <f t="shared" si="2"/>
        <v>0</v>
      </c>
      <c r="AK14" s="47">
        <f t="shared" si="3"/>
        <v>0</v>
      </c>
      <c r="AL14" s="36">
        <f t="shared" si="4"/>
        <v>0</v>
      </c>
      <c r="AM14" s="48">
        <f t="shared" si="5"/>
        <v>0</v>
      </c>
      <c r="AN14" s="49"/>
      <c r="AO14" s="38">
        <v>16</v>
      </c>
      <c r="AP14" s="39">
        <f t="shared" si="6"/>
        <v>0</v>
      </c>
    </row>
    <row r="15" s="105" customFormat="1" ht="20.15" customHeight="1" spans="1:42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259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113"/>
      <c r="AH15" s="151">
        <f t="shared" si="0"/>
        <v>0</v>
      </c>
      <c r="AI15" s="35">
        <f t="shared" si="1"/>
        <v>0</v>
      </c>
      <c r="AJ15" s="36">
        <f t="shared" si="2"/>
        <v>0</v>
      </c>
      <c r="AK15" s="36">
        <f t="shared" si="3"/>
        <v>0</v>
      </c>
      <c r="AL15" s="36">
        <f t="shared" si="4"/>
        <v>0</v>
      </c>
      <c r="AM15" s="37">
        <f t="shared" si="5"/>
        <v>0</v>
      </c>
      <c r="AN15" s="37"/>
      <c r="AO15" s="38">
        <v>16</v>
      </c>
      <c r="AP15" s="39">
        <f t="shared" si="6"/>
        <v>0</v>
      </c>
    </row>
    <row r="16" s="105" customFormat="1" ht="20.15" customHeight="1" spans="1:42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259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113"/>
      <c r="AH16" s="151">
        <f t="shared" si="0"/>
        <v>0</v>
      </c>
      <c r="AI16" s="35">
        <f t="shared" si="1"/>
        <v>0</v>
      </c>
      <c r="AJ16" s="36">
        <f t="shared" si="2"/>
        <v>0</v>
      </c>
      <c r="AK16" s="36">
        <f t="shared" si="3"/>
        <v>0</v>
      </c>
      <c r="AL16" s="36">
        <f t="shared" si="4"/>
        <v>0</v>
      </c>
      <c r="AM16" s="37">
        <f t="shared" si="5"/>
        <v>0</v>
      </c>
      <c r="AN16" s="52"/>
      <c r="AO16" s="38">
        <v>16</v>
      </c>
      <c r="AP16" s="39">
        <f t="shared" si="6"/>
        <v>0</v>
      </c>
    </row>
    <row r="17" s="105" customFormat="1" ht="20.15" customHeight="1" spans="1:42">
      <c r="A17" s="68">
        <v>6</v>
      </c>
      <c r="B17" s="154" t="s">
        <v>23</v>
      </c>
      <c r="C17" s="154" t="s">
        <v>16</v>
      </c>
      <c r="D17" s="152" t="s">
        <v>301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259"/>
      <c r="S17" s="96"/>
      <c r="T17" s="96"/>
      <c r="U17" s="96"/>
      <c r="V17" s="96"/>
      <c r="W17" s="96"/>
      <c r="X17" s="96"/>
      <c r="Y17" s="96"/>
      <c r="Z17" s="96"/>
      <c r="AA17" s="96" t="s">
        <v>11</v>
      </c>
      <c r="AB17" s="96"/>
      <c r="AC17" s="96"/>
      <c r="AD17" s="96"/>
      <c r="AE17" s="96"/>
      <c r="AF17" s="96"/>
      <c r="AG17" s="113"/>
      <c r="AH17" s="151">
        <f t="shared" si="0"/>
        <v>0</v>
      </c>
      <c r="AI17" s="35">
        <f t="shared" si="1"/>
        <v>1</v>
      </c>
      <c r="AJ17" s="36">
        <f t="shared" si="2"/>
        <v>0</v>
      </c>
      <c r="AK17" s="35">
        <f t="shared" si="3"/>
        <v>0</v>
      </c>
      <c r="AL17" s="36">
        <f t="shared" si="4"/>
        <v>0</v>
      </c>
      <c r="AM17" s="37">
        <f t="shared" si="5"/>
        <v>1</v>
      </c>
      <c r="AN17" s="43" t="s">
        <v>336</v>
      </c>
      <c r="AO17" s="38">
        <v>16</v>
      </c>
      <c r="AP17" s="39">
        <f t="shared" si="6"/>
        <v>0.0625</v>
      </c>
    </row>
    <row r="18" s="105" customFormat="1" ht="20.15" customHeight="1" spans="1:42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259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113"/>
      <c r="AH18" s="151">
        <f t="shared" si="0"/>
        <v>0</v>
      </c>
      <c r="AI18" s="36">
        <f t="shared" si="1"/>
        <v>0</v>
      </c>
      <c r="AJ18" s="35">
        <f t="shared" si="2"/>
        <v>0</v>
      </c>
      <c r="AK18" s="36">
        <f t="shared" si="3"/>
        <v>0</v>
      </c>
      <c r="AL18" s="36">
        <f t="shared" si="4"/>
        <v>0</v>
      </c>
      <c r="AM18" s="37">
        <f t="shared" si="5"/>
        <v>0</v>
      </c>
      <c r="AN18" s="37"/>
      <c r="AO18" s="38">
        <v>16</v>
      </c>
      <c r="AP18" s="39">
        <f t="shared" si="6"/>
        <v>0</v>
      </c>
    </row>
    <row r="19" s="105" customFormat="1" ht="20.15" customHeight="1" spans="1:42">
      <c r="A19" s="68">
        <v>8</v>
      </c>
      <c r="B19" s="154" t="s">
        <v>26</v>
      </c>
      <c r="C19" s="150" t="s">
        <v>16</v>
      </c>
      <c r="D19" s="152" t="s">
        <v>219</v>
      </c>
      <c r="E19" s="260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259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113"/>
      <c r="AH19" s="151">
        <f t="shared" si="0"/>
        <v>0</v>
      </c>
      <c r="AI19" s="35">
        <f t="shared" si="1"/>
        <v>0</v>
      </c>
      <c r="AJ19" s="36">
        <f t="shared" si="2"/>
        <v>0</v>
      </c>
      <c r="AK19" s="36">
        <f t="shared" si="3"/>
        <v>0</v>
      </c>
      <c r="AL19" s="36">
        <f t="shared" si="4"/>
        <v>0</v>
      </c>
      <c r="AM19" s="37">
        <f t="shared" si="5"/>
        <v>0</v>
      </c>
      <c r="AN19" s="37"/>
      <c r="AO19" s="38">
        <v>16</v>
      </c>
      <c r="AP19" s="39">
        <f t="shared" si="6"/>
        <v>0</v>
      </c>
    </row>
    <row r="20" s="105" customFormat="1" ht="20.25" customHeight="1" spans="1:42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260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259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113"/>
      <c r="AH20" s="151">
        <f t="shared" si="0"/>
        <v>0</v>
      </c>
      <c r="AI20" s="35">
        <f t="shared" si="1"/>
        <v>0</v>
      </c>
      <c r="AJ20" s="36">
        <f t="shared" si="2"/>
        <v>0</v>
      </c>
      <c r="AK20" s="36">
        <f t="shared" si="3"/>
        <v>0</v>
      </c>
      <c r="AL20" s="36">
        <f t="shared" si="4"/>
        <v>0</v>
      </c>
      <c r="AM20" s="37">
        <f t="shared" si="5"/>
        <v>0</v>
      </c>
      <c r="AN20" s="52" t="s">
        <v>201</v>
      </c>
      <c r="AO20" s="38">
        <v>16</v>
      </c>
      <c r="AP20" s="39">
        <f t="shared" si="6"/>
        <v>0</v>
      </c>
    </row>
    <row r="21" s="105" customFormat="1" ht="20.15" customHeight="1" spans="1:42">
      <c r="A21" s="68">
        <v>10</v>
      </c>
      <c r="B21" s="154" t="s">
        <v>28</v>
      </c>
      <c r="C21" s="150" t="s">
        <v>16</v>
      </c>
      <c r="D21" s="152" t="s">
        <v>266</v>
      </c>
      <c r="E21" s="260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259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113"/>
      <c r="AH21" s="151">
        <f t="shared" si="0"/>
        <v>0</v>
      </c>
      <c r="AI21" s="35">
        <f t="shared" si="1"/>
        <v>0</v>
      </c>
      <c r="AJ21" s="36">
        <f t="shared" si="2"/>
        <v>0</v>
      </c>
      <c r="AK21" s="36">
        <f t="shared" si="3"/>
        <v>0</v>
      </c>
      <c r="AL21" s="36">
        <f t="shared" si="4"/>
        <v>0</v>
      </c>
      <c r="AM21" s="37">
        <f t="shared" si="5"/>
        <v>0</v>
      </c>
      <c r="AN21" s="37"/>
      <c r="AO21" s="38">
        <v>16</v>
      </c>
      <c r="AP21" s="39">
        <f t="shared" si="6"/>
        <v>0</v>
      </c>
    </row>
    <row r="22" s="105" customFormat="1" ht="20.15" customHeight="1" spans="1:42">
      <c r="A22" s="68">
        <v>11</v>
      </c>
      <c r="B22" s="155" t="s">
        <v>29</v>
      </c>
      <c r="C22" s="150" t="s">
        <v>16</v>
      </c>
      <c r="D22" s="149" t="s">
        <v>153</v>
      </c>
      <c r="E22" s="260"/>
      <c r="F22" s="96"/>
      <c r="G22" s="96"/>
      <c r="H22" s="96"/>
      <c r="I22" s="96"/>
      <c r="J22" s="96"/>
      <c r="K22" s="96"/>
      <c r="L22" s="96" t="s">
        <v>11</v>
      </c>
      <c r="M22" s="96"/>
      <c r="N22" s="96"/>
      <c r="O22" s="96"/>
      <c r="P22" s="96"/>
      <c r="Q22" s="96"/>
      <c r="R22" s="259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113"/>
      <c r="AH22" s="151">
        <f t="shared" si="0"/>
        <v>0</v>
      </c>
      <c r="AI22" s="35">
        <f t="shared" si="1"/>
        <v>1</v>
      </c>
      <c r="AJ22" s="36">
        <f t="shared" si="2"/>
        <v>0</v>
      </c>
      <c r="AK22" s="36">
        <f t="shared" si="3"/>
        <v>0</v>
      </c>
      <c r="AL22" s="36">
        <f t="shared" si="4"/>
        <v>0</v>
      </c>
      <c r="AM22" s="37">
        <f t="shared" si="5"/>
        <v>1</v>
      </c>
      <c r="AN22" s="37" t="s">
        <v>303</v>
      </c>
      <c r="AO22" s="38">
        <v>16</v>
      </c>
      <c r="AP22" s="39">
        <f t="shared" si="6"/>
        <v>0.0625</v>
      </c>
    </row>
    <row r="23" s="105" customFormat="1" ht="20.15" customHeight="1" spans="1:42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260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259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113"/>
      <c r="AH23" s="151">
        <f t="shared" si="0"/>
        <v>0</v>
      </c>
      <c r="AI23" s="35">
        <f t="shared" si="1"/>
        <v>0</v>
      </c>
      <c r="AJ23" s="35">
        <f t="shared" si="2"/>
        <v>0</v>
      </c>
      <c r="AK23" s="35">
        <f t="shared" si="3"/>
        <v>0</v>
      </c>
      <c r="AL23" s="36">
        <f t="shared" si="4"/>
        <v>0</v>
      </c>
      <c r="AM23" s="37">
        <f t="shared" si="5"/>
        <v>0</v>
      </c>
      <c r="AN23" s="37" t="s">
        <v>25</v>
      </c>
      <c r="AO23" s="38">
        <v>16</v>
      </c>
      <c r="AP23" s="39">
        <f t="shared" si="6"/>
        <v>0</v>
      </c>
    </row>
    <row r="24" s="105" customFormat="1" ht="20.15" customHeight="1" spans="1:42">
      <c r="A24" s="68">
        <v>13</v>
      </c>
      <c r="B24" s="155" t="s">
        <v>31</v>
      </c>
      <c r="C24" s="150" t="s">
        <v>16</v>
      </c>
      <c r="D24" s="152" t="s">
        <v>203</v>
      </c>
      <c r="E24" s="96"/>
      <c r="F24" s="96"/>
      <c r="G24" s="96"/>
      <c r="H24" s="96"/>
      <c r="I24" s="96"/>
      <c r="J24" s="96"/>
      <c r="K24" s="96"/>
      <c r="L24" s="96" t="s">
        <v>11</v>
      </c>
      <c r="M24" s="96"/>
      <c r="N24" s="96"/>
      <c r="O24" s="96"/>
      <c r="P24" s="96"/>
      <c r="Q24" s="96"/>
      <c r="R24" s="259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113"/>
      <c r="AH24" s="151">
        <f t="shared" si="0"/>
        <v>0</v>
      </c>
      <c r="AI24" s="35">
        <f t="shared" si="1"/>
        <v>1</v>
      </c>
      <c r="AJ24" s="35">
        <f t="shared" si="2"/>
        <v>0</v>
      </c>
      <c r="AK24" s="36">
        <f t="shared" si="3"/>
        <v>0</v>
      </c>
      <c r="AL24" s="36">
        <f t="shared" si="4"/>
        <v>0</v>
      </c>
      <c r="AM24" s="37">
        <f t="shared" si="5"/>
        <v>1</v>
      </c>
      <c r="AN24" s="52" t="s">
        <v>204</v>
      </c>
      <c r="AO24" s="38">
        <v>16</v>
      </c>
      <c r="AP24" s="39">
        <f t="shared" si="6"/>
        <v>0.0625</v>
      </c>
    </row>
    <row r="25" s="105" customFormat="1" ht="20.15" customHeight="1" spans="1:42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259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113"/>
      <c r="AH25" s="151">
        <f t="shared" si="0"/>
        <v>0</v>
      </c>
      <c r="AI25" s="35">
        <f t="shared" si="1"/>
        <v>0</v>
      </c>
      <c r="AJ25" s="35">
        <f t="shared" si="2"/>
        <v>0</v>
      </c>
      <c r="AK25" s="47">
        <f t="shared" si="3"/>
        <v>0</v>
      </c>
      <c r="AL25" s="36">
        <f t="shared" si="4"/>
        <v>0</v>
      </c>
      <c r="AM25" s="37">
        <f t="shared" si="5"/>
        <v>0</v>
      </c>
      <c r="AN25" s="38" t="s">
        <v>168</v>
      </c>
      <c r="AO25" s="38">
        <v>16</v>
      </c>
      <c r="AP25" s="39">
        <f t="shared" si="6"/>
        <v>0</v>
      </c>
    </row>
    <row r="26" s="105" customFormat="1" ht="20.15" customHeight="1" spans="1:42">
      <c r="A26" s="68">
        <v>15</v>
      </c>
      <c r="B26" s="154" t="s">
        <v>33</v>
      </c>
      <c r="C26" s="150" t="s">
        <v>16</v>
      </c>
      <c r="D26" s="149" t="s">
        <v>163</v>
      </c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259"/>
      <c r="S26" s="96"/>
      <c r="T26" s="96"/>
      <c r="U26" s="96"/>
      <c r="V26" s="96"/>
      <c r="W26" s="96"/>
      <c r="X26" s="96"/>
      <c r="Y26" s="96"/>
      <c r="Z26" s="96"/>
      <c r="AA26" s="96" t="s">
        <v>12</v>
      </c>
      <c r="AB26" s="96"/>
      <c r="AC26" s="96"/>
      <c r="AD26" s="96"/>
      <c r="AE26" s="96"/>
      <c r="AF26" s="96"/>
      <c r="AG26" s="113"/>
      <c r="AH26" s="151">
        <f t="shared" si="0"/>
        <v>0</v>
      </c>
      <c r="AI26" s="35">
        <f t="shared" si="1"/>
        <v>0</v>
      </c>
      <c r="AJ26" s="36">
        <f t="shared" si="2"/>
        <v>1</v>
      </c>
      <c r="AK26" s="36">
        <f t="shared" si="3"/>
        <v>0</v>
      </c>
      <c r="AL26" s="36">
        <f t="shared" si="4"/>
        <v>0</v>
      </c>
      <c r="AM26" s="37">
        <f t="shared" si="5"/>
        <v>1</v>
      </c>
      <c r="AN26" s="37" t="s">
        <v>337</v>
      </c>
      <c r="AO26" s="38">
        <v>16</v>
      </c>
      <c r="AP26" s="39">
        <f t="shared" si="6"/>
        <v>0.0625</v>
      </c>
    </row>
    <row r="27" s="105" customFormat="1" ht="20.15" customHeight="1" spans="1:42">
      <c r="A27" s="68">
        <v>16</v>
      </c>
      <c r="B27" s="154" t="s">
        <v>34</v>
      </c>
      <c r="C27" s="150" t="s">
        <v>16</v>
      </c>
      <c r="D27" s="149" t="str">
        <f>VLOOKUP(B27,'[1]MASTER DATA 2025'!$C$3:$E$279,3,0)</f>
        <v>0Tahun8 Bulan</v>
      </c>
      <c r="E27" s="96"/>
      <c r="F27" s="96"/>
      <c r="G27" s="96"/>
      <c r="H27" s="96"/>
      <c r="I27" s="96"/>
      <c r="J27" s="96"/>
      <c r="K27" s="96"/>
      <c r="L27" s="96"/>
      <c r="M27" s="241"/>
      <c r="N27" s="241"/>
      <c r="O27" s="96"/>
      <c r="P27" s="96"/>
      <c r="Q27" s="96"/>
      <c r="R27" s="259"/>
      <c r="S27" s="96"/>
      <c r="T27" s="96"/>
      <c r="U27" s="96"/>
      <c r="V27" s="96"/>
      <c r="W27" s="96"/>
      <c r="X27" s="96"/>
      <c r="Y27" s="96"/>
      <c r="Z27" s="96"/>
      <c r="AA27" s="96"/>
      <c r="AB27" s="96" t="s">
        <v>11</v>
      </c>
      <c r="AC27" s="96"/>
      <c r="AD27" s="96"/>
      <c r="AE27" s="96"/>
      <c r="AF27" s="96"/>
      <c r="AG27" s="113"/>
      <c r="AH27" s="151">
        <f t="shared" si="0"/>
        <v>0</v>
      </c>
      <c r="AI27" s="131">
        <f t="shared" si="1"/>
        <v>1</v>
      </c>
      <c r="AJ27" s="103">
        <f t="shared" si="2"/>
        <v>0</v>
      </c>
      <c r="AK27" s="103">
        <f t="shared" si="3"/>
        <v>0</v>
      </c>
      <c r="AL27" s="103">
        <f t="shared" si="4"/>
        <v>0</v>
      </c>
      <c r="AM27" s="128">
        <f t="shared" si="5"/>
        <v>1</v>
      </c>
      <c r="AN27" s="43" t="s">
        <v>336</v>
      </c>
      <c r="AO27" s="38">
        <v>16</v>
      </c>
      <c r="AP27" s="39">
        <f t="shared" si="6"/>
        <v>0.0625</v>
      </c>
    </row>
    <row r="28" s="105" customFormat="1" ht="20.15" customHeight="1" spans="1:42">
      <c r="A28" s="68">
        <v>17</v>
      </c>
      <c r="B28" s="154" t="s">
        <v>35</v>
      </c>
      <c r="C28" s="150" t="s">
        <v>16</v>
      </c>
      <c r="D28" s="149" t="s">
        <v>267</v>
      </c>
      <c r="E28" s="96"/>
      <c r="F28" s="96"/>
      <c r="G28" s="96"/>
      <c r="H28" s="96"/>
      <c r="I28" s="96"/>
      <c r="J28" s="96"/>
      <c r="K28" s="96"/>
      <c r="L28" s="261"/>
      <c r="M28" s="112"/>
      <c r="N28" s="112" t="s">
        <v>11</v>
      </c>
      <c r="O28" s="262"/>
      <c r="P28" s="96"/>
      <c r="Q28" s="96"/>
      <c r="R28" s="259"/>
      <c r="S28" s="96"/>
      <c r="T28" s="96"/>
      <c r="U28" s="96"/>
      <c r="V28" s="96"/>
      <c r="W28" s="96"/>
      <c r="X28" s="96"/>
      <c r="Y28" s="96"/>
      <c r="Z28" s="96"/>
      <c r="AA28" s="96" t="s">
        <v>11</v>
      </c>
      <c r="AB28" s="96"/>
      <c r="AC28" s="96"/>
      <c r="AD28" s="96"/>
      <c r="AE28" s="96"/>
      <c r="AF28" s="96"/>
      <c r="AG28" s="113"/>
      <c r="AH28" s="151">
        <f t="shared" si="0"/>
        <v>0</v>
      </c>
      <c r="AI28" s="43">
        <f t="shared" si="1"/>
        <v>2</v>
      </c>
      <c r="AJ28" s="66">
        <f t="shared" si="2"/>
        <v>0</v>
      </c>
      <c r="AK28" s="66">
        <f t="shared" si="3"/>
        <v>0</v>
      </c>
      <c r="AL28" s="66">
        <f t="shared" si="4"/>
        <v>0</v>
      </c>
      <c r="AM28" s="43">
        <f t="shared" si="5"/>
        <v>2</v>
      </c>
      <c r="AN28" s="43" t="s">
        <v>336</v>
      </c>
      <c r="AO28" s="68">
        <v>16</v>
      </c>
      <c r="AP28" s="39">
        <f t="shared" si="6"/>
        <v>0.125</v>
      </c>
    </row>
    <row r="29" s="105" customFormat="1" ht="20.15" customHeight="1" spans="1:42">
      <c r="A29" s="68">
        <v>18</v>
      </c>
      <c r="B29" s="149" t="s">
        <v>36</v>
      </c>
      <c r="C29" s="150" t="s">
        <v>20</v>
      </c>
      <c r="D29" s="149" t="s">
        <v>242</v>
      </c>
      <c r="E29" s="96"/>
      <c r="F29" s="96"/>
      <c r="G29" s="96"/>
      <c r="H29" s="96"/>
      <c r="I29" s="96"/>
      <c r="J29" s="96"/>
      <c r="K29" s="96"/>
      <c r="L29" s="96"/>
      <c r="M29" s="193"/>
      <c r="N29" s="193"/>
      <c r="O29" s="96"/>
      <c r="P29" s="96"/>
      <c r="Q29" s="96"/>
      <c r="R29" s="259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113"/>
      <c r="AH29" s="151">
        <f t="shared" si="0"/>
        <v>0</v>
      </c>
      <c r="AI29" s="35">
        <f t="shared" si="1"/>
        <v>0</v>
      </c>
      <c r="AJ29" s="35">
        <f t="shared" si="2"/>
        <v>0</v>
      </c>
      <c r="AK29" s="47">
        <f t="shared" si="3"/>
        <v>0</v>
      </c>
      <c r="AL29" s="36">
        <f t="shared" si="4"/>
        <v>0</v>
      </c>
      <c r="AM29" s="35">
        <f t="shared" si="5"/>
        <v>0</v>
      </c>
      <c r="AN29" s="35" t="s">
        <v>305</v>
      </c>
      <c r="AO29" s="38">
        <v>16</v>
      </c>
      <c r="AP29" s="39">
        <f t="shared" si="6"/>
        <v>0</v>
      </c>
    </row>
    <row r="30" s="105" customFormat="1" ht="20.15" customHeight="1" spans="1:42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96"/>
      <c r="F30" s="96"/>
      <c r="G30" s="96"/>
      <c r="H30" s="96"/>
      <c r="I30" s="96"/>
      <c r="J30" s="96"/>
      <c r="K30" s="96"/>
      <c r="L30" s="96" t="s">
        <v>11</v>
      </c>
      <c r="M30" s="96"/>
      <c r="N30" s="96"/>
      <c r="O30" s="96"/>
      <c r="P30" s="96"/>
      <c r="Q30" s="96"/>
      <c r="R30" s="259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113"/>
      <c r="AH30" s="151">
        <f t="shared" si="0"/>
        <v>0</v>
      </c>
      <c r="AI30" s="35">
        <f t="shared" si="1"/>
        <v>1</v>
      </c>
      <c r="AJ30" s="35">
        <f t="shared" si="2"/>
        <v>0</v>
      </c>
      <c r="AK30" s="35">
        <f t="shared" si="3"/>
        <v>0</v>
      </c>
      <c r="AL30" s="36">
        <f t="shared" si="4"/>
        <v>0</v>
      </c>
      <c r="AM30" s="37">
        <f t="shared" si="5"/>
        <v>1</v>
      </c>
      <c r="AN30" s="52" t="s">
        <v>208</v>
      </c>
      <c r="AO30" s="38">
        <v>16</v>
      </c>
      <c r="AP30" s="39">
        <f t="shared" si="6"/>
        <v>0.0625</v>
      </c>
    </row>
    <row r="31" s="105" customFormat="1" ht="20.15" customHeight="1" spans="1:42">
      <c r="A31" s="68">
        <v>20</v>
      </c>
      <c r="B31" s="154" t="s">
        <v>39</v>
      </c>
      <c r="C31" s="150" t="s">
        <v>16</v>
      </c>
      <c r="D31" s="152" t="s">
        <v>338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 t="s">
        <v>11</v>
      </c>
      <c r="P31" s="96" t="s">
        <v>11</v>
      </c>
      <c r="Q31" s="96" t="s">
        <v>11</v>
      </c>
      <c r="R31" s="259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113"/>
      <c r="AH31" s="151">
        <f t="shared" si="0"/>
        <v>0</v>
      </c>
      <c r="AI31" s="35">
        <f t="shared" si="1"/>
        <v>3</v>
      </c>
      <c r="AJ31" s="36">
        <f t="shared" si="2"/>
        <v>0</v>
      </c>
      <c r="AK31" s="36">
        <f t="shared" si="3"/>
        <v>0</v>
      </c>
      <c r="AL31" s="36">
        <f t="shared" si="4"/>
        <v>0</v>
      </c>
      <c r="AM31" s="37">
        <f t="shared" si="5"/>
        <v>3</v>
      </c>
      <c r="AN31" s="156" t="s">
        <v>275</v>
      </c>
      <c r="AO31" s="38">
        <v>16</v>
      </c>
      <c r="AP31" s="39">
        <f t="shared" si="6"/>
        <v>0.1875</v>
      </c>
    </row>
    <row r="32" s="105" customFormat="1" ht="20.15" customHeight="1" spans="1:42">
      <c r="A32" s="68">
        <v>21</v>
      </c>
      <c r="B32" s="154" t="s">
        <v>41</v>
      </c>
      <c r="C32" s="150" t="s">
        <v>16</v>
      </c>
      <c r="D32" s="152" t="s">
        <v>163</v>
      </c>
      <c r="E32" s="96"/>
      <c r="F32" s="96"/>
      <c r="G32" s="96"/>
      <c r="H32" s="96"/>
      <c r="I32" s="96" t="s">
        <v>13</v>
      </c>
      <c r="J32" s="96"/>
      <c r="K32" s="96"/>
      <c r="L32" s="96"/>
      <c r="M32" s="96"/>
      <c r="N32" s="96"/>
      <c r="O32" s="96"/>
      <c r="P32" s="96"/>
      <c r="Q32" s="96"/>
      <c r="R32" s="259"/>
      <c r="S32" s="96"/>
      <c r="T32" s="96"/>
      <c r="U32" s="96" t="s">
        <v>11</v>
      </c>
      <c r="V32" s="96"/>
      <c r="W32" s="96"/>
      <c r="X32" s="96"/>
      <c r="Y32" s="96"/>
      <c r="Z32" s="96"/>
      <c r="AA32" s="96" t="s">
        <v>13</v>
      </c>
      <c r="AB32" s="96"/>
      <c r="AC32" s="96"/>
      <c r="AD32" s="96"/>
      <c r="AE32" s="96"/>
      <c r="AF32" s="96"/>
      <c r="AG32" s="113"/>
      <c r="AH32" s="151">
        <f t="shared" si="0"/>
        <v>0</v>
      </c>
      <c r="AI32" s="35">
        <f t="shared" si="1"/>
        <v>1</v>
      </c>
      <c r="AJ32" s="35">
        <f t="shared" si="2"/>
        <v>0</v>
      </c>
      <c r="AK32" s="36">
        <f t="shared" si="3"/>
        <v>2</v>
      </c>
      <c r="AL32" s="36">
        <f t="shared" si="4"/>
        <v>0</v>
      </c>
      <c r="AM32" s="37">
        <f t="shared" si="5"/>
        <v>3</v>
      </c>
      <c r="AN32" s="156"/>
      <c r="AO32" s="38">
        <v>16</v>
      </c>
      <c r="AP32" s="39">
        <f t="shared" si="6"/>
        <v>0.1875</v>
      </c>
    </row>
    <row r="33" s="105" customFormat="1" ht="20.15" customHeight="1" spans="1:42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259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113"/>
      <c r="AH33" s="151">
        <f t="shared" si="0"/>
        <v>0</v>
      </c>
      <c r="AI33" s="35">
        <f t="shared" si="1"/>
        <v>0</v>
      </c>
      <c r="AJ33" s="36">
        <f t="shared" si="2"/>
        <v>0</v>
      </c>
      <c r="AK33" s="36">
        <f t="shared" si="3"/>
        <v>0</v>
      </c>
      <c r="AL33" s="36">
        <f t="shared" si="4"/>
        <v>0</v>
      </c>
      <c r="AM33" s="37">
        <f t="shared" si="5"/>
        <v>0</v>
      </c>
      <c r="AN33" s="37"/>
      <c r="AO33" s="38">
        <v>16</v>
      </c>
      <c r="AP33" s="39">
        <f t="shared" si="6"/>
        <v>0</v>
      </c>
    </row>
    <row r="34" s="105" customFormat="1" ht="20.15" customHeight="1" spans="1:42">
      <c r="A34" s="68">
        <v>23</v>
      </c>
      <c r="B34" s="157" t="s">
        <v>44</v>
      </c>
      <c r="C34" s="150" t="s">
        <v>16</v>
      </c>
      <c r="D34" s="149" t="s">
        <v>268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259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113"/>
      <c r="AH34" s="151">
        <f t="shared" si="0"/>
        <v>0</v>
      </c>
      <c r="AI34" s="35">
        <f t="shared" si="1"/>
        <v>0</v>
      </c>
      <c r="AJ34" s="35">
        <f t="shared" si="2"/>
        <v>0</v>
      </c>
      <c r="AK34" s="36">
        <f t="shared" si="3"/>
        <v>0</v>
      </c>
      <c r="AL34" s="36">
        <f t="shared" si="4"/>
        <v>0</v>
      </c>
      <c r="AM34" s="37">
        <f t="shared" si="5"/>
        <v>0</v>
      </c>
      <c r="AN34" s="37"/>
      <c r="AO34" s="38">
        <v>16</v>
      </c>
      <c r="AP34" s="39">
        <f t="shared" si="6"/>
        <v>0</v>
      </c>
    </row>
    <row r="35" s="105" customFormat="1" ht="20.15" customHeight="1" spans="1:42">
      <c r="A35" s="68">
        <v>24</v>
      </c>
      <c r="B35" s="249" t="s">
        <v>117</v>
      </c>
      <c r="C35" s="150" t="s">
        <v>16</v>
      </c>
      <c r="D35" s="152" t="s">
        <v>306</v>
      </c>
      <c r="E35" s="96"/>
      <c r="F35" s="96"/>
      <c r="G35" s="96"/>
      <c r="H35" s="96" t="s">
        <v>11</v>
      </c>
      <c r="I35" s="96"/>
      <c r="J35" s="96"/>
      <c r="K35" s="96"/>
      <c r="L35" s="96"/>
      <c r="M35" s="96"/>
      <c r="N35" s="96"/>
      <c r="O35" s="96"/>
      <c r="P35" s="96"/>
      <c r="Q35" s="96"/>
      <c r="R35" s="259"/>
      <c r="S35" s="96"/>
      <c r="T35" s="96"/>
      <c r="U35" s="96"/>
      <c r="V35" s="96"/>
      <c r="W35" s="96"/>
      <c r="X35" s="96"/>
      <c r="Y35" s="96"/>
      <c r="Z35" s="96"/>
      <c r="AA35" s="96"/>
      <c r="AB35" s="96" t="s">
        <v>11</v>
      </c>
      <c r="AC35" s="96"/>
      <c r="AD35" s="96"/>
      <c r="AE35" s="96"/>
      <c r="AF35" s="96"/>
      <c r="AG35" s="113"/>
      <c r="AH35" s="151">
        <f t="shared" si="0"/>
        <v>0</v>
      </c>
      <c r="AI35" s="35">
        <f t="shared" si="1"/>
        <v>2</v>
      </c>
      <c r="AJ35" s="36">
        <f t="shared" si="2"/>
        <v>0</v>
      </c>
      <c r="AK35" s="35">
        <f t="shared" si="3"/>
        <v>0</v>
      </c>
      <c r="AL35" s="36">
        <f t="shared" si="4"/>
        <v>0</v>
      </c>
      <c r="AM35" s="37">
        <f t="shared" si="5"/>
        <v>2</v>
      </c>
      <c r="AN35" s="43" t="s">
        <v>336</v>
      </c>
      <c r="AO35" s="38">
        <v>16</v>
      </c>
      <c r="AP35" s="39">
        <f t="shared" si="6"/>
        <v>0.125</v>
      </c>
    </row>
    <row r="36" s="105" customFormat="1" ht="20.15" customHeight="1" spans="1:42">
      <c r="A36" s="68">
        <v>25</v>
      </c>
      <c r="B36" s="167" t="s">
        <v>46</v>
      </c>
      <c r="C36" s="150" t="s">
        <v>16</v>
      </c>
      <c r="D36" s="152" t="s">
        <v>153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 t="s">
        <v>13</v>
      </c>
      <c r="R36" s="259"/>
      <c r="S36" s="96"/>
      <c r="T36" s="96" t="s">
        <v>13</v>
      </c>
      <c r="U36" s="96"/>
      <c r="V36" s="96"/>
      <c r="W36" s="96"/>
      <c r="X36" s="96" t="s">
        <v>13</v>
      </c>
      <c r="Y36" s="96" t="s">
        <v>13</v>
      </c>
      <c r="Z36" s="96"/>
      <c r="AA36" s="96"/>
      <c r="AB36" s="96"/>
      <c r="AC36" s="96"/>
      <c r="AD36" s="96"/>
      <c r="AE36" s="96"/>
      <c r="AF36" s="96"/>
      <c r="AG36" s="113"/>
      <c r="AH36" s="151">
        <f t="shared" si="0"/>
        <v>0</v>
      </c>
      <c r="AI36" s="35">
        <f t="shared" si="1"/>
        <v>0</v>
      </c>
      <c r="AJ36" s="35">
        <f t="shared" si="2"/>
        <v>0</v>
      </c>
      <c r="AK36" s="35">
        <f t="shared" si="3"/>
        <v>4</v>
      </c>
      <c r="AL36" s="36">
        <f t="shared" si="4"/>
        <v>0</v>
      </c>
      <c r="AM36" s="37">
        <f t="shared" si="5"/>
        <v>4</v>
      </c>
      <c r="AN36" s="156" t="s">
        <v>171</v>
      </c>
      <c r="AO36" s="38">
        <v>16</v>
      </c>
      <c r="AP36" s="39">
        <f t="shared" si="6"/>
        <v>0.25</v>
      </c>
    </row>
    <row r="37" s="105" customFormat="1" ht="20.15" customHeight="1" spans="1:42">
      <c r="A37" s="68">
        <v>26</v>
      </c>
      <c r="B37" s="149" t="s">
        <v>47</v>
      </c>
      <c r="C37" s="150" t="s">
        <v>211</v>
      </c>
      <c r="D37" s="152" t="s">
        <v>212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259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113"/>
      <c r="AH37" s="151">
        <f t="shared" si="0"/>
        <v>0</v>
      </c>
      <c r="AI37" s="35">
        <f t="shared" si="1"/>
        <v>0</v>
      </c>
      <c r="AJ37" s="36">
        <f t="shared" si="2"/>
        <v>0</v>
      </c>
      <c r="AK37" s="36">
        <f t="shared" si="3"/>
        <v>0</v>
      </c>
      <c r="AL37" s="36">
        <f t="shared" si="4"/>
        <v>0</v>
      </c>
      <c r="AM37" s="37">
        <f t="shared" si="5"/>
        <v>0</v>
      </c>
      <c r="AN37" s="156" t="s">
        <v>201</v>
      </c>
      <c r="AO37" s="38">
        <v>16</v>
      </c>
      <c r="AP37" s="39">
        <f t="shared" si="6"/>
        <v>0</v>
      </c>
    </row>
    <row r="38" s="105" customFormat="1" ht="20.15" customHeight="1" spans="1:42">
      <c r="A38" s="68">
        <v>27</v>
      </c>
      <c r="B38" s="149" t="s">
        <v>48</v>
      </c>
      <c r="C38" s="150" t="s">
        <v>16</v>
      </c>
      <c r="D38" s="149" t="s">
        <v>217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 t="s">
        <v>13</v>
      </c>
      <c r="Q38" s="96"/>
      <c r="R38" s="259"/>
      <c r="S38" s="96"/>
      <c r="T38" s="96"/>
      <c r="U38" s="96"/>
      <c r="V38" s="96"/>
      <c r="W38" s="96"/>
      <c r="X38" s="96"/>
      <c r="Y38" s="96"/>
      <c r="Z38" s="96" t="s">
        <v>11</v>
      </c>
      <c r="AA38" s="96"/>
      <c r="AB38" s="96"/>
      <c r="AC38" s="96"/>
      <c r="AD38" s="96"/>
      <c r="AE38" s="96"/>
      <c r="AF38" s="96"/>
      <c r="AG38" s="113"/>
      <c r="AH38" s="151">
        <f t="shared" si="0"/>
        <v>0</v>
      </c>
      <c r="AI38" s="35">
        <f t="shared" si="1"/>
        <v>1</v>
      </c>
      <c r="AJ38" s="35">
        <f t="shared" si="2"/>
        <v>0</v>
      </c>
      <c r="AK38" s="35">
        <f t="shared" si="3"/>
        <v>1</v>
      </c>
      <c r="AL38" s="36">
        <f t="shared" si="4"/>
        <v>0</v>
      </c>
      <c r="AM38" s="37">
        <f t="shared" si="5"/>
        <v>2</v>
      </c>
      <c r="AN38" s="43" t="s">
        <v>336</v>
      </c>
      <c r="AO38" s="38">
        <v>16</v>
      </c>
      <c r="AP38" s="39">
        <f t="shared" si="6"/>
        <v>0.125</v>
      </c>
    </row>
    <row r="39" s="105" customFormat="1" ht="20.15" customHeight="1" spans="1:42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259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113"/>
      <c r="AH39" s="151">
        <f t="shared" si="0"/>
        <v>0</v>
      </c>
      <c r="AI39" s="35">
        <f t="shared" si="1"/>
        <v>0</v>
      </c>
      <c r="AJ39" s="36">
        <f t="shared" si="2"/>
        <v>0</v>
      </c>
      <c r="AK39" s="35">
        <f t="shared" si="3"/>
        <v>0</v>
      </c>
      <c r="AL39" s="36">
        <f t="shared" si="4"/>
        <v>0</v>
      </c>
      <c r="AM39" s="37">
        <f t="shared" si="5"/>
        <v>0</v>
      </c>
      <c r="AN39" s="49" t="s">
        <v>118</v>
      </c>
      <c r="AO39" s="38">
        <v>16</v>
      </c>
      <c r="AP39" s="39">
        <f t="shared" si="6"/>
        <v>0</v>
      </c>
    </row>
    <row r="40" s="105" customFormat="1" ht="20.15" customHeight="1" spans="1:42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96" t="s">
        <v>13</v>
      </c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259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113"/>
      <c r="AH40" s="151">
        <f t="shared" si="0"/>
        <v>0</v>
      </c>
      <c r="AI40" s="35">
        <f t="shared" si="1"/>
        <v>0</v>
      </c>
      <c r="AJ40" s="36">
        <f t="shared" si="2"/>
        <v>0</v>
      </c>
      <c r="AK40" s="36">
        <f t="shared" si="3"/>
        <v>1</v>
      </c>
      <c r="AL40" s="36">
        <f t="shared" si="4"/>
        <v>0</v>
      </c>
      <c r="AM40" s="128">
        <f t="shared" si="5"/>
        <v>1</v>
      </c>
      <c r="AN40" s="37" t="s">
        <v>228</v>
      </c>
      <c r="AO40" s="38">
        <v>16</v>
      </c>
      <c r="AP40" s="72">
        <f t="shared" si="6"/>
        <v>0.0625</v>
      </c>
    </row>
    <row r="41" s="105" customFormat="1" ht="20.15" customHeight="1" spans="1:42">
      <c r="A41" s="68">
        <v>30</v>
      </c>
      <c r="B41" s="154" t="s">
        <v>51</v>
      </c>
      <c r="C41" s="150" t="s">
        <v>16</v>
      </c>
      <c r="D41" s="149" t="s">
        <v>217</v>
      </c>
      <c r="E41" s="96"/>
      <c r="F41" s="96" t="s">
        <v>11</v>
      </c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259"/>
      <c r="S41" s="96" t="s">
        <v>11</v>
      </c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113"/>
      <c r="AH41" s="151">
        <f t="shared" si="0"/>
        <v>0</v>
      </c>
      <c r="AI41" s="35">
        <f t="shared" si="1"/>
        <v>2</v>
      </c>
      <c r="AJ41" s="36">
        <f t="shared" si="2"/>
        <v>0</v>
      </c>
      <c r="AK41" s="36">
        <f t="shared" si="3"/>
        <v>0</v>
      </c>
      <c r="AL41" s="36">
        <f t="shared" si="4"/>
        <v>0</v>
      </c>
      <c r="AM41" s="37">
        <f t="shared" si="5"/>
        <v>2</v>
      </c>
      <c r="AN41" s="156" t="s">
        <v>275</v>
      </c>
      <c r="AO41" s="38">
        <v>26</v>
      </c>
      <c r="AP41" s="39">
        <f t="shared" si="6"/>
        <v>0.0769230769230769</v>
      </c>
    </row>
    <row r="42" s="105" customFormat="1" ht="20.15" customHeight="1" spans="1:42">
      <c r="A42" s="68">
        <v>31</v>
      </c>
      <c r="B42" s="154" t="s">
        <v>52</v>
      </c>
      <c r="C42" s="150" t="s">
        <v>339</v>
      </c>
      <c r="D42" s="149" t="s">
        <v>340</v>
      </c>
      <c r="E42" s="96"/>
      <c r="F42" s="96"/>
      <c r="G42" s="96"/>
      <c r="H42" s="96"/>
      <c r="I42" s="96" t="s">
        <v>11</v>
      </c>
      <c r="J42" s="96"/>
      <c r="K42" s="96"/>
      <c r="L42" s="96"/>
      <c r="M42" s="96"/>
      <c r="N42" s="96"/>
      <c r="O42" s="96"/>
      <c r="P42" s="96"/>
      <c r="Q42" s="96"/>
      <c r="R42" s="259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113"/>
      <c r="AH42" s="151">
        <f t="shared" si="0"/>
        <v>0</v>
      </c>
      <c r="AI42" s="35">
        <f t="shared" si="1"/>
        <v>1</v>
      </c>
      <c r="AJ42" s="36">
        <f t="shared" si="2"/>
        <v>0</v>
      </c>
      <c r="AK42" s="36">
        <f t="shared" si="3"/>
        <v>0</v>
      </c>
      <c r="AL42" s="36">
        <f t="shared" si="4"/>
        <v>0</v>
      </c>
      <c r="AM42" s="37">
        <f t="shared" si="5"/>
        <v>1</v>
      </c>
      <c r="AN42" s="128" t="s">
        <v>336</v>
      </c>
      <c r="AO42" s="38">
        <v>26</v>
      </c>
      <c r="AP42" s="39">
        <f t="shared" si="6"/>
        <v>0.0384615384615385</v>
      </c>
    </row>
    <row r="43" s="105" customFormat="1" ht="20.15" customHeight="1" spans="1:42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259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142"/>
      <c r="AH43" s="151">
        <f t="shared" si="0"/>
        <v>0</v>
      </c>
      <c r="AI43" s="35">
        <f t="shared" si="1"/>
        <v>0</v>
      </c>
      <c r="AJ43" s="36">
        <f t="shared" si="2"/>
        <v>0</v>
      </c>
      <c r="AK43" s="36">
        <f t="shared" si="3"/>
        <v>0</v>
      </c>
      <c r="AL43" s="36">
        <f t="shared" si="4"/>
        <v>0</v>
      </c>
      <c r="AM43" s="37">
        <f t="shared" si="5"/>
        <v>0</v>
      </c>
      <c r="AN43" s="37" t="s">
        <v>25</v>
      </c>
      <c r="AO43" s="38">
        <v>26</v>
      </c>
      <c r="AP43" s="39">
        <f t="shared" si="6"/>
        <v>0</v>
      </c>
    </row>
    <row r="44" s="105" customFormat="1" ht="20.15" customHeight="1" spans="1:42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259"/>
      <c r="S44" s="96"/>
      <c r="T44" s="96"/>
      <c r="U44" s="96"/>
      <c r="V44" s="96"/>
      <c r="W44" s="96"/>
      <c r="X44" s="96"/>
      <c r="Y44" s="96" t="s">
        <v>11</v>
      </c>
      <c r="Z44" s="96"/>
      <c r="AA44" s="96"/>
      <c r="AB44" s="96"/>
      <c r="AC44" s="96"/>
      <c r="AD44" s="96"/>
      <c r="AE44" s="96"/>
      <c r="AF44" s="96"/>
      <c r="AG44" s="113"/>
      <c r="AH44" s="151">
        <f t="shared" si="0"/>
        <v>0</v>
      </c>
      <c r="AI44" s="35">
        <f t="shared" si="1"/>
        <v>1</v>
      </c>
      <c r="AJ44" s="36">
        <f t="shared" si="2"/>
        <v>0</v>
      </c>
      <c r="AK44" s="36">
        <f t="shared" si="3"/>
        <v>0</v>
      </c>
      <c r="AL44" s="36">
        <f t="shared" si="4"/>
        <v>0</v>
      </c>
      <c r="AM44" s="37">
        <f t="shared" si="5"/>
        <v>1</v>
      </c>
      <c r="AN44" s="37" t="s">
        <v>25</v>
      </c>
      <c r="AO44" s="38">
        <v>26</v>
      </c>
      <c r="AP44" s="39">
        <f t="shared" si="6"/>
        <v>0.0384615384615385</v>
      </c>
    </row>
    <row r="45" s="105" customFormat="1" ht="20.15" customHeight="1" spans="1:42">
      <c r="A45" s="68">
        <v>34</v>
      </c>
      <c r="B45" s="158" t="s">
        <v>55</v>
      </c>
      <c r="C45" s="150" t="s">
        <v>16</v>
      </c>
      <c r="D45" s="149" t="str">
        <f>VLOOKUP(B45,'[1]MASTER DATA 2025'!$C$3:$E$279,3,0)</f>
        <v>2Tahun1 Bulan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259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113"/>
      <c r="AH45" s="151">
        <f t="shared" si="0"/>
        <v>0</v>
      </c>
      <c r="AI45" s="35">
        <f t="shared" si="1"/>
        <v>0</v>
      </c>
      <c r="AJ45" s="36">
        <f t="shared" si="2"/>
        <v>0</v>
      </c>
      <c r="AK45" s="36">
        <f t="shared" si="3"/>
        <v>0</v>
      </c>
      <c r="AL45" s="36">
        <f t="shared" si="4"/>
        <v>0</v>
      </c>
      <c r="AM45" s="37">
        <f t="shared" si="5"/>
        <v>0</v>
      </c>
      <c r="AN45" s="37"/>
      <c r="AO45" s="38">
        <v>26</v>
      </c>
      <c r="AP45" s="39">
        <f t="shared" si="6"/>
        <v>0</v>
      </c>
    </row>
    <row r="46" s="105" customFormat="1" ht="20.15" customHeight="1" spans="1:42">
      <c r="A46" s="68">
        <v>35</v>
      </c>
      <c r="B46" s="154" t="s">
        <v>56</v>
      </c>
      <c r="C46" s="150" t="s">
        <v>16</v>
      </c>
      <c r="D46" s="149" t="s">
        <v>231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259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113"/>
      <c r="AH46" s="151">
        <f t="shared" si="0"/>
        <v>0</v>
      </c>
      <c r="AI46" s="35">
        <f t="shared" si="1"/>
        <v>0</v>
      </c>
      <c r="AJ46" s="36">
        <f t="shared" si="2"/>
        <v>0</v>
      </c>
      <c r="AK46" s="35">
        <f t="shared" si="3"/>
        <v>0</v>
      </c>
      <c r="AL46" s="36">
        <f t="shared" si="4"/>
        <v>0</v>
      </c>
      <c r="AM46" s="37">
        <f t="shared" si="5"/>
        <v>0</v>
      </c>
      <c r="AN46" s="37" t="s">
        <v>228</v>
      </c>
      <c r="AO46" s="38">
        <v>26</v>
      </c>
      <c r="AP46" s="39">
        <f t="shared" si="6"/>
        <v>0</v>
      </c>
    </row>
    <row r="47" s="105" customFormat="1" ht="20.15" customHeight="1" spans="1:42">
      <c r="A47" s="68">
        <v>36</v>
      </c>
      <c r="B47" s="159" t="s">
        <v>57</v>
      </c>
      <c r="C47" s="150" t="s">
        <v>16</v>
      </c>
      <c r="D47" s="149" t="str">
        <f>VLOOKUP(B47,'[1]MASTER DATA 2025'!$C$3:$E$279,3,0)</f>
        <v>0Tahun2 Bulan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259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113"/>
      <c r="AH47" s="151">
        <f t="shared" si="0"/>
        <v>0</v>
      </c>
      <c r="AI47" s="35">
        <f t="shared" si="1"/>
        <v>0</v>
      </c>
      <c r="AJ47" s="36">
        <f t="shared" si="2"/>
        <v>0</v>
      </c>
      <c r="AK47" s="36">
        <f t="shared" si="3"/>
        <v>0</v>
      </c>
      <c r="AL47" s="36">
        <f t="shared" si="4"/>
        <v>0</v>
      </c>
      <c r="AM47" s="37">
        <f t="shared" si="5"/>
        <v>0</v>
      </c>
      <c r="AN47" s="37"/>
      <c r="AO47" s="38">
        <v>26</v>
      </c>
      <c r="AP47" s="39">
        <f t="shared" si="6"/>
        <v>0</v>
      </c>
    </row>
    <row r="48" s="105" customFormat="1" ht="19.5" customHeight="1" spans="1:42">
      <c r="A48" s="68">
        <v>37</v>
      </c>
      <c r="B48" s="149" t="s">
        <v>58</v>
      </c>
      <c r="C48" s="150" t="s">
        <v>59</v>
      </c>
      <c r="D48" s="149" t="s">
        <v>341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 t="s">
        <v>11</v>
      </c>
      <c r="R48" s="259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113"/>
      <c r="AH48" s="151">
        <f t="shared" si="0"/>
        <v>0</v>
      </c>
      <c r="AI48" s="35">
        <f t="shared" si="1"/>
        <v>1</v>
      </c>
      <c r="AJ48" s="36">
        <f t="shared" si="2"/>
        <v>0</v>
      </c>
      <c r="AK48" s="35">
        <f t="shared" si="3"/>
        <v>0</v>
      </c>
      <c r="AL48" s="36">
        <f t="shared" si="4"/>
        <v>0</v>
      </c>
      <c r="AM48" s="37">
        <f t="shared" si="5"/>
        <v>1</v>
      </c>
      <c r="AN48" s="156" t="s">
        <v>275</v>
      </c>
      <c r="AO48" s="38">
        <v>26</v>
      </c>
      <c r="AP48" s="39">
        <f t="shared" si="6"/>
        <v>0.0384615384615385</v>
      </c>
    </row>
    <row r="49" s="105" customFormat="1" ht="19.5" customHeight="1" spans="1:42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259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113"/>
      <c r="AH49" s="151">
        <f t="shared" si="0"/>
        <v>0</v>
      </c>
      <c r="AI49" s="36">
        <f t="shared" si="1"/>
        <v>0</v>
      </c>
      <c r="AJ49" s="36">
        <f t="shared" si="2"/>
        <v>0</v>
      </c>
      <c r="AK49" s="36">
        <f t="shared" si="3"/>
        <v>0</v>
      </c>
      <c r="AL49" s="36">
        <f t="shared" si="4"/>
        <v>0</v>
      </c>
      <c r="AM49" s="37">
        <f t="shared" si="5"/>
        <v>0</v>
      </c>
      <c r="AN49" s="37"/>
      <c r="AO49" s="38">
        <v>26</v>
      </c>
      <c r="AP49" s="39">
        <f t="shared" si="6"/>
        <v>0</v>
      </c>
    </row>
    <row r="50" s="105" customFormat="1" ht="19.5" customHeight="1" spans="1:42">
      <c r="A50" s="68">
        <v>39</v>
      </c>
      <c r="B50" s="161" t="s">
        <v>62</v>
      </c>
      <c r="C50" s="150" t="s">
        <v>59</v>
      </c>
      <c r="D50" s="149" t="s">
        <v>342</v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259"/>
      <c r="S50" s="96"/>
      <c r="T50" s="96"/>
      <c r="U50" s="96" t="s">
        <v>11</v>
      </c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113"/>
      <c r="AH50" s="151">
        <f t="shared" si="0"/>
        <v>0</v>
      </c>
      <c r="AI50" s="35">
        <f t="shared" si="1"/>
        <v>1</v>
      </c>
      <c r="AJ50" s="36">
        <f t="shared" si="2"/>
        <v>0</v>
      </c>
      <c r="AK50" s="36">
        <f t="shared" si="3"/>
        <v>0</v>
      </c>
      <c r="AL50" s="36">
        <f t="shared" si="4"/>
        <v>0</v>
      </c>
      <c r="AM50" s="37">
        <f t="shared" si="5"/>
        <v>1</v>
      </c>
      <c r="AN50" s="156" t="s">
        <v>275</v>
      </c>
      <c r="AO50" s="38">
        <v>26</v>
      </c>
      <c r="AP50" s="39">
        <f t="shared" si="6"/>
        <v>0.0384615384615385</v>
      </c>
    </row>
    <row r="51" s="105" customFormat="1" ht="19.5" customHeight="1" spans="1:42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259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113"/>
      <c r="AH51" s="151">
        <f t="shared" si="0"/>
        <v>0</v>
      </c>
      <c r="AI51" s="35">
        <f t="shared" si="1"/>
        <v>0</v>
      </c>
      <c r="AJ51" s="35">
        <f t="shared" si="2"/>
        <v>0</v>
      </c>
      <c r="AK51" s="36">
        <f t="shared" si="3"/>
        <v>0</v>
      </c>
      <c r="AL51" s="36">
        <f t="shared" si="4"/>
        <v>0</v>
      </c>
      <c r="AM51" s="37">
        <f t="shared" si="5"/>
        <v>0</v>
      </c>
      <c r="AN51" s="37"/>
      <c r="AO51" s="38">
        <v>26</v>
      </c>
      <c r="AP51" s="39">
        <f t="shared" si="6"/>
        <v>0</v>
      </c>
    </row>
    <row r="52" s="105" customFormat="1" ht="19.5" customHeight="1" spans="1:42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259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113"/>
      <c r="AH52" s="151">
        <f t="shared" si="0"/>
        <v>0</v>
      </c>
      <c r="AI52" s="35">
        <f t="shared" si="1"/>
        <v>0</v>
      </c>
      <c r="AJ52" s="36">
        <f t="shared" si="2"/>
        <v>0</v>
      </c>
      <c r="AK52" s="36">
        <f t="shared" si="3"/>
        <v>0</v>
      </c>
      <c r="AL52" s="36">
        <f t="shared" si="4"/>
        <v>0</v>
      </c>
      <c r="AM52" s="37">
        <f t="shared" si="5"/>
        <v>0</v>
      </c>
      <c r="AN52" s="37"/>
      <c r="AO52" s="38">
        <v>26</v>
      </c>
      <c r="AP52" s="39">
        <f t="shared" si="6"/>
        <v>0</v>
      </c>
    </row>
    <row r="53" s="105" customFormat="1" ht="19.5" customHeight="1" spans="1:42">
      <c r="A53" s="68">
        <v>42</v>
      </c>
      <c r="B53" s="219" t="s">
        <v>65</v>
      </c>
      <c r="C53" s="150" t="s">
        <v>16</v>
      </c>
      <c r="D53" s="149" t="s">
        <v>236</v>
      </c>
      <c r="E53" s="96"/>
      <c r="F53" s="96"/>
      <c r="G53" s="96"/>
      <c r="H53" s="96"/>
      <c r="I53" s="96" t="s">
        <v>11</v>
      </c>
      <c r="J53" s="96"/>
      <c r="K53" s="96"/>
      <c r="L53" s="96"/>
      <c r="M53" s="96"/>
      <c r="N53" s="96"/>
      <c r="O53" s="96"/>
      <c r="P53" s="96"/>
      <c r="Q53" s="96"/>
      <c r="R53" s="259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113"/>
      <c r="AH53" s="151">
        <f t="shared" si="0"/>
        <v>0</v>
      </c>
      <c r="AI53" s="35">
        <f t="shared" si="1"/>
        <v>1</v>
      </c>
      <c r="AJ53" s="36">
        <f t="shared" si="2"/>
        <v>0</v>
      </c>
      <c r="AK53" s="36">
        <f t="shared" si="3"/>
        <v>0</v>
      </c>
      <c r="AL53" s="36">
        <f t="shared" si="4"/>
        <v>0</v>
      </c>
      <c r="AM53" s="37">
        <f t="shared" si="5"/>
        <v>1</v>
      </c>
      <c r="AN53" s="37" t="s">
        <v>343</v>
      </c>
      <c r="AO53" s="38">
        <v>26</v>
      </c>
      <c r="AP53" s="39">
        <f t="shared" si="6"/>
        <v>0.0384615384615385</v>
      </c>
    </row>
    <row r="54" s="105" customFormat="1" ht="19.5" customHeight="1" spans="1:42">
      <c r="A54" s="68">
        <v>43</v>
      </c>
      <c r="B54" s="163" t="s">
        <v>66</v>
      </c>
      <c r="C54" s="150" t="s">
        <v>16</v>
      </c>
      <c r="D54" s="149" t="s">
        <v>153</v>
      </c>
      <c r="E54" s="96"/>
      <c r="F54" s="96"/>
      <c r="G54" s="96"/>
      <c r="H54" s="96"/>
      <c r="I54" s="96"/>
      <c r="J54" s="96"/>
      <c r="K54" s="96" t="s">
        <v>11</v>
      </c>
      <c r="L54" s="96"/>
      <c r="M54" s="96"/>
      <c r="N54" s="96"/>
      <c r="O54" s="96"/>
      <c r="P54" s="96"/>
      <c r="Q54" s="96"/>
      <c r="R54" s="259"/>
      <c r="S54" s="96"/>
      <c r="T54" s="96"/>
      <c r="U54" s="96"/>
      <c r="V54" s="96"/>
      <c r="W54" s="96"/>
      <c r="X54" s="96"/>
      <c r="Y54" s="96"/>
      <c r="Z54" s="96"/>
      <c r="AA54" s="96"/>
      <c r="AB54" s="96" t="s">
        <v>11</v>
      </c>
      <c r="AC54" s="96"/>
      <c r="AD54" s="96"/>
      <c r="AE54" s="96"/>
      <c r="AF54" s="96"/>
      <c r="AG54" s="113"/>
      <c r="AH54" s="151">
        <f t="shared" si="0"/>
        <v>0</v>
      </c>
      <c r="AI54" s="35">
        <f t="shared" si="1"/>
        <v>2</v>
      </c>
      <c r="AJ54" s="35">
        <f t="shared" si="2"/>
        <v>0</v>
      </c>
      <c r="AK54" s="47">
        <f t="shared" si="3"/>
        <v>0</v>
      </c>
      <c r="AL54" s="36">
        <f t="shared" si="4"/>
        <v>0</v>
      </c>
      <c r="AM54" s="37">
        <f t="shared" si="5"/>
        <v>2</v>
      </c>
      <c r="AN54" s="43" t="s">
        <v>336</v>
      </c>
      <c r="AO54" s="38">
        <v>26</v>
      </c>
      <c r="AP54" s="39">
        <f t="shared" si="6"/>
        <v>0.0769230769230769</v>
      </c>
    </row>
    <row r="55" s="105" customFormat="1" ht="19.5" customHeight="1" spans="1:42">
      <c r="A55" s="68">
        <v>44</v>
      </c>
      <c r="B55" s="219" t="s">
        <v>67</v>
      </c>
      <c r="C55" s="150" t="s">
        <v>16</v>
      </c>
      <c r="D55" s="149" t="str">
        <f>VLOOKUP(B55,'[1]MASTER DATA 2025'!$C$3:$E$279,3,0)</f>
        <v>1Tahun3 Bulan</v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259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113"/>
      <c r="AH55" s="151">
        <f t="shared" si="0"/>
        <v>0</v>
      </c>
      <c r="AI55" s="35">
        <f t="shared" si="1"/>
        <v>0</v>
      </c>
      <c r="AJ55" s="36">
        <f t="shared" si="2"/>
        <v>0</v>
      </c>
      <c r="AK55" s="36">
        <f t="shared" si="3"/>
        <v>0</v>
      </c>
      <c r="AL55" s="36">
        <f t="shared" si="4"/>
        <v>0</v>
      </c>
      <c r="AM55" s="37">
        <f t="shared" si="5"/>
        <v>0</v>
      </c>
      <c r="AN55" s="37" t="s">
        <v>25</v>
      </c>
      <c r="AO55" s="38">
        <v>26</v>
      </c>
      <c r="AP55" s="39">
        <f t="shared" si="6"/>
        <v>0</v>
      </c>
    </row>
    <row r="56" s="105" customFormat="1" ht="19.5" customHeight="1" spans="1:42">
      <c r="A56" s="68">
        <v>45</v>
      </c>
      <c r="B56" s="219" t="s">
        <v>68</v>
      </c>
      <c r="C56" s="150" t="s">
        <v>16</v>
      </c>
      <c r="D56" s="152" t="s">
        <v>205</v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259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113"/>
      <c r="AH56" s="151">
        <f t="shared" si="0"/>
        <v>0</v>
      </c>
      <c r="AI56" s="35">
        <f t="shared" si="1"/>
        <v>0</v>
      </c>
      <c r="AJ56" s="36">
        <f t="shared" si="2"/>
        <v>0</v>
      </c>
      <c r="AK56" s="35">
        <f t="shared" si="3"/>
        <v>0</v>
      </c>
      <c r="AL56" s="36">
        <f t="shared" si="4"/>
        <v>0</v>
      </c>
      <c r="AM56" s="37">
        <f t="shared" si="5"/>
        <v>0</v>
      </c>
      <c r="AN56" s="37" t="s">
        <v>272</v>
      </c>
      <c r="AO56" s="38">
        <v>26</v>
      </c>
      <c r="AP56" s="39">
        <f t="shared" si="6"/>
        <v>0</v>
      </c>
    </row>
    <row r="57" s="105" customFormat="1" ht="19.5" customHeight="1" spans="1:42">
      <c r="A57" s="68">
        <v>46</v>
      </c>
      <c r="B57" s="219" t="s">
        <v>69</v>
      </c>
      <c r="C57" s="150" t="s">
        <v>16</v>
      </c>
      <c r="D57" s="149" t="s">
        <v>344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 t="s">
        <v>11</v>
      </c>
      <c r="R57" s="259"/>
      <c r="S57" s="96" t="s">
        <v>11</v>
      </c>
      <c r="T57" s="96"/>
      <c r="U57" s="96" t="s">
        <v>11</v>
      </c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113"/>
      <c r="AH57" s="151">
        <f t="shared" si="0"/>
        <v>0</v>
      </c>
      <c r="AI57" s="35">
        <f t="shared" si="1"/>
        <v>3</v>
      </c>
      <c r="AJ57" s="36">
        <f t="shared" si="2"/>
        <v>0</v>
      </c>
      <c r="AK57" s="36">
        <f t="shared" si="3"/>
        <v>0</v>
      </c>
      <c r="AL57" s="36">
        <f t="shared" si="4"/>
        <v>0</v>
      </c>
      <c r="AM57" s="37">
        <f t="shared" si="5"/>
        <v>3</v>
      </c>
      <c r="AN57" s="156" t="s">
        <v>345</v>
      </c>
      <c r="AO57" s="38">
        <v>26</v>
      </c>
      <c r="AP57" s="39">
        <f t="shared" si="6"/>
        <v>0.115384615384615</v>
      </c>
    </row>
    <row r="58" s="105" customFormat="1" ht="19.5" customHeight="1" spans="1:42">
      <c r="A58" s="68">
        <v>47</v>
      </c>
      <c r="B58" s="219" t="s">
        <v>70</v>
      </c>
      <c r="C58" s="150" t="s">
        <v>59</v>
      </c>
      <c r="D58" s="152" t="s">
        <v>273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 t="s">
        <v>11</v>
      </c>
      <c r="P58" s="96"/>
      <c r="Q58" s="96"/>
      <c r="R58" s="259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113"/>
      <c r="AH58" s="151">
        <f t="shared" si="0"/>
        <v>0</v>
      </c>
      <c r="AI58" s="35">
        <f t="shared" si="1"/>
        <v>1</v>
      </c>
      <c r="AJ58" s="36">
        <f t="shared" si="2"/>
        <v>0</v>
      </c>
      <c r="AK58" s="36">
        <f t="shared" si="3"/>
        <v>0</v>
      </c>
      <c r="AL58" s="36">
        <f t="shared" si="4"/>
        <v>0</v>
      </c>
      <c r="AM58" s="37">
        <f t="shared" si="5"/>
        <v>1</v>
      </c>
      <c r="AN58" s="43" t="s">
        <v>336</v>
      </c>
      <c r="AO58" s="38">
        <v>26</v>
      </c>
      <c r="AP58" s="39">
        <f t="shared" si="6"/>
        <v>0.0384615384615385</v>
      </c>
    </row>
    <row r="59" s="105" customFormat="1" ht="19.5" customHeight="1" spans="1:42">
      <c r="A59" s="68">
        <v>48</v>
      </c>
      <c r="B59" s="219" t="s">
        <v>71</v>
      </c>
      <c r="C59" s="150" t="s">
        <v>59</v>
      </c>
      <c r="D59" s="149" t="str">
        <f>VLOOKUP(B59,'[1]MASTER DATA 2025'!$C$3:$E$279,3,0)</f>
        <v>0Tahun5 Bulan</v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259"/>
      <c r="S59" s="96"/>
      <c r="T59" s="96"/>
      <c r="U59" s="96"/>
      <c r="V59" s="96"/>
      <c r="W59" s="96" t="s">
        <v>11</v>
      </c>
      <c r="X59" s="96"/>
      <c r="Y59" s="96"/>
      <c r="Z59" s="96"/>
      <c r="AA59" s="96"/>
      <c r="AB59" s="96"/>
      <c r="AC59" s="96"/>
      <c r="AD59" s="96"/>
      <c r="AE59" s="96"/>
      <c r="AF59" s="96"/>
      <c r="AG59" s="113"/>
      <c r="AH59" s="151">
        <f t="shared" si="0"/>
        <v>0</v>
      </c>
      <c r="AI59" s="35">
        <f t="shared" si="1"/>
        <v>1</v>
      </c>
      <c r="AJ59" s="36">
        <f t="shared" si="2"/>
        <v>0</v>
      </c>
      <c r="AK59" s="36">
        <f t="shared" si="3"/>
        <v>0</v>
      </c>
      <c r="AL59" s="36">
        <f t="shared" si="4"/>
        <v>0</v>
      </c>
      <c r="AM59" s="37">
        <f t="shared" si="5"/>
        <v>1</v>
      </c>
      <c r="AN59" s="37" t="s">
        <v>25</v>
      </c>
      <c r="AO59" s="38">
        <v>26</v>
      </c>
      <c r="AP59" s="39">
        <f t="shared" si="6"/>
        <v>0.0384615384615385</v>
      </c>
    </row>
    <row r="60" s="105" customFormat="1" ht="19.5" customHeight="1" spans="1:42">
      <c r="A60" s="68">
        <v>49</v>
      </c>
      <c r="B60" s="221" t="s">
        <v>72</v>
      </c>
      <c r="C60" s="163" t="s">
        <v>16</v>
      </c>
      <c r="D60" s="149" t="s">
        <v>153</v>
      </c>
      <c r="E60" s="96" t="s">
        <v>40</v>
      </c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259"/>
      <c r="S60" s="96"/>
      <c r="T60" s="96" t="s">
        <v>11</v>
      </c>
      <c r="U60" s="96"/>
      <c r="V60" s="96"/>
      <c r="W60" s="96"/>
      <c r="X60" s="96"/>
      <c r="Y60" s="96"/>
      <c r="Z60" s="96"/>
      <c r="AA60" s="96"/>
      <c r="AB60" s="96" t="s">
        <v>11</v>
      </c>
      <c r="AC60" s="96"/>
      <c r="AD60" s="96"/>
      <c r="AE60" s="96"/>
      <c r="AF60" s="96"/>
      <c r="AG60" s="113"/>
      <c r="AH60" s="151">
        <f t="shared" si="0"/>
        <v>0</v>
      </c>
      <c r="AI60" s="35">
        <f t="shared" si="1"/>
        <v>3</v>
      </c>
      <c r="AJ60" s="36">
        <f t="shared" si="2"/>
        <v>0</v>
      </c>
      <c r="AK60" s="35">
        <f t="shared" si="3"/>
        <v>0</v>
      </c>
      <c r="AL60" s="36">
        <f t="shared" si="4"/>
        <v>0</v>
      </c>
      <c r="AM60" s="37">
        <f t="shared" si="5"/>
        <v>3</v>
      </c>
      <c r="AN60" s="43" t="s">
        <v>336</v>
      </c>
      <c r="AO60" s="38">
        <v>26</v>
      </c>
      <c r="AP60" s="39">
        <f t="shared" si="6"/>
        <v>0.115384615384615</v>
      </c>
    </row>
    <row r="61" s="105" customFormat="1" ht="19.5" customHeight="1" spans="1:42">
      <c r="A61" s="68">
        <v>50</v>
      </c>
      <c r="B61" s="219" t="s">
        <v>73</v>
      </c>
      <c r="C61" s="150" t="s">
        <v>16</v>
      </c>
      <c r="D61" s="152" t="s">
        <v>346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 t="s">
        <v>11</v>
      </c>
      <c r="P61" s="96"/>
      <c r="Q61" s="96"/>
      <c r="R61" s="259"/>
      <c r="S61" s="96"/>
      <c r="T61" s="96"/>
      <c r="U61" s="96"/>
      <c r="V61" s="96"/>
      <c r="W61" s="96"/>
      <c r="X61" s="96" t="s">
        <v>11</v>
      </c>
      <c r="Y61" s="96"/>
      <c r="Z61" s="96"/>
      <c r="AA61" s="96"/>
      <c r="AB61" s="96"/>
      <c r="AC61" s="96"/>
      <c r="AD61" s="96"/>
      <c r="AE61" s="96"/>
      <c r="AF61" s="96"/>
      <c r="AG61" s="113"/>
      <c r="AH61" s="151">
        <f t="shared" si="0"/>
        <v>0</v>
      </c>
      <c r="AI61" s="35">
        <f t="shared" si="1"/>
        <v>2</v>
      </c>
      <c r="AJ61" s="36">
        <f t="shared" si="2"/>
        <v>0</v>
      </c>
      <c r="AK61" s="35">
        <f t="shared" si="3"/>
        <v>0</v>
      </c>
      <c r="AL61" s="36">
        <f t="shared" si="4"/>
        <v>0</v>
      </c>
      <c r="AM61" s="37">
        <f t="shared" si="5"/>
        <v>2</v>
      </c>
      <c r="AN61" s="43" t="s">
        <v>336</v>
      </c>
      <c r="AO61" s="38">
        <v>26</v>
      </c>
      <c r="AP61" s="39">
        <f t="shared" si="6"/>
        <v>0.0769230769230769</v>
      </c>
    </row>
    <row r="62" s="105" customFormat="1" ht="19.5" customHeight="1" spans="1:42">
      <c r="A62" s="68">
        <v>51</v>
      </c>
      <c r="B62" s="219" t="s">
        <v>74</v>
      </c>
      <c r="C62" s="150" t="s">
        <v>16</v>
      </c>
      <c r="D62" s="149" t="str">
        <f>VLOOKUP(B62,'[1]MASTER DATA 2025'!$C$3:$E$279,3,0)</f>
        <v>0Tahun1 Bulan</v>
      </c>
      <c r="E62" s="96"/>
      <c r="F62" s="96"/>
      <c r="G62" s="96"/>
      <c r="H62" s="96"/>
      <c r="I62" s="96"/>
      <c r="J62" s="96"/>
      <c r="K62" s="96"/>
      <c r="L62" s="96"/>
      <c r="M62" s="241"/>
      <c r="N62" s="241"/>
      <c r="O62" s="96"/>
      <c r="P62" s="96"/>
      <c r="Q62" s="96"/>
      <c r="R62" s="259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113"/>
      <c r="AH62" s="151">
        <f t="shared" si="0"/>
        <v>0</v>
      </c>
      <c r="AI62" s="131">
        <f t="shared" si="1"/>
        <v>0</v>
      </c>
      <c r="AJ62" s="103">
        <f t="shared" si="2"/>
        <v>0</v>
      </c>
      <c r="AK62" s="103">
        <f t="shared" si="3"/>
        <v>0</v>
      </c>
      <c r="AL62" s="103">
        <f t="shared" si="4"/>
        <v>0</v>
      </c>
      <c r="AM62" s="128">
        <f t="shared" si="5"/>
        <v>0</v>
      </c>
      <c r="AN62" s="263" t="s">
        <v>171</v>
      </c>
      <c r="AO62" s="38">
        <v>26</v>
      </c>
      <c r="AP62" s="39">
        <f t="shared" si="6"/>
        <v>0</v>
      </c>
    </row>
    <row r="63" s="105" customFormat="1" ht="19.5" customHeight="1" spans="1:42">
      <c r="A63" s="68">
        <v>52</v>
      </c>
      <c r="B63" s="219" t="s">
        <v>75</v>
      </c>
      <c r="C63" s="150" t="s">
        <v>16</v>
      </c>
      <c r="D63" s="149" t="s">
        <v>219</v>
      </c>
      <c r="E63" s="96"/>
      <c r="F63" s="96"/>
      <c r="G63" s="96"/>
      <c r="H63" s="96"/>
      <c r="I63" s="96"/>
      <c r="J63" s="96"/>
      <c r="K63" s="96"/>
      <c r="L63" s="261"/>
      <c r="M63" s="112" t="s">
        <v>12</v>
      </c>
      <c r="N63" s="112" t="s">
        <v>11</v>
      </c>
      <c r="O63" s="262"/>
      <c r="P63" s="96" t="s">
        <v>11</v>
      </c>
      <c r="Q63" s="96"/>
      <c r="R63" s="259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113"/>
      <c r="AH63" s="151">
        <f t="shared" si="0"/>
        <v>0</v>
      </c>
      <c r="AI63" s="43">
        <f t="shared" si="1"/>
        <v>2</v>
      </c>
      <c r="AJ63" s="43">
        <f t="shared" si="2"/>
        <v>1</v>
      </c>
      <c r="AK63" s="66">
        <f t="shared" si="3"/>
        <v>0</v>
      </c>
      <c r="AL63" s="66">
        <f t="shared" si="4"/>
        <v>0</v>
      </c>
      <c r="AM63" s="43">
        <f t="shared" si="5"/>
        <v>3</v>
      </c>
      <c r="AN63" s="43" t="s">
        <v>336</v>
      </c>
      <c r="AO63" s="68">
        <v>26</v>
      </c>
      <c r="AP63" s="39">
        <f t="shared" si="6"/>
        <v>0.115384615384615</v>
      </c>
    </row>
    <row r="64" s="105" customFormat="1" ht="19.5" customHeight="1" spans="1:42">
      <c r="A64" s="68">
        <v>53</v>
      </c>
      <c r="B64" s="219" t="s">
        <v>76</v>
      </c>
      <c r="C64" s="150" t="s">
        <v>59</v>
      </c>
      <c r="D64" s="152" t="s">
        <v>266</v>
      </c>
      <c r="E64" s="96"/>
      <c r="F64" s="96"/>
      <c r="G64" s="96"/>
      <c r="H64" s="96"/>
      <c r="I64" s="96"/>
      <c r="J64" s="96"/>
      <c r="K64" s="96"/>
      <c r="L64" s="96"/>
      <c r="M64" s="193"/>
      <c r="N64" s="193"/>
      <c r="O64" s="96"/>
      <c r="P64" s="96"/>
      <c r="Q64" s="96"/>
      <c r="R64" s="259"/>
      <c r="S64" s="96"/>
      <c r="T64" s="96"/>
      <c r="U64" s="96"/>
      <c r="V64" s="96"/>
      <c r="W64" s="96"/>
      <c r="X64" s="96"/>
      <c r="Y64" s="96" t="s">
        <v>11</v>
      </c>
      <c r="Z64" s="96"/>
      <c r="AA64" s="96"/>
      <c r="AB64" s="96"/>
      <c r="AC64" s="96"/>
      <c r="AD64" s="96"/>
      <c r="AE64" s="96"/>
      <c r="AF64" s="96"/>
      <c r="AG64" s="113"/>
      <c r="AH64" s="151">
        <f t="shared" si="0"/>
        <v>0</v>
      </c>
      <c r="AI64" s="35">
        <f t="shared" si="1"/>
        <v>1</v>
      </c>
      <c r="AJ64" s="36">
        <f t="shared" si="2"/>
        <v>0</v>
      </c>
      <c r="AK64" s="36">
        <f t="shared" si="3"/>
        <v>0</v>
      </c>
      <c r="AL64" s="36">
        <f t="shared" si="4"/>
        <v>0</v>
      </c>
      <c r="AM64" s="35">
        <f t="shared" si="5"/>
        <v>1</v>
      </c>
      <c r="AN64" s="43" t="s">
        <v>336</v>
      </c>
      <c r="AO64" s="38">
        <v>26</v>
      </c>
      <c r="AP64" s="39">
        <f t="shared" si="6"/>
        <v>0.0384615384615385</v>
      </c>
    </row>
    <row r="65" s="105" customFormat="1" ht="19.5" customHeight="1" spans="1:42">
      <c r="A65" s="68">
        <v>54</v>
      </c>
      <c r="B65" s="219" t="s">
        <v>77</v>
      </c>
      <c r="C65" s="150" t="s">
        <v>16</v>
      </c>
      <c r="D65" s="149" t="str">
        <f>VLOOKUP(B65,'[1]MASTER DATA 2025'!$C$3:$E$279,3,0)</f>
        <v>0Tahun8 Bulan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259"/>
      <c r="S65" s="96"/>
      <c r="T65" s="96"/>
      <c r="U65" s="96"/>
      <c r="V65" s="96"/>
      <c r="W65" s="96"/>
      <c r="X65" s="96"/>
      <c r="Y65" s="96" t="s">
        <v>11</v>
      </c>
      <c r="Z65" s="96"/>
      <c r="AA65" s="96"/>
      <c r="AB65" s="96"/>
      <c r="AC65" s="96"/>
      <c r="AD65" s="96"/>
      <c r="AE65" s="96"/>
      <c r="AF65" s="96"/>
      <c r="AG65" s="113"/>
      <c r="AH65" s="151">
        <f t="shared" si="0"/>
        <v>0</v>
      </c>
      <c r="AI65" s="35">
        <f t="shared" si="1"/>
        <v>1</v>
      </c>
      <c r="AJ65" s="36">
        <f t="shared" si="2"/>
        <v>0</v>
      </c>
      <c r="AK65" s="36">
        <f t="shared" si="3"/>
        <v>0</v>
      </c>
      <c r="AL65" s="36">
        <f t="shared" si="4"/>
        <v>0</v>
      </c>
      <c r="AM65" s="37">
        <f t="shared" si="5"/>
        <v>1</v>
      </c>
      <c r="AN65" s="43" t="s">
        <v>347</v>
      </c>
      <c r="AO65" s="38">
        <v>26</v>
      </c>
      <c r="AP65" s="39">
        <f t="shared" si="6"/>
        <v>0.0384615384615385</v>
      </c>
    </row>
    <row r="66" s="105" customFormat="1" ht="19.5" customHeight="1" spans="1:42">
      <c r="A66" s="68">
        <v>55</v>
      </c>
      <c r="B66" s="219" t="s">
        <v>78</v>
      </c>
      <c r="C66" s="150" t="s">
        <v>16</v>
      </c>
      <c r="D66" s="152" t="s">
        <v>274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259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113"/>
      <c r="AH66" s="151">
        <f t="shared" si="0"/>
        <v>0</v>
      </c>
      <c r="AI66" s="35">
        <f t="shared" si="1"/>
        <v>0</v>
      </c>
      <c r="AJ66" s="36">
        <f t="shared" si="2"/>
        <v>0</v>
      </c>
      <c r="AK66" s="36">
        <f t="shared" si="3"/>
        <v>0</v>
      </c>
      <c r="AL66" s="36">
        <f t="shared" si="4"/>
        <v>0</v>
      </c>
      <c r="AM66" s="37">
        <f t="shared" si="5"/>
        <v>0</v>
      </c>
      <c r="AN66" s="37"/>
      <c r="AO66" s="38">
        <v>26</v>
      </c>
      <c r="AP66" s="39">
        <f t="shared" si="6"/>
        <v>0</v>
      </c>
    </row>
    <row r="67" s="105" customFormat="1" ht="19.5" customHeight="1" spans="1:42">
      <c r="A67" s="68">
        <v>56</v>
      </c>
      <c r="B67" s="219" t="s">
        <v>79</v>
      </c>
      <c r="C67" s="150" t="s">
        <v>16</v>
      </c>
      <c r="D67" s="149" t="str">
        <f>VLOOKUP(B67,'[1]MASTER DATA 2025'!$C$3:$E$279,3,0)</f>
        <v>1Tahun5 Bulan</v>
      </c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259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113"/>
      <c r="AH67" s="151">
        <f t="shared" si="0"/>
        <v>0</v>
      </c>
      <c r="AI67" s="35">
        <f t="shared" si="1"/>
        <v>0</v>
      </c>
      <c r="AJ67" s="36">
        <f t="shared" si="2"/>
        <v>0</v>
      </c>
      <c r="AK67" s="36">
        <f t="shared" si="3"/>
        <v>0</v>
      </c>
      <c r="AL67" s="36">
        <f t="shared" si="4"/>
        <v>0</v>
      </c>
      <c r="AM67" s="37">
        <f t="shared" si="5"/>
        <v>0</v>
      </c>
      <c r="AN67" s="37"/>
      <c r="AO67" s="38">
        <v>26</v>
      </c>
      <c r="AP67" s="39">
        <f t="shared" si="6"/>
        <v>0</v>
      </c>
    </row>
    <row r="68" s="105" customFormat="1" ht="19.5" customHeight="1" spans="1:42">
      <c r="A68" s="68">
        <v>57</v>
      </c>
      <c r="B68" s="219" t="s">
        <v>80</v>
      </c>
      <c r="C68" s="150" t="s">
        <v>16</v>
      </c>
      <c r="D68" s="149" t="str">
        <f>VLOOKUP(B68,'[1]MASTER DATA 2025'!$C$3:$E$279,3,0)</f>
        <v>0Tahun7 Bulan</v>
      </c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259"/>
      <c r="S68" s="96"/>
      <c r="T68" s="96"/>
      <c r="U68" s="96"/>
      <c r="V68" s="96"/>
      <c r="W68" s="96"/>
      <c r="X68" s="96"/>
      <c r="Y68" s="96"/>
      <c r="Z68" s="96"/>
      <c r="AA68" s="96"/>
      <c r="AB68" s="96"/>
      <c r="AC68" s="96"/>
      <c r="AD68" s="96"/>
      <c r="AE68" s="96"/>
      <c r="AF68" s="96"/>
      <c r="AG68" s="113"/>
      <c r="AH68" s="151">
        <f t="shared" si="0"/>
        <v>0</v>
      </c>
      <c r="AI68" s="35">
        <f t="shared" si="1"/>
        <v>0</v>
      </c>
      <c r="AJ68" s="35">
        <f t="shared" si="2"/>
        <v>0</v>
      </c>
      <c r="AK68" s="47">
        <f t="shared" si="3"/>
        <v>0</v>
      </c>
      <c r="AL68" s="36">
        <f t="shared" si="4"/>
        <v>0</v>
      </c>
      <c r="AM68" s="37">
        <f t="shared" si="5"/>
        <v>0</v>
      </c>
      <c r="AN68" s="49">
        <v>45967</v>
      </c>
      <c r="AO68" s="38">
        <v>26</v>
      </c>
      <c r="AP68" s="39">
        <f t="shared" si="6"/>
        <v>0</v>
      </c>
    </row>
    <row r="69" s="105" customFormat="1" ht="19.5" customHeight="1" spans="1:42">
      <c r="A69" s="68">
        <v>58</v>
      </c>
      <c r="B69" s="219" t="s">
        <v>81</v>
      </c>
      <c r="C69" s="150" t="s">
        <v>16</v>
      </c>
      <c r="D69" s="152" t="s">
        <v>308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259"/>
      <c r="S69" s="96"/>
      <c r="T69" s="96"/>
      <c r="U69" s="96"/>
      <c r="V69" s="96"/>
      <c r="W69" s="96"/>
      <c r="X69" s="96"/>
      <c r="Y69" s="96"/>
      <c r="Z69" s="96"/>
      <c r="AA69" s="96" t="s">
        <v>11</v>
      </c>
      <c r="AB69" s="96"/>
      <c r="AC69" s="96"/>
      <c r="AD69" s="96"/>
      <c r="AE69" s="96"/>
      <c r="AF69" s="96"/>
      <c r="AG69" s="113"/>
      <c r="AH69" s="151">
        <f t="shared" si="0"/>
        <v>0</v>
      </c>
      <c r="AI69" s="35">
        <f t="shared" si="1"/>
        <v>1</v>
      </c>
      <c r="AJ69" s="36">
        <f t="shared" si="2"/>
        <v>0</v>
      </c>
      <c r="AK69" s="36">
        <f t="shared" si="3"/>
        <v>0</v>
      </c>
      <c r="AL69" s="36">
        <f t="shared" si="4"/>
        <v>0</v>
      </c>
      <c r="AM69" s="37">
        <f t="shared" si="5"/>
        <v>1</v>
      </c>
      <c r="AN69" s="43" t="s">
        <v>336</v>
      </c>
      <c r="AO69" s="38">
        <v>26</v>
      </c>
      <c r="AP69" s="39">
        <f t="shared" si="6"/>
        <v>0.0384615384615385</v>
      </c>
    </row>
    <row r="70" s="105" customFormat="1" ht="19.5" customHeight="1" spans="1:42">
      <c r="A70" s="68">
        <v>59</v>
      </c>
      <c r="B70" s="219" t="s">
        <v>82</v>
      </c>
      <c r="C70" s="150" t="s">
        <v>16</v>
      </c>
      <c r="D70" s="149" t="str">
        <f>VLOOKUP(B70,'[1]MASTER DATA 2025'!$C$3:$E$279,3,0)</f>
        <v>0Tahun1 Bulan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259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113"/>
      <c r="AH70" s="151">
        <f t="shared" si="0"/>
        <v>0</v>
      </c>
      <c r="AI70" s="35">
        <f t="shared" si="1"/>
        <v>0</v>
      </c>
      <c r="AJ70" s="35">
        <f t="shared" si="2"/>
        <v>0</v>
      </c>
      <c r="AK70" s="47">
        <f t="shared" si="3"/>
        <v>0</v>
      </c>
      <c r="AL70" s="36">
        <f t="shared" si="4"/>
        <v>0</v>
      </c>
      <c r="AM70" s="37">
        <f t="shared" si="5"/>
        <v>0</v>
      </c>
      <c r="AN70" s="37" t="s">
        <v>25</v>
      </c>
      <c r="AO70" s="38">
        <v>26</v>
      </c>
      <c r="AP70" s="39">
        <f t="shared" si="6"/>
        <v>0</v>
      </c>
    </row>
    <row r="71" s="105" customFormat="1" ht="19.5" customHeight="1" spans="1:42">
      <c r="A71" s="68">
        <v>60</v>
      </c>
      <c r="B71" s="219" t="s">
        <v>83</v>
      </c>
      <c r="C71" s="150" t="s">
        <v>16</v>
      </c>
      <c r="D71" s="149" t="str">
        <f>VLOOKUP(B71,'[1]MASTER DATA 2025'!$C$3:$E$279,3,0)</f>
        <v>2Tahun1 Bulan</v>
      </c>
      <c r="E71" s="96"/>
      <c r="F71" s="96"/>
      <c r="G71" s="96"/>
      <c r="H71" s="96"/>
      <c r="I71" s="96"/>
      <c r="J71" s="96"/>
      <c r="K71" s="96"/>
      <c r="L71" s="96"/>
      <c r="M71" s="241"/>
      <c r="N71" s="241"/>
      <c r="O71" s="96"/>
      <c r="P71" s="96"/>
      <c r="Q71" s="96"/>
      <c r="R71" s="259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113"/>
      <c r="AH71" s="151">
        <f t="shared" si="0"/>
        <v>0</v>
      </c>
      <c r="AI71" s="131">
        <f t="shared" si="1"/>
        <v>0</v>
      </c>
      <c r="AJ71" s="103">
        <f t="shared" si="2"/>
        <v>0</v>
      </c>
      <c r="AK71" s="103">
        <f t="shared" si="3"/>
        <v>0</v>
      </c>
      <c r="AL71" s="103">
        <f t="shared" si="4"/>
        <v>0</v>
      </c>
      <c r="AM71" s="128">
        <f t="shared" si="5"/>
        <v>0</v>
      </c>
      <c r="AN71" s="128"/>
      <c r="AO71" s="38">
        <v>26</v>
      </c>
      <c r="AP71" s="39">
        <f t="shared" si="6"/>
        <v>0</v>
      </c>
    </row>
    <row r="72" s="105" customFormat="1" ht="19.5" customHeight="1" spans="1:42">
      <c r="A72" s="68">
        <v>61</v>
      </c>
      <c r="B72" s="219" t="s">
        <v>84</v>
      </c>
      <c r="C72" s="150" t="s">
        <v>59</v>
      </c>
      <c r="D72" s="149" t="s">
        <v>236</v>
      </c>
      <c r="E72" s="96"/>
      <c r="F72" s="96"/>
      <c r="G72" s="96"/>
      <c r="H72" s="96"/>
      <c r="I72" s="96"/>
      <c r="J72" s="96"/>
      <c r="K72" s="96"/>
      <c r="L72" s="261"/>
      <c r="M72" s="112" t="s">
        <v>11</v>
      </c>
      <c r="N72" s="112" t="s">
        <v>11</v>
      </c>
      <c r="O72" s="262"/>
      <c r="P72" s="96"/>
      <c r="Q72" s="96"/>
      <c r="R72" s="259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113"/>
      <c r="AH72" s="151">
        <f t="shared" si="0"/>
        <v>0</v>
      </c>
      <c r="AI72" s="43">
        <f t="shared" si="1"/>
        <v>2</v>
      </c>
      <c r="AJ72" s="66">
        <f t="shared" si="2"/>
        <v>0</v>
      </c>
      <c r="AK72" s="66">
        <f t="shared" si="3"/>
        <v>0</v>
      </c>
      <c r="AL72" s="66">
        <f t="shared" si="4"/>
        <v>0</v>
      </c>
      <c r="AM72" s="43">
        <f t="shared" si="5"/>
        <v>2</v>
      </c>
      <c r="AN72" s="43" t="s">
        <v>348</v>
      </c>
      <c r="AO72" s="68">
        <v>26</v>
      </c>
      <c r="AP72" s="39">
        <f t="shared" si="6"/>
        <v>0.0769230769230769</v>
      </c>
    </row>
    <row r="73" s="105" customFormat="1" ht="19.5" customHeight="1" spans="1:42">
      <c r="A73" s="68">
        <v>62</v>
      </c>
      <c r="B73" s="219" t="s">
        <v>85</v>
      </c>
      <c r="C73" s="150" t="s">
        <v>59</v>
      </c>
      <c r="D73" s="149" t="str">
        <f>VLOOKUP(B73,'[1]MASTER DATA 2025'!$C$3:$E$279,3,0)</f>
        <v>1Tahun3 Bulan</v>
      </c>
      <c r="E73" s="96"/>
      <c r="F73" s="96"/>
      <c r="G73" s="96"/>
      <c r="H73" s="96"/>
      <c r="I73" s="96"/>
      <c r="J73" s="96"/>
      <c r="K73" s="96"/>
      <c r="L73" s="96"/>
      <c r="M73" s="193"/>
      <c r="N73" s="193"/>
      <c r="O73" s="96" t="s">
        <v>11</v>
      </c>
      <c r="P73" s="96" t="s">
        <v>11</v>
      </c>
      <c r="Q73" s="96"/>
      <c r="R73" s="259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113"/>
      <c r="AH73" s="151">
        <f t="shared" si="0"/>
        <v>0</v>
      </c>
      <c r="AI73" s="35">
        <f t="shared" si="1"/>
        <v>2</v>
      </c>
      <c r="AJ73" s="35">
        <f t="shared" si="2"/>
        <v>0</v>
      </c>
      <c r="AK73" s="47">
        <f t="shared" si="3"/>
        <v>0</v>
      </c>
      <c r="AL73" s="36">
        <f t="shared" si="4"/>
        <v>0</v>
      </c>
      <c r="AM73" s="35">
        <f t="shared" si="5"/>
        <v>2</v>
      </c>
      <c r="AN73" s="43" t="s">
        <v>336</v>
      </c>
      <c r="AO73" s="38">
        <v>26</v>
      </c>
      <c r="AP73" s="39">
        <f t="shared" si="6"/>
        <v>0.0769230769230769</v>
      </c>
    </row>
    <row r="74" s="105" customFormat="1" ht="19.5" customHeight="1" spans="1:42">
      <c r="A74" s="68">
        <v>63</v>
      </c>
      <c r="B74" s="219" t="s">
        <v>86</v>
      </c>
      <c r="C74" s="150" t="s">
        <v>59</v>
      </c>
      <c r="D74" s="149" t="s">
        <v>349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259"/>
      <c r="S74" s="96" t="s">
        <v>11</v>
      </c>
      <c r="T74" s="96"/>
      <c r="U74" s="96"/>
      <c r="V74" s="96"/>
      <c r="W74" s="96" t="s">
        <v>103</v>
      </c>
      <c r="X74" s="96" t="s">
        <v>12</v>
      </c>
      <c r="Y74" s="96"/>
      <c r="Z74" s="96"/>
      <c r="AA74" s="96"/>
      <c r="AB74" s="96"/>
      <c r="AC74" s="96"/>
      <c r="AD74" s="96"/>
      <c r="AE74" s="96"/>
      <c r="AF74" s="96"/>
      <c r="AG74" s="113"/>
      <c r="AH74" s="151">
        <f t="shared" si="0"/>
        <v>0</v>
      </c>
      <c r="AI74" s="35">
        <f t="shared" si="1"/>
        <v>1</v>
      </c>
      <c r="AJ74" s="35">
        <f t="shared" si="2"/>
        <v>2</v>
      </c>
      <c r="AK74" s="36">
        <f t="shared" si="3"/>
        <v>0</v>
      </c>
      <c r="AL74" s="36">
        <f t="shared" si="4"/>
        <v>0</v>
      </c>
      <c r="AM74" s="37">
        <f t="shared" si="5"/>
        <v>3</v>
      </c>
      <c r="AN74" s="43"/>
      <c r="AO74" s="38">
        <v>26</v>
      </c>
      <c r="AP74" s="39">
        <f t="shared" si="6"/>
        <v>0.115384615384615</v>
      </c>
    </row>
    <row r="75" s="105" customFormat="1" ht="19.5" customHeight="1" spans="1:42">
      <c r="A75" s="68">
        <v>64</v>
      </c>
      <c r="B75" s="219" t="s">
        <v>86</v>
      </c>
      <c r="C75" s="150" t="s">
        <v>59</v>
      </c>
      <c r="D75" s="152" t="s">
        <v>153</v>
      </c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259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113"/>
      <c r="AH75" s="151">
        <f t="shared" si="0"/>
        <v>0</v>
      </c>
      <c r="AI75" s="35">
        <f t="shared" si="1"/>
        <v>0</v>
      </c>
      <c r="AJ75" s="36">
        <f t="shared" si="2"/>
        <v>0</v>
      </c>
      <c r="AK75" s="35">
        <f t="shared" si="3"/>
        <v>0</v>
      </c>
      <c r="AL75" s="36">
        <f t="shared" si="4"/>
        <v>0</v>
      </c>
      <c r="AM75" s="37">
        <f t="shared" si="5"/>
        <v>0</v>
      </c>
      <c r="AN75" s="156" t="s">
        <v>222</v>
      </c>
      <c r="AO75" s="38">
        <v>26</v>
      </c>
      <c r="AP75" s="39">
        <f t="shared" si="6"/>
        <v>0</v>
      </c>
    </row>
    <row r="76" s="105" customFormat="1" ht="19.5" customHeight="1" spans="1:42">
      <c r="A76" s="68">
        <v>65</v>
      </c>
      <c r="B76" s="219" t="s">
        <v>88</v>
      </c>
      <c r="C76" s="150" t="s">
        <v>16</v>
      </c>
      <c r="D76" s="152" t="s">
        <v>273</v>
      </c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259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113"/>
      <c r="AH76" s="151">
        <f t="shared" ref="AH76:AH139" si="7">COUNTIF(E76:AF76,"H")</f>
        <v>0</v>
      </c>
      <c r="AI76" s="35">
        <f t="shared" ref="AI76:AI139" si="8">COUNTIF(E76:AF76,"S")</f>
        <v>0</v>
      </c>
      <c r="AJ76" s="36">
        <f t="shared" ref="AJ76:AJ139" si="9">COUNTIF(E76:AF76,"I")</f>
        <v>0</v>
      </c>
      <c r="AK76" s="35">
        <f t="shared" ref="AK76:AK139" si="10">COUNTIF(E76:AF76,"A")</f>
        <v>0</v>
      </c>
      <c r="AL76" s="36">
        <f t="shared" ref="AL76:AL130" si="11">COUNTIF(E76:AF76,"OFF")</f>
        <v>0</v>
      </c>
      <c r="AM76" s="37">
        <f t="shared" ref="AM76:AM139" si="12">SUM(AH76:AK76)</f>
        <v>0</v>
      </c>
      <c r="AN76" s="37" t="s">
        <v>228</v>
      </c>
      <c r="AO76" s="38">
        <v>26</v>
      </c>
      <c r="AP76" s="39">
        <f t="shared" ref="AP76:AP91" si="13">AM76/AO76</f>
        <v>0</v>
      </c>
    </row>
    <row r="77" s="105" customFormat="1" ht="19.5" customHeight="1" spans="1:42">
      <c r="A77" s="68">
        <v>66</v>
      </c>
      <c r="B77" s="219" t="s">
        <v>89</v>
      </c>
      <c r="C77" s="150" t="s">
        <v>16</v>
      </c>
      <c r="D77" s="149" t="str">
        <f>VLOOKUP(B77,'[1]MASTER DATA 2025'!$C$3:$E$279,3,0)</f>
        <v>0Tahun2 Bulan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259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113"/>
      <c r="AH77" s="151">
        <f t="shared" si="7"/>
        <v>0</v>
      </c>
      <c r="AI77" s="35">
        <f t="shared" si="8"/>
        <v>0</v>
      </c>
      <c r="AJ77" s="36">
        <f t="shared" si="9"/>
        <v>0</v>
      </c>
      <c r="AK77" s="35">
        <f t="shared" si="10"/>
        <v>0</v>
      </c>
      <c r="AL77" s="36">
        <f t="shared" si="11"/>
        <v>0</v>
      </c>
      <c r="AM77" s="37">
        <f t="shared" si="12"/>
        <v>0</v>
      </c>
      <c r="AN77" s="37" t="s">
        <v>228</v>
      </c>
      <c r="AO77" s="38">
        <v>26</v>
      </c>
      <c r="AP77" s="39">
        <f t="shared" si="13"/>
        <v>0</v>
      </c>
    </row>
    <row r="78" s="105" customFormat="1" ht="19.5" customHeight="1" spans="1:42">
      <c r="A78" s="68">
        <v>67</v>
      </c>
      <c r="B78" s="219" t="s">
        <v>90</v>
      </c>
      <c r="C78" s="150" t="s">
        <v>16</v>
      </c>
      <c r="D78" s="149" t="s">
        <v>266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259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113"/>
      <c r="AH78" s="151">
        <f t="shared" si="7"/>
        <v>0</v>
      </c>
      <c r="AI78" s="35">
        <f t="shared" si="8"/>
        <v>0</v>
      </c>
      <c r="AJ78" s="36">
        <f t="shared" si="9"/>
        <v>0</v>
      </c>
      <c r="AK78" s="36">
        <f t="shared" si="10"/>
        <v>0</v>
      </c>
      <c r="AL78" s="36">
        <f t="shared" si="11"/>
        <v>0</v>
      </c>
      <c r="AM78" s="37">
        <f t="shared" si="12"/>
        <v>0</v>
      </c>
      <c r="AN78" s="37" t="s">
        <v>275</v>
      </c>
      <c r="AO78" s="38">
        <v>26</v>
      </c>
      <c r="AP78" s="39">
        <f t="shared" si="13"/>
        <v>0</v>
      </c>
    </row>
    <row r="79" s="105" customFormat="1" ht="19.5" customHeight="1" spans="1:42">
      <c r="A79" s="68">
        <v>68</v>
      </c>
      <c r="B79" s="264" t="s">
        <v>91</v>
      </c>
      <c r="C79" s="150" t="s">
        <v>16</v>
      </c>
      <c r="D79" s="152" t="s">
        <v>310</v>
      </c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259"/>
      <c r="S79" s="96"/>
      <c r="T79" s="96"/>
      <c r="U79" s="96"/>
      <c r="V79" s="96" t="s">
        <v>11</v>
      </c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113"/>
      <c r="AH79" s="151">
        <f t="shared" si="7"/>
        <v>0</v>
      </c>
      <c r="AI79" s="35">
        <f t="shared" si="8"/>
        <v>1</v>
      </c>
      <c r="AJ79" s="36">
        <f t="shared" si="9"/>
        <v>0</v>
      </c>
      <c r="AK79" s="36">
        <f t="shared" si="10"/>
        <v>0</v>
      </c>
      <c r="AL79" s="36">
        <f t="shared" si="11"/>
        <v>0</v>
      </c>
      <c r="AM79" s="37">
        <f t="shared" si="12"/>
        <v>1</v>
      </c>
      <c r="AN79" s="37" t="s">
        <v>302</v>
      </c>
      <c r="AO79" s="38">
        <v>26</v>
      </c>
      <c r="AP79" s="39">
        <f t="shared" si="13"/>
        <v>0.0384615384615385</v>
      </c>
    </row>
    <row r="80" s="105" customFormat="1" ht="19.5" customHeight="1" spans="1:42">
      <c r="A80" s="68">
        <v>69</v>
      </c>
      <c r="B80" s="219" t="s">
        <v>92</v>
      </c>
      <c r="C80" s="150" t="s">
        <v>16</v>
      </c>
      <c r="D80" s="152" t="s">
        <v>219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259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113"/>
      <c r="AH80" s="151">
        <f t="shared" si="7"/>
        <v>0</v>
      </c>
      <c r="AI80" s="35">
        <f t="shared" si="8"/>
        <v>0</v>
      </c>
      <c r="AJ80" s="36">
        <f t="shared" si="9"/>
        <v>0</v>
      </c>
      <c r="AK80" s="35">
        <f t="shared" si="10"/>
        <v>0</v>
      </c>
      <c r="AL80" s="36">
        <f t="shared" si="11"/>
        <v>0</v>
      </c>
      <c r="AM80" s="37">
        <f t="shared" si="12"/>
        <v>0</v>
      </c>
      <c r="AN80" s="37" t="s">
        <v>228</v>
      </c>
      <c r="AO80" s="38">
        <v>26</v>
      </c>
      <c r="AP80" s="39">
        <f t="shared" si="13"/>
        <v>0</v>
      </c>
    </row>
    <row r="81" s="105" customFormat="1" ht="19.5" customHeight="1" spans="1:42">
      <c r="A81" s="68">
        <v>70</v>
      </c>
      <c r="B81" s="219" t="s">
        <v>93</v>
      </c>
      <c r="C81" s="150" t="s">
        <v>16</v>
      </c>
      <c r="D81" s="149" t="str">
        <f>VLOOKUP(B81,'[1]MASTER DATA 2025'!$C$3:$E$279,3,0)</f>
        <v>0Tahun2 Bulan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259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113"/>
      <c r="AH81" s="151">
        <f t="shared" si="7"/>
        <v>0</v>
      </c>
      <c r="AI81" s="35">
        <f t="shared" si="8"/>
        <v>0</v>
      </c>
      <c r="AJ81" s="36">
        <f t="shared" si="9"/>
        <v>0</v>
      </c>
      <c r="AK81" s="35">
        <f t="shared" si="10"/>
        <v>0</v>
      </c>
      <c r="AL81" s="36">
        <f t="shared" si="11"/>
        <v>0</v>
      </c>
      <c r="AM81" s="37">
        <f t="shared" si="12"/>
        <v>0</v>
      </c>
      <c r="AN81" s="37"/>
      <c r="AO81" s="38">
        <v>26</v>
      </c>
      <c r="AP81" s="39">
        <f t="shared" si="13"/>
        <v>0</v>
      </c>
    </row>
    <row r="82" s="105" customFormat="1" ht="19.5" customHeight="1" spans="1:42">
      <c r="A82" s="68">
        <v>71</v>
      </c>
      <c r="B82" s="219" t="s">
        <v>94</v>
      </c>
      <c r="C82" s="150" t="s">
        <v>16</v>
      </c>
      <c r="D82" s="149" t="str">
        <f>VLOOKUP(B82,'[1]MASTER DATA 2025'!$C$3:$E$279,3,0)</f>
        <v>0Tahun2 Bulan</v>
      </c>
      <c r="E82" s="96"/>
      <c r="F82" s="96"/>
      <c r="G82" s="96"/>
      <c r="H82" s="96"/>
      <c r="I82" s="96"/>
      <c r="J82" s="96"/>
      <c r="K82" s="96"/>
      <c r="L82" s="96"/>
      <c r="M82" s="241"/>
      <c r="N82" s="241"/>
      <c r="O82" s="96"/>
      <c r="P82" s="96"/>
      <c r="Q82" s="96"/>
      <c r="R82" s="259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113"/>
      <c r="AH82" s="151">
        <f t="shared" si="7"/>
        <v>0</v>
      </c>
      <c r="AI82" s="131">
        <f t="shared" si="8"/>
        <v>0</v>
      </c>
      <c r="AJ82" s="103">
        <f t="shared" si="9"/>
        <v>0</v>
      </c>
      <c r="AK82" s="103">
        <f t="shared" si="10"/>
        <v>0</v>
      </c>
      <c r="AL82" s="103">
        <f t="shared" si="11"/>
        <v>0</v>
      </c>
      <c r="AM82" s="128">
        <f t="shared" si="12"/>
        <v>0</v>
      </c>
      <c r="AN82" s="128" t="s">
        <v>25</v>
      </c>
      <c r="AO82" s="38">
        <v>26</v>
      </c>
      <c r="AP82" s="39">
        <f t="shared" si="13"/>
        <v>0</v>
      </c>
    </row>
    <row r="83" s="105" customFormat="1" ht="19.5" customHeight="1" spans="1:42">
      <c r="A83" s="68">
        <v>72</v>
      </c>
      <c r="B83" s="219" t="s">
        <v>95</v>
      </c>
      <c r="C83" s="150" t="s">
        <v>59</v>
      </c>
      <c r="D83" s="152" t="s">
        <v>350</v>
      </c>
      <c r="E83" s="96"/>
      <c r="F83" s="96"/>
      <c r="G83" s="96"/>
      <c r="H83" s="96"/>
      <c r="I83" s="96"/>
      <c r="J83" s="96"/>
      <c r="K83" s="96"/>
      <c r="L83" s="261"/>
      <c r="M83" s="112"/>
      <c r="N83" s="112" t="s">
        <v>11</v>
      </c>
      <c r="O83" s="262"/>
      <c r="P83" s="96"/>
      <c r="Q83" s="96"/>
      <c r="R83" s="259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113"/>
      <c r="AH83" s="151">
        <f t="shared" si="7"/>
        <v>0</v>
      </c>
      <c r="AI83" s="43">
        <f t="shared" si="8"/>
        <v>1</v>
      </c>
      <c r="AJ83" s="66">
        <f t="shared" si="9"/>
        <v>0</v>
      </c>
      <c r="AK83" s="66">
        <f t="shared" si="10"/>
        <v>0</v>
      </c>
      <c r="AL83" s="66">
        <f t="shared" si="11"/>
        <v>0</v>
      </c>
      <c r="AM83" s="43">
        <f t="shared" si="12"/>
        <v>1</v>
      </c>
      <c r="AN83" s="43" t="s">
        <v>351</v>
      </c>
      <c r="AO83" s="68">
        <v>26</v>
      </c>
      <c r="AP83" s="39">
        <f t="shared" si="13"/>
        <v>0.0384615384615385</v>
      </c>
    </row>
    <row r="84" s="105" customFormat="1" ht="19.5" customHeight="1" spans="1:42">
      <c r="A84" s="68">
        <v>73</v>
      </c>
      <c r="B84" s="219" t="s">
        <v>96</v>
      </c>
      <c r="C84" s="150" t="s">
        <v>59</v>
      </c>
      <c r="D84" s="152" t="s">
        <v>276</v>
      </c>
      <c r="E84" s="96"/>
      <c r="F84" s="96"/>
      <c r="G84" s="96"/>
      <c r="H84" s="96"/>
      <c r="I84" s="96"/>
      <c r="J84" s="96"/>
      <c r="K84" s="96"/>
      <c r="L84" s="96"/>
      <c r="M84" s="193"/>
      <c r="N84" s="193"/>
      <c r="O84" s="96"/>
      <c r="P84" s="96"/>
      <c r="Q84" s="96"/>
      <c r="R84" s="259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113"/>
      <c r="AH84" s="151">
        <f t="shared" si="7"/>
        <v>0</v>
      </c>
      <c r="AI84" s="35">
        <f t="shared" si="8"/>
        <v>0</v>
      </c>
      <c r="AJ84" s="35">
        <f t="shared" si="9"/>
        <v>0</v>
      </c>
      <c r="AK84" s="47">
        <f t="shared" si="10"/>
        <v>0</v>
      </c>
      <c r="AL84" s="36">
        <f t="shared" si="11"/>
        <v>0</v>
      </c>
      <c r="AM84" s="35">
        <f t="shared" si="12"/>
        <v>0</v>
      </c>
      <c r="AN84" s="35" t="s">
        <v>228</v>
      </c>
      <c r="AO84" s="38">
        <v>26</v>
      </c>
      <c r="AP84" s="39">
        <f t="shared" si="13"/>
        <v>0</v>
      </c>
    </row>
    <row r="85" s="105" customFormat="1" ht="19.5" customHeight="1" spans="1:42">
      <c r="A85" s="68">
        <v>74</v>
      </c>
      <c r="B85" s="219" t="s">
        <v>97</v>
      </c>
      <c r="C85" s="150" t="s">
        <v>59</v>
      </c>
      <c r="D85" s="152" t="s">
        <v>277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259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113"/>
      <c r="AH85" s="151">
        <f t="shared" si="7"/>
        <v>0</v>
      </c>
      <c r="AI85" s="35">
        <f t="shared" si="8"/>
        <v>0</v>
      </c>
      <c r="AJ85" s="35">
        <f t="shared" si="9"/>
        <v>0</v>
      </c>
      <c r="AK85" s="47">
        <f t="shared" si="10"/>
        <v>0</v>
      </c>
      <c r="AL85" s="36">
        <f t="shared" si="11"/>
        <v>0</v>
      </c>
      <c r="AM85" s="37">
        <f t="shared" si="12"/>
        <v>0</v>
      </c>
      <c r="AN85" s="37" t="s">
        <v>278</v>
      </c>
      <c r="AO85" s="38">
        <v>26</v>
      </c>
      <c r="AP85" s="39">
        <f t="shared" si="13"/>
        <v>0</v>
      </c>
    </row>
    <row r="86" s="105" customFormat="1" ht="19.5" customHeight="1" spans="1:42">
      <c r="A86" s="68">
        <v>75</v>
      </c>
      <c r="B86" s="219" t="s">
        <v>98</v>
      </c>
      <c r="C86" s="150" t="s">
        <v>59</v>
      </c>
      <c r="D86" s="152" t="s">
        <v>352</v>
      </c>
      <c r="E86" s="96"/>
      <c r="F86" s="96"/>
      <c r="G86" s="96"/>
      <c r="H86" s="96"/>
      <c r="I86" s="96"/>
      <c r="J86" s="96"/>
      <c r="K86" s="96"/>
      <c r="L86" s="96"/>
      <c r="M86" s="96"/>
      <c r="N86" s="96" t="s">
        <v>11</v>
      </c>
      <c r="O86" s="96"/>
      <c r="P86" s="96"/>
      <c r="Q86" s="96"/>
      <c r="R86" s="259"/>
      <c r="S86" s="96" t="s">
        <v>11</v>
      </c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113"/>
      <c r="AH86" s="151">
        <f t="shared" si="7"/>
        <v>0</v>
      </c>
      <c r="AI86" s="35">
        <f t="shared" si="8"/>
        <v>2</v>
      </c>
      <c r="AJ86" s="36">
        <f t="shared" si="9"/>
        <v>0</v>
      </c>
      <c r="AK86" s="36">
        <f t="shared" si="10"/>
        <v>0</v>
      </c>
      <c r="AL86" s="36">
        <f t="shared" si="11"/>
        <v>0</v>
      </c>
      <c r="AM86" s="37">
        <f t="shared" si="12"/>
        <v>2</v>
      </c>
      <c r="AN86" s="156" t="s">
        <v>275</v>
      </c>
      <c r="AO86" s="38">
        <v>26</v>
      </c>
      <c r="AP86" s="39">
        <f t="shared" si="13"/>
        <v>0.0769230769230769</v>
      </c>
    </row>
    <row r="87" s="105" customFormat="1" ht="19.5" customHeight="1" spans="1:42">
      <c r="A87" s="68">
        <v>76</v>
      </c>
      <c r="B87" s="219" t="s">
        <v>99</v>
      </c>
      <c r="C87" s="150" t="s">
        <v>16</v>
      </c>
      <c r="D87" s="149" t="s">
        <v>350</v>
      </c>
      <c r="E87" s="96"/>
      <c r="F87" s="96"/>
      <c r="G87" s="96"/>
      <c r="H87" s="96" t="s">
        <v>11</v>
      </c>
      <c r="I87" s="96"/>
      <c r="J87" s="96"/>
      <c r="K87" s="96"/>
      <c r="L87" s="96"/>
      <c r="M87" s="96"/>
      <c r="N87" s="96"/>
      <c r="O87" s="96"/>
      <c r="P87" s="96"/>
      <c r="Q87" s="96"/>
      <c r="R87" s="259"/>
      <c r="S87" s="96"/>
      <c r="T87" s="96" t="s">
        <v>13</v>
      </c>
      <c r="U87" s="96"/>
      <c r="V87" s="96"/>
      <c r="W87" s="96"/>
      <c r="X87" s="96" t="s">
        <v>11</v>
      </c>
      <c r="Y87" s="96"/>
      <c r="Z87" s="96" t="s">
        <v>11</v>
      </c>
      <c r="AA87" s="96"/>
      <c r="AB87" s="96" t="s">
        <v>11</v>
      </c>
      <c r="AC87" s="96"/>
      <c r="AD87" s="96"/>
      <c r="AE87" s="96"/>
      <c r="AF87" s="96"/>
      <c r="AG87" s="113"/>
      <c r="AH87" s="151">
        <f t="shared" si="7"/>
        <v>0</v>
      </c>
      <c r="AI87" s="35">
        <f t="shared" si="8"/>
        <v>4</v>
      </c>
      <c r="AJ87" s="36">
        <f t="shared" si="9"/>
        <v>0</v>
      </c>
      <c r="AK87" s="36">
        <f t="shared" si="10"/>
        <v>1</v>
      </c>
      <c r="AL87" s="36">
        <f t="shared" si="11"/>
        <v>0</v>
      </c>
      <c r="AM87" s="37">
        <f t="shared" si="12"/>
        <v>5</v>
      </c>
      <c r="AN87" s="43" t="s">
        <v>336</v>
      </c>
      <c r="AO87" s="38">
        <v>26</v>
      </c>
      <c r="AP87" s="39">
        <f t="shared" si="13"/>
        <v>0.192307692307692</v>
      </c>
    </row>
    <row r="88" s="105" customFormat="1" ht="19.5" customHeight="1" spans="1:42">
      <c r="A88" s="68">
        <v>77</v>
      </c>
      <c r="B88" s="219" t="s">
        <v>100</v>
      </c>
      <c r="C88" s="150" t="s">
        <v>101</v>
      </c>
      <c r="D88" s="149" t="s">
        <v>231</v>
      </c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259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113"/>
      <c r="AH88" s="151">
        <f t="shared" si="7"/>
        <v>0</v>
      </c>
      <c r="AI88" s="35">
        <f t="shared" si="8"/>
        <v>0</v>
      </c>
      <c r="AJ88" s="35">
        <f t="shared" si="9"/>
        <v>0</v>
      </c>
      <c r="AK88" s="47">
        <f t="shared" si="10"/>
        <v>0</v>
      </c>
      <c r="AL88" s="36">
        <f t="shared" si="11"/>
        <v>0</v>
      </c>
      <c r="AM88" s="37">
        <f t="shared" si="12"/>
        <v>0</v>
      </c>
      <c r="AN88" s="37" t="s">
        <v>216</v>
      </c>
      <c r="AO88" s="38">
        <v>26</v>
      </c>
      <c r="AP88" s="39">
        <f t="shared" si="13"/>
        <v>0</v>
      </c>
    </row>
    <row r="89" s="105" customFormat="1" ht="19.5" customHeight="1" spans="1:42">
      <c r="A89" s="68">
        <v>79</v>
      </c>
      <c r="B89" s="219" t="s">
        <v>104</v>
      </c>
      <c r="C89" s="150" t="s">
        <v>16</v>
      </c>
      <c r="D89" s="149" t="str">
        <f>VLOOKUP(B89,'[1]MASTER DATA 2025'!$C$3:$E$279,3,0)</f>
        <v>2Tahun10 Bulan</v>
      </c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259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113"/>
      <c r="AH89" s="151">
        <f t="shared" si="7"/>
        <v>0</v>
      </c>
      <c r="AI89" s="35">
        <f t="shared" si="8"/>
        <v>0</v>
      </c>
      <c r="AJ89" s="36">
        <f t="shared" si="9"/>
        <v>0</v>
      </c>
      <c r="AK89" s="36">
        <f t="shared" si="10"/>
        <v>0</v>
      </c>
      <c r="AL89" s="36">
        <f t="shared" si="11"/>
        <v>0</v>
      </c>
      <c r="AM89" s="37">
        <f t="shared" si="12"/>
        <v>0</v>
      </c>
      <c r="AN89" s="37" t="s">
        <v>25</v>
      </c>
      <c r="AO89" s="38">
        <v>26</v>
      </c>
      <c r="AP89" s="39">
        <f t="shared" si="13"/>
        <v>0</v>
      </c>
    </row>
    <row r="90" s="105" customFormat="1" ht="19.5" customHeight="1" spans="1:42">
      <c r="A90" s="68">
        <v>80</v>
      </c>
      <c r="B90" s="219" t="s">
        <v>121</v>
      </c>
      <c r="C90" s="150" t="s">
        <v>16</v>
      </c>
      <c r="D90" s="149" t="str">
        <f>VLOOKUP(B90,'[1]MASTER DATA 2025'!$C$3:$E$279,3,0)</f>
        <v>0Tahun5 Bulan</v>
      </c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259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113"/>
      <c r="AH90" s="151">
        <f t="shared" si="7"/>
        <v>0</v>
      </c>
      <c r="AI90" s="35">
        <f t="shared" si="8"/>
        <v>0</v>
      </c>
      <c r="AJ90" s="36">
        <f t="shared" si="9"/>
        <v>0</v>
      </c>
      <c r="AK90" s="35">
        <f t="shared" si="10"/>
        <v>0</v>
      </c>
      <c r="AL90" s="36">
        <f t="shared" si="11"/>
        <v>0</v>
      </c>
      <c r="AM90" s="37">
        <f t="shared" si="12"/>
        <v>0</v>
      </c>
      <c r="AN90" s="37" t="s">
        <v>25</v>
      </c>
      <c r="AO90" s="38">
        <v>26</v>
      </c>
      <c r="AP90" s="39">
        <f t="shared" si="13"/>
        <v>0</v>
      </c>
    </row>
    <row r="91" s="105" customFormat="1" ht="19.5" customHeight="1" spans="1:42">
      <c r="A91" s="68">
        <v>81</v>
      </c>
      <c r="B91" s="219" t="s">
        <v>106</v>
      </c>
      <c r="C91" s="150" t="s">
        <v>59</v>
      </c>
      <c r="D91" s="149" t="str">
        <f>VLOOKUP(B91,'[1]MASTER DATA 2025'!$C$3:$E$279,3,0)</f>
        <v>0Tahun8 Bulan</v>
      </c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259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113"/>
      <c r="AH91" s="151">
        <f t="shared" si="7"/>
        <v>0</v>
      </c>
      <c r="AI91" s="35">
        <f t="shared" si="8"/>
        <v>0</v>
      </c>
      <c r="AJ91" s="36">
        <f t="shared" si="9"/>
        <v>0</v>
      </c>
      <c r="AK91" s="35">
        <f t="shared" si="10"/>
        <v>0</v>
      </c>
      <c r="AL91" s="36">
        <f t="shared" si="11"/>
        <v>0</v>
      </c>
      <c r="AM91" s="37">
        <f t="shared" si="12"/>
        <v>0</v>
      </c>
      <c r="AN91" s="49" t="s">
        <v>120</v>
      </c>
      <c r="AO91" s="38">
        <v>26</v>
      </c>
      <c r="AP91" s="39">
        <f t="shared" si="13"/>
        <v>0</v>
      </c>
    </row>
    <row r="92" s="105" customFormat="1" ht="19.5" customHeight="1" spans="1:42">
      <c r="A92" s="68">
        <v>82</v>
      </c>
      <c r="B92" s="265" t="s">
        <v>107</v>
      </c>
      <c r="C92" s="150" t="s">
        <v>108</v>
      </c>
      <c r="D92" s="149" t="s">
        <v>350</v>
      </c>
      <c r="E92" s="96"/>
      <c r="F92" s="96"/>
      <c r="G92" s="96"/>
      <c r="H92" s="96"/>
      <c r="I92" s="96"/>
      <c r="J92" s="96" t="s">
        <v>11</v>
      </c>
      <c r="K92" s="96"/>
      <c r="L92" s="96"/>
      <c r="M92" s="241"/>
      <c r="N92" s="241"/>
      <c r="O92" s="96"/>
      <c r="P92" s="96"/>
      <c r="Q92" s="96"/>
      <c r="R92" s="259"/>
      <c r="S92" s="96"/>
      <c r="T92" s="96"/>
      <c r="U92" s="96" t="s">
        <v>12</v>
      </c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113"/>
      <c r="AH92" s="151">
        <f t="shared" si="7"/>
        <v>0</v>
      </c>
      <c r="AI92" s="250">
        <f t="shared" si="8"/>
        <v>1</v>
      </c>
      <c r="AJ92" s="103">
        <f t="shared" si="9"/>
        <v>1</v>
      </c>
      <c r="AK92" s="131">
        <f t="shared" si="10"/>
        <v>0</v>
      </c>
      <c r="AL92" s="103">
        <f t="shared" si="11"/>
        <v>0</v>
      </c>
      <c r="AM92" s="128">
        <f t="shared" si="12"/>
        <v>2</v>
      </c>
      <c r="AN92" s="247" t="s">
        <v>353</v>
      </c>
      <c r="AO92" s="38"/>
      <c r="AP92" s="39"/>
    </row>
    <row r="93" s="105" customFormat="1" ht="19.5" customHeight="1" spans="1:42">
      <c r="A93" s="68">
        <v>83</v>
      </c>
      <c r="B93" s="266" t="s">
        <v>109</v>
      </c>
      <c r="C93" s="150" t="s">
        <v>16</v>
      </c>
      <c r="D93" s="149" t="s">
        <v>219</v>
      </c>
      <c r="E93" s="96"/>
      <c r="F93" s="96"/>
      <c r="G93" s="96"/>
      <c r="H93" s="96"/>
      <c r="I93" s="96"/>
      <c r="J93" s="96"/>
      <c r="K93" s="96"/>
      <c r="L93" s="261"/>
      <c r="M93" s="112" t="s">
        <v>11</v>
      </c>
      <c r="N93" s="112"/>
      <c r="O93" s="262"/>
      <c r="P93" s="96"/>
      <c r="Q93" s="96"/>
      <c r="R93" s="259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113"/>
      <c r="AH93" s="151">
        <f t="shared" si="7"/>
        <v>0</v>
      </c>
      <c r="AI93" s="43">
        <f t="shared" si="8"/>
        <v>1</v>
      </c>
      <c r="AJ93" s="43">
        <f t="shared" si="9"/>
        <v>0</v>
      </c>
      <c r="AK93" s="43">
        <f t="shared" si="10"/>
        <v>0</v>
      </c>
      <c r="AL93" s="66">
        <f t="shared" si="11"/>
        <v>0</v>
      </c>
      <c r="AM93" s="43">
        <f t="shared" si="12"/>
        <v>1</v>
      </c>
      <c r="AN93" s="43" t="s">
        <v>354</v>
      </c>
      <c r="AO93" s="68"/>
      <c r="AP93" s="39"/>
    </row>
    <row r="94" s="105" customFormat="1" ht="19.5" customHeight="1" spans="1:42">
      <c r="A94" s="68">
        <v>84</v>
      </c>
      <c r="B94" s="265" t="s">
        <v>110</v>
      </c>
      <c r="C94" s="164" t="s">
        <v>111</v>
      </c>
      <c r="D94" s="149" t="s">
        <v>205</v>
      </c>
      <c r="E94" s="96"/>
      <c r="F94" s="96"/>
      <c r="G94" s="96"/>
      <c r="H94" s="96"/>
      <c r="I94" s="96"/>
      <c r="J94" s="96"/>
      <c r="K94" s="96"/>
      <c r="L94" s="112"/>
      <c r="M94" s="193"/>
      <c r="N94" s="193"/>
      <c r="O94" s="96"/>
      <c r="P94" s="96"/>
      <c r="Q94" s="96"/>
      <c r="R94" s="259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113"/>
      <c r="AH94" s="151">
        <f t="shared" si="7"/>
        <v>0</v>
      </c>
      <c r="AI94" s="35">
        <f t="shared" si="8"/>
        <v>0</v>
      </c>
      <c r="AJ94" s="36">
        <f t="shared" si="9"/>
        <v>0</v>
      </c>
      <c r="AK94" s="36">
        <f t="shared" si="10"/>
        <v>0</v>
      </c>
      <c r="AL94" s="36">
        <f t="shared" si="11"/>
        <v>0</v>
      </c>
      <c r="AM94" s="35">
        <f t="shared" si="12"/>
        <v>0</v>
      </c>
      <c r="AN94" s="35" t="s">
        <v>280</v>
      </c>
      <c r="AO94" s="38"/>
      <c r="AP94" s="39"/>
    </row>
    <row r="95" s="105" customFormat="1" ht="19.5" customHeight="1" spans="1:42">
      <c r="A95" s="68">
        <v>85</v>
      </c>
      <c r="B95" s="249" t="s">
        <v>113</v>
      </c>
      <c r="C95" s="164" t="s">
        <v>16</v>
      </c>
      <c r="D95" s="149" t="s">
        <v>215</v>
      </c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259"/>
      <c r="S95" s="96"/>
      <c r="T95" s="96"/>
      <c r="U95" s="96"/>
      <c r="V95" s="96"/>
      <c r="W95" s="96"/>
      <c r="X95" s="96"/>
      <c r="Y95" s="96"/>
      <c r="Z95" s="96" t="s">
        <v>12</v>
      </c>
      <c r="AA95" s="96"/>
      <c r="AB95" s="96"/>
      <c r="AC95" s="96"/>
      <c r="AD95" s="96"/>
      <c r="AE95" s="96"/>
      <c r="AF95" s="96"/>
      <c r="AG95" s="113"/>
      <c r="AH95" s="151">
        <f t="shared" si="7"/>
        <v>0</v>
      </c>
      <c r="AI95" s="35">
        <f t="shared" si="8"/>
        <v>0</v>
      </c>
      <c r="AJ95" s="35">
        <f t="shared" si="9"/>
        <v>1</v>
      </c>
      <c r="AK95" s="35">
        <f t="shared" si="10"/>
        <v>0</v>
      </c>
      <c r="AL95" s="36">
        <f t="shared" si="11"/>
        <v>0</v>
      </c>
      <c r="AM95" s="37">
        <f t="shared" si="12"/>
        <v>1</v>
      </c>
      <c r="AN95" s="43" t="s">
        <v>336</v>
      </c>
      <c r="AO95" s="38">
        <v>26</v>
      </c>
      <c r="AP95" s="39">
        <f t="shared" ref="AP95:AP101" si="14">AM95/AO95</f>
        <v>0.0384615384615385</v>
      </c>
    </row>
    <row r="96" s="105" customFormat="1" ht="19.5" customHeight="1" spans="1:42">
      <c r="A96" s="68">
        <v>86</v>
      </c>
      <c r="B96" s="249" t="s">
        <v>114</v>
      </c>
      <c r="C96" s="164" t="s">
        <v>16</v>
      </c>
      <c r="D96" s="149" t="s">
        <v>215</v>
      </c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259"/>
      <c r="S96" s="96"/>
      <c r="T96" s="96"/>
      <c r="U96" s="96"/>
      <c r="V96" s="96"/>
      <c r="W96" s="96" t="s">
        <v>11</v>
      </c>
      <c r="X96" s="96"/>
      <c r="Y96" s="96"/>
      <c r="Z96" s="96"/>
      <c r="AA96" s="96" t="s">
        <v>12</v>
      </c>
      <c r="AB96" s="96"/>
      <c r="AC96" s="96"/>
      <c r="AD96" s="96"/>
      <c r="AE96" s="96"/>
      <c r="AF96" s="96"/>
      <c r="AG96" s="113"/>
      <c r="AH96" s="151">
        <f t="shared" si="7"/>
        <v>0</v>
      </c>
      <c r="AI96" s="35">
        <f t="shared" si="8"/>
        <v>1</v>
      </c>
      <c r="AJ96" s="36">
        <f t="shared" si="9"/>
        <v>1</v>
      </c>
      <c r="AK96" s="36">
        <f t="shared" si="10"/>
        <v>0</v>
      </c>
      <c r="AL96" s="36">
        <f t="shared" si="11"/>
        <v>0</v>
      </c>
      <c r="AM96" s="37">
        <f t="shared" si="12"/>
        <v>2</v>
      </c>
      <c r="AN96" s="37" t="s">
        <v>337</v>
      </c>
      <c r="AO96" s="38">
        <v>26</v>
      </c>
      <c r="AP96" s="39">
        <f t="shared" si="14"/>
        <v>0.0769230769230769</v>
      </c>
    </row>
    <row r="97" s="105" customFormat="1" ht="19.5" customHeight="1" spans="1:42">
      <c r="A97" s="68">
        <v>87</v>
      </c>
      <c r="B97" s="249" t="s">
        <v>115</v>
      </c>
      <c r="C97" s="164" t="s">
        <v>16</v>
      </c>
      <c r="D97" s="149" t="str">
        <f>VLOOKUP(B97,'[1]MASTER DATA 2025'!$C$3:$E$279,3,0)</f>
        <v>0Tahun1 Bulan</v>
      </c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259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113"/>
      <c r="AH97" s="151">
        <f t="shared" si="7"/>
        <v>0</v>
      </c>
      <c r="AI97" s="35">
        <f t="shared" si="8"/>
        <v>0</v>
      </c>
      <c r="AJ97" s="36">
        <f t="shared" si="9"/>
        <v>0</v>
      </c>
      <c r="AK97" s="36">
        <f t="shared" si="10"/>
        <v>0</v>
      </c>
      <c r="AL97" s="36">
        <f t="shared" si="11"/>
        <v>0</v>
      </c>
      <c r="AM97" s="37">
        <f t="shared" si="12"/>
        <v>0</v>
      </c>
      <c r="AN97" s="37" t="s">
        <v>228</v>
      </c>
      <c r="AO97" s="38">
        <v>26</v>
      </c>
      <c r="AP97" s="39">
        <f t="shared" si="14"/>
        <v>0</v>
      </c>
    </row>
    <row r="98" s="105" customFormat="1" ht="19.5" customHeight="1" spans="1:42">
      <c r="A98" s="68">
        <v>88</v>
      </c>
      <c r="B98" s="249" t="s">
        <v>122</v>
      </c>
      <c r="C98" s="164" t="s">
        <v>20</v>
      </c>
      <c r="D98" s="149" t="str">
        <f>VLOOKUP(B98,'[1]MASTER DATA 2025'!$C$3:$E$279,3,0)</f>
        <v>0Tahun2 Bulan</v>
      </c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259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113"/>
      <c r="AH98" s="151">
        <f t="shared" si="7"/>
        <v>0</v>
      </c>
      <c r="AI98" s="35">
        <f t="shared" si="8"/>
        <v>0</v>
      </c>
      <c r="AJ98" s="35">
        <f t="shared" si="9"/>
        <v>0</v>
      </c>
      <c r="AK98" s="47">
        <f t="shared" si="10"/>
        <v>0</v>
      </c>
      <c r="AL98" s="36">
        <f t="shared" si="11"/>
        <v>0</v>
      </c>
      <c r="AM98" s="48">
        <f t="shared" si="12"/>
        <v>0</v>
      </c>
      <c r="AN98" s="37" t="s">
        <v>228</v>
      </c>
      <c r="AO98" s="38">
        <v>26</v>
      </c>
      <c r="AP98" s="39">
        <f t="shared" si="14"/>
        <v>0</v>
      </c>
    </row>
    <row r="99" s="105" customFormat="1" ht="19.5" customHeight="1" spans="1:42">
      <c r="A99" s="68">
        <v>89</v>
      </c>
      <c r="B99" s="265" t="s">
        <v>123</v>
      </c>
      <c r="C99" s="164" t="s">
        <v>124</v>
      </c>
      <c r="D99" s="149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259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113"/>
      <c r="AH99" s="151">
        <f t="shared" si="7"/>
        <v>0</v>
      </c>
      <c r="AI99" s="47">
        <f t="shared" si="8"/>
        <v>0</v>
      </c>
      <c r="AJ99" s="35">
        <f t="shared" si="9"/>
        <v>0</v>
      </c>
      <c r="AK99" s="35">
        <f t="shared" si="10"/>
        <v>0</v>
      </c>
      <c r="AL99" s="36">
        <f t="shared" si="11"/>
        <v>0</v>
      </c>
      <c r="AM99" s="48">
        <f t="shared" si="12"/>
        <v>0</v>
      </c>
      <c r="AN99" s="49" t="s">
        <v>125</v>
      </c>
      <c r="AO99" s="38">
        <v>26</v>
      </c>
      <c r="AP99" s="39">
        <f t="shared" si="14"/>
        <v>0</v>
      </c>
    </row>
    <row r="100" s="105" customFormat="1" ht="19.5" customHeight="1" spans="1:42">
      <c r="A100" s="68">
        <v>90</v>
      </c>
      <c r="B100" s="265" t="s">
        <v>126</v>
      </c>
      <c r="C100" s="164" t="s">
        <v>16</v>
      </c>
      <c r="D100" s="149" t="str">
        <f>VLOOKUP(B100,'[1]MASTER DATA 2025'!$C$3:$E$279,3,0)</f>
        <v>0Tahun7 Bulan</v>
      </c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259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113"/>
      <c r="AH100" s="151">
        <f t="shared" si="7"/>
        <v>0</v>
      </c>
      <c r="AI100" s="35">
        <f t="shared" si="8"/>
        <v>0</v>
      </c>
      <c r="AJ100" s="35">
        <f t="shared" si="9"/>
        <v>0</v>
      </c>
      <c r="AK100" s="47">
        <f t="shared" si="10"/>
        <v>0</v>
      </c>
      <c r="AL100" s="36">
        <f t="shared" si="11"/>
        <v>0</v>
      </c>
      <c r="AM100" s="37">
        <f t="shared" si="12"/>
        <v>0</v>
      </c>
      <c r="AN100" s="49">
        <v>45946</v>
      </c>
      <c r="AO100" s="38">
        <v>26</v>
      </c>
      <c r="AP100" s="39">
        <f t="shared" si="14"/>
        <v>0</v>
      </c>
    </row>
    <row r="101" s="105" customFormat="1" ht="19.5" customHeight="1" spans="1:42">
      <c r="A101" s="68">
        <v>91</v>
      </c>
      <c r="B101" s="265" t="s">
        <v>127</v>
      </c>
      <c r="C101" s="164" t="s">
        <v>61</v>
      </c>
      <c r="D101" s="149" t="str">
        <f>VLOOKUP(B101,'[1]MASTER DATA 2025'!$C$3:$E$279,3,0)</f>
        <v>0Tahun8 Bulan</v>
      </c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259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113"/>
      <c r="AH101" s="151">
        <f t="shared" si="7"/>
        <v>0</v>
      </c>
      <c r="AI101" s="47">
        <f t="shared" si="8"/>
        <v>0</v>
      </c>
      <c r="AJ101" s="35">
        <f t="shared" si="9"/>
        <v>0</v>
      </c>
      <c r="AK101" s="35">
        <f t="shared" si="10"/>
        <v>0</v>
      </c>
      <c r="AL101" s="36">
        <f t="shared" si="11"/>
        <v>0</v>
      </c>
      <c r="AM101" s="48">
        <f t="shared" si="12"/>
        <v>0</v>
      </c>
      <c r="AN101" s="81" t="s">
        <v>128</v>
      </c>
      <c r="AO101" s="38">
        <v>26</v>
      </c>
      <c r="AP101" s="39">
        <f t="shared" si="14"/>
        <v>0</v>
      </c>
    </row>
    <row r="102" s="105" customFormat="1" ht="19.5" customHeight="1" spans="1:42">
      <c r="A102" s="68">
        <v>92</v>
      </c>
      <c r="B102" s="265" t="s">
        <v>129</v>
      </c>
      <c r="C102" s="164" t="s">
        <v>235</v>
      </c>
      <c r="D102" s="149" t="s">
        <v>236</v>
      </c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259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113"/>
      <c r="AH102" s="151">
        <f t="shared" si="7"/>
        <v>0</v>
      </c>
      <c r="AI102" s="35">
        <f t="shared" si="8"/>
        <v>0</v>
      </c>
      <c r="AJ102" s="36">
        <f t="shared" si="9"/>
        <v>0</v>
      </c>
      <c r="AK102" s="35">
        <f t="shared" si="10"/>
        <v>0</v>
      </c>
      <c r="AL102" s="36">
        <f t="shared" si="11"/>
        <v>0</v>
      </c>
      <c r="AM102" s="37">
        <f t="shared" si="12"/>
        <v>0</v>
      </c>
      <c r="AN102" s="37" t="s">
        <v>228</v>
      </c>
      <c r="AO102" s="38"/>
      <c r="AP102" s="39"/>
    </row>
    <row r="103" s="105" customFormat="1" ht="19.5" customHeight="1" spans="1:42">
      <c r="A103" s="68">
        <v>93</v>
      </c>
      <c r="B103" s="265" t="s">
        <v>130</v>
      </c>
      <c r="C103" s="164" t="s">
        <v>131</v>
      </c>
      <c r="D103" s="149" t="str">
        <f>VLOOKUP(B103,'[1]MASTER DATA 2025'!$C$3:$E$279,3,0)</f>
        <v>3Tahun1 Bulan</v>
      </c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259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113"/>
      <c r="AH103" s="151">
        <f t="shared" si="7"/>
        <v>0</v>
      </c>
      <c r="AI103" s="35">
        <f t="shared" si="8"/>
        <v>0</v>
      </c>
      <c r="AJ103" s="35">
        <f t="shared" si="9"/>
        <v>0</v>
      </c>
      <c r="AK103" s="35">
        <f t="shared" si="10"/>
        <v>0</v>
      </c>
      <c r="AL103" s="36">
        <f t="shared" si="11"/>
        <v>0</v>
      </c>
      <c r="AM103" s="37">
        <f t="shared" si="12"/>
        <v>0</v>
      </c>
      <c r="AN103" s="37"/>
      <c r="AO103" s="38"/>
      <c r="AP103" s="39"/>
    </row>
    <row r="104" s="105" customFormat="1" ht="19.5" customHeight="1" spans="1:42">
      <c r="A104" s="68">
        <v>94</v>
      </c>
      <c r="B104" s="265" t="s">
        <v>132</v>
      </c>
      <c r="C104" s="164" t="s">
        <v>16</v>
      </c>
      <c r="D104" s="149" t="str">
        <f>VLOOKUP(B104,'[1]MASTER DATA 2025'!$C$3:$E$279,3,0)</f>
        <v>0Tahun1 Bulan</v>
      </c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259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113"/>
      <c r="AH104" s="151">
        <f t="shared" si="7"/>
        <v>0</v>
      </c>
      <c r="AI104" s="35">
        <f t="shared" si="8"/>
        <v>0</v>
      </c>
      <c r="AJ104" s="36">
        <f t="shared" si="9"/>
        <v>0</v>
      </c>
      <c r="AK104" s="35">
        <f t="shared" si="10"/>
        <v>0</v>
      </c>
      <c r="AL104" s="36">
        <f t="shared" si="11"/>
        <v>0</v>
      </c>
      <c r="AM104" s="37">
        <f t="shared" si="12"/>
        <v>0</v>
      </c>
      <c r="AN104" s="37" t="s">
        <v>25</v>
      </c>
      <c r="AO104" s="38">
        <v>26</v>
      </c>
      <c r="AP104" s="39">
        <f t="shared" ref="AP104:AP109" si="15">AM104/AO104</f>
        <v>0</v>
      </c>
    </row>
    <row r="105" s="105" customFormat="1" ht="19.5" customHeight="1" spans="1:42">
      <c r="A105" s="68">
        <v>95</v>
      </c>
      <c r="B105" s="265" t="s">
        <v>133</v>
      </c>
      <c r="C105" s="164" t="s">
        <v>16</v>
      </c>
      <c r="D105" s="149" t="s">
        <v>205</v>
      </c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259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113"/>
      <c r="AH105" s="151">
        <f t="shared" si="7"/>
        <v>0</v>
      </c>
      <c r="AI105" s="35">
        <f t="shared" si="8"/>
        <v>0</v>
      </c>
      <c r="AJ105" s="36">
        <f t="shared" si="9"/>
        <v>0</v>
      </c>
      <c r="AK105" s="36">
        <f t="shared" si="10"/>
        <v>0</v>
      </c>
      <c r="AL105" s="36">
        <f t="shared" si="11"/>
        <v>0</v>
      </c>
      <c r="AM105" s="37">
        <f t="shared" si="12"/>
        <v>0</v>
      </c>
      <c r="AN105" s="37" t="s">
        <v>214</v>
      </c>
      <c r="AO105" s="38">
        <v>26</v>
      </c>
      <c r="AP105" s="39">
        <f t="shared" si="15"/>
        <v>0</v>
      </c>
    </row>
    <row r="106" s="105" customFormat="1" ht="19.5" customHeight="1" spans="1:42">
      <c r="A106" s="68">
        <v>96</v>
      </c>
      <c r="B106" s="265" t="s">
        <v>134</v>
      </c>
      <c r="C106" s="164" t="s">
        <v>16</v>
      </c>
      <c r="D106" s="152" t="s">
        <v>238</v>
      </c>
      <c r="E106" s="96"/>
      <c r="F106" s="96"/>
      <c r="G106" s="96" t="s">
        <v>11</v>
      </c>
      <c r="H106" s="96" t="s">
        <v>11</v>
      </c>
      <c r="I106" s="96"/>
      <c r="J106" s="96"/>
      <c r="K106" s="96"/>
      <c r="L106" s="96"/>
      <c r="M106" s="96"/>
      <c r="N106" s="96"/>
      <c r="O106" s="96"/>
      <c r="P106" s="96"/>
      <c r="Q106" s="96"/>
      <c r="R106" s="259"/>
      <c r="S106" s="96"/>
      <c r="T106" s="96"/>
      <c r="U106" s="96"/>
      <c r="V106" s="96"/>
      <c r="W106" s="96"/>
      <c r="X106" s="96"/>
      <c r="Y106" s="96"/>
      <c r="Z106" s="96" t="s">
        <v>11</v>
      </c>
      <c r="AA106" s="96"/>
      <c r="AB106" s="96"/>
      <c r="AC106" s="96"/>
      <c r="AD106" s="96"/>
      <c r="AE106" s="96"/>
      <c r="AF106" s="96"/>
      <c r="AG106" s="113"/>
      <c r="AH106" s="151">
        <f t="shared" si="7"/>
        <v>0</v>
      </c>
      <c r="AI106" s="35">
        <f t="shared" si="8"/>
        <v>3</v>
      </c>
      <c r="AJ106" s="36">
        <f t="shared" si="9"/>
        <v>0</v>
      </c>
      <c r="AK106" s="36">
        <f t="shared" si="10"/>
        <v>0</v>
      </c>
      <c r="AL106" s="36">
        <f t="shared" si="11"/>
        <v>0</v>
      </c>
      <c r="AM106" s="37">
        <f t="shared" si="12"/>
        <v>3</v>
      </c>
      <c r="AN106" s="43" t="s">
        <v>336</v>
      </c>
      <c r="AO106" s="38">
        <v>26</v>
      </c>
      <c r="AP106" s="39">
        <f t="shared" si="15"/>
        <v>0.115384615384615</v>
      </c>
    </row>
    <row r="107" s="105" customFormat="1" ht="19.5" customHeight="1" spans="1:42">
      <c r="A107" s="68">
        <v>97</v>
      </c>
      <c r="B107" s="264" t="s">
        <v>135</v>
      </c>
      <c r="C107" s="164" t="s">
        <v>16</v>
      </c>
      <c r="D107" s="149" t="s">
        <v>355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259" t="s">
        <v>13</v>
      </c>
      <c r="S107" s="96"/>
      <c r="T107" s="96"/>
      <c r="U107" s="96"/>
      <c r="V107" s="96"/>
      <c r="W107" s="96"/>
      <c r="X107" s="96" t="s">
        <v>11</v>
      </c>
      <c r="Y107" s="96"/>
      <c r="Z107" s="96"/>
      <c r="AA107" s="96"/>
      <c r="AB107" s="96"/>
      <c r="AC107" s="96"/>
      <c r="AD107" s="96"/>
      <c r="AE107" s="96"/>
      <c r="AF107" s="96"/>
      <c r="AG107" s="113"/>
      <c r="AH107" s="151">
        <f t="shared" si="7"/>
        <v>0</v>
      </c>
      <c r="AI107" s="47">
        <f t="shared" si="8"/>
        <v>1</v>
      </c>
      <c r="AJ107" s="35">
        <f t="shared" si="9"/>
        <v>0</v>
      </c>
      <c r="AK107" s="35">
        <f t="shared" si="10"/>
        <v>1</v>
      </c>
      <c r="AL107" s="36">
        <f t="shared" si="11"/>
        <v>0</v>
      </c>
      <c r="AM107" s="37">
        <f t="shared" si="12"/>
        <v>2</v>
      </c>
      <c r="AN107" s="43" t="s">
        <v>336</v>
      </c>
      <c r="AO107" s="38">
        <v>26</v>
      </c>
      <c r="AP107" s="39">
        <f t="shared" si="15"/>
        <v>0.0769230769230769</v>
      </c>
    </row>
    <row r="108" s="105" customFormat="1" ht="19.5" customHeight="1" spans="1:42">
      <c r="A108" s="68">
        <v>98</v>
      </c>
      <c r="B108" s="167" t="s">
        <v>137</v>
      </c>
      <c r="C108" s="164" t="s">
        <v>16</v>
      </c>
      <c r="D108" s="149" t="str">
        <f>VLOOKUP(B108,'[1]MASTER DATA 2025'!$C$3:$E$279,3,0)</f>
        <v>1Tahun7 Bulan</v>
      </c>
      <c r="E108" s="96"/>
      <c r="F108" s="96"/>
      <c r="G108" s="96"/>
      <c r="H108" s="96"/>
      <c r="I108" s="96"/>
      <c r="J108" s="96"/>
      <c r="K108" s="96"/>
      <c r="L108" s="96"/>
      <c r="M108" s="96"/>
      <c r="N108" s="96" t="s">
        <v>11</v>
      </c>
      <c r="O108" s="96"/>
      <c r="P108" s="96"/>
      <c r="Q108" s="96"/>
      <c r="R108" s="259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113"/>
      <c r="AH108" s="151">
        <f t="shared" si="7"/>
        <v>0</v>
      </c>
      <c r="AI108" s="35">
        <f t="shared" si="8"/>
        <v>1</v>
      </c>
      <c r="AJ108" s="35">
        <f t="shared" si="9"/>
        <v>0</v>
      </c>
      <c r="AK108" s="36">
        <f t="shared" si="10"/>
        <v>0</v>
      </c>
      <c r="AL108" s="36">
        <f t="shared" si="11"/>
        <v>0</v>
      </c>
      <c r="AM108" s="37">
        <f t="shared" si="12"/>
        <v>1</v>
      </c>
      <c r="AN108" s="37"/>
      <c r="AO108" s="38">
        <v>26</v>
      </c>
      <c r="AP108" s="39">
        <f t="shared" si="15"/>
        <v>0.0384615384615385</v>
      </c>
    </row>
    <row r="109" s="105" customFormat="1" ht="19.5" customHeight="1" spans="1:42">
      <c r="A109" s="68">
        <v>99</v>
      </c>
      <c r="B109" s="167" t="s">
        <v>138</v>
      </c>
      <c r="C109" s="150" t="s">
        <v>101</v>
      </c>
      <c r="D109" s="149" t="str">
        <f>VLOOKUP(B109,'[1]MASTER DATA 2025'!$C$3:$E$279,3,0)</f>
        <v>1Tahun1 Bulan</v>
      </c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259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113"/>
      <c r="AH109" s="151">
        <f t="shared" si="7"/>
        <v>0</v>
      </c>
      <c r="AI109" s="35">
        <f t="shared" si="8"/>
        <v>0</v>
      </c>
      <c r="AJ109" s="36">
        <f t="shared" si="9"/>
        <v>0</v>
      </c>
      <c r="AK109" s="35">
        <f t="shared" si="10"/>
        <v>0</v>
      </c>
      <c r="AL109" s="36">
        <f t="shared" si="11"/>
        <v>0</v>
      </c>
      <c r="AM109" s="37">
        <f t="shared" si="12"/>
        <v>0</v>
      </c>
      <c r="AN109" s="37" t="s">
        <v>228</v>
      </c>
      <c r="AO109" s="38">
        <v>26</v>
      </c>
      <c r="AP109" s="39">
        <f t="shared" si="15"/>
        <v>0</v>
      </c>
    </row>
    <row r="110" s="105" customFormat="1" ht="19.5" customHeight="1" spans="1:42">
      <c r="A110" s="68">
        <v>100</v>
      </c>
      <c r="B110" s="167" t="s">
        <v>139</v>
      </c>
      <c r="C110" s="164" t="s">
        <v>16</v>
      </c>
      <c r="D110" s="152" t="s">
        <v>356</v>
      </c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 t="s">
        <v>11</v>
      </c>
      <c r="Q110" s="96"/>
      <c r="R110" s="259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113"/>
      <c r="AH110" s="151">
        <f t="shared" si="7"/>
        <v>0</v>
      </c>
      <c r="AI110" s="35">
        <f t="shared" si="8"/>
        <v>1</v>
      </c>
      <c r="AJ110" s="36">
        <f t="shared" si="9"/>
        <v>0</v>
      </c>
      <c r="AK110" s="35">
        <f t="shared" si="10"/>
        <v>0</v>
      </c>
      <c r="AL110" s="36">
        <f t="shared" si="11"/>
        <v>0</v>
      </c>
      <c r="AM110" s="37">
        <f t="shared" si="12"/>
        <v>1</v>
      </c>
      <c r="AN110" s="156" t="s">
        <v>275</v>
      </c>
      <c r="AO110" s="38"/>
      <c r="AP110" s="39"/>
    </row>
    <row r="111" s="105" customFormat="1" ht="19.5" customHeight="1" spans="1:42">
      <c r="A111" s="68">
        <v>101</v>
      </c>
      <c r="B111" s="265" t="s">
        <v>140</v>
      </c>
      <c r="C111" s="164" t="s">
        <v>16</v>
      </c>
      <c r="D111" s="149" t="str">
        <f>VLOOKUP(B111,'[1]MASTER DATA 2025'!$C$3:$E$279,3,0)</f>
        <v>2Tahun2 Bulan</v>
      </c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259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113"/>
      <c r="AH111" s="151">
        <f t="shared" si="7"/>
        <v>0</v>
      </c>
      <c r="AI111" s="35">
        <f t="shared" si="8"/>
        <v>0</v>
      </c>
      <c r="AJ111" s="36">
        <f t="shared" si="9"/>
        <v>0</v>
      </c>
      <c r="AK111" s="35">
        <f t="shared" si="10"/>
        <v>0</v>
      </c>
      <c r="AL111" s="36">
        <f t="shared" si="11"/>
        <v>0</v>
      </c>
      <c r="AM111" s="37">
        <f t="shared" si="12"/>
        <v>0</v>
      </c>
      <c r="AN111" s="37" t="s">
        <v>25</v>
      </c>
      <c r="AO111" s="38"/>
      <c r="AP111" s="39"/>
    </row>
    <row r="112" s="105" customFormat="1" ht="19.5" customHeight="1" spans="1:42">
      <c r="A112" s="68">
        <v>102</v>
      </c>
      <c r="B112" s="265" t="s">
        <v>141</v>
      </c>
      <c r="C112" s="164" t="s">
        <v>20</v>
      </c>
      <c r="D112" s="149" t="str">
        <f>VLOOKUP(B112,'[1]MASTER DATA 2025'!$C$3:$E$279,3,0)</f>
        <v>0Tahun1 Bulan</v>
      </c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259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113"/>
      <c r="AH112" s="151">
        <f t="shared" si="7"/>
        <v>0</v>
      </c>
      <c r="AI112" s="35">
        <f t="shared" si="8"/>
        <v>0</v>
      </c>
      <c r="AJ112" s="36">
        <f t="shared" si="9"/>
        <v>0</v>
      </c>
      <c r="AK112" s="35">
        <f t="shared" si="10"/>
        <v>0</v>
      </c>
      <c r="AL112" s="36">
        <f t="shared" si="11"/>
        <v>0</v>
      </c>
      <c r="AM112" s="37">
        <f t="shared" si="12"/>
        <v>0</v>
      </c>
      <c r="AN112" s="49">
        <v>45967</v>
      </c>
      <c r="AO112" s="38">
        <v>26</v>
      </c>
      <c r="AP112" s="39">
        <f t="shared" ref="AP112:AP117" si="16">AM112/AO112</f>
        <v>0</v>
      </c>
    </row>
    <row r="113" s="105" customFormat="1" ht="19.5" customHeight="1" spans="1:42">
      <c r="A113" s="68">
        <v>103</v>
      </c>
      <c r="B113" s="265" t="s">
        <v>142</v>
      </c>
      <c r="C113" s="164" t="s">
        <v>20</v>
      </c>
      <c r="D113" s="149" t="str">
        <f>VLOOKUP(B113,'[1]MASTER DATA 2025'!$C$3:$E$279,3,0)</f>
        <v>0Tahun2 Bulan</v>
      </c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259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113"/>
      <c r="AH113" s="151">
        <f t="shared" si="7"/>
        <v>0</v>
      </c>
      <c r="AI113" s="35">
        <f t="shared" si="8"/>
        <v>0</v>
      </c>
      <c r="AJ113" s="35">
        <f t="shared" si="9"/>
        <v>0</v>
      </c>
      <c r="AK113" s="47">
        <f t="shared" si="10"/>
        <v>0</v>
      </c>
      <c r="AL113" s="36">
        <f t="shared" si="11"/>
        <v>0</v>
      </c>
      <c r="AM113" s="37">
        <f t="shared" si="12"/>
        <v>0</v>
      </c>
      <c r="AN113" s="37" t="s">
        <v>173</v>
      </c>
      <c r="AO113" s="38">
        <v>26</v>
      </c>
      <c r="AP113" s="39">
        <f t="shared" si="16"/>
        <v>0</v>
      </c>
    </row>
    <row r="114" s="105" customFormat="1" ht="19.5" customHeight="1" spans="1:42">
      <c r="A114" s="68">
        <v>104</v>
      </c>
      <c r="B114" s="265" t="s">
        <v>143</v>
      </c>
      <c r="C114" s="164" t="s">
        <v>61</v>
      </c>
      <c r="D114" s="149" t="str">
        <f>VLOOKUP(B114,'[1]MASTER DATA 2025'!$C$3:$E$279,3,0)</f>
        <v>0Tahun9 Bulan</v>
      </c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 t="s">
        <v>11</v>
      </c>
      <c r="R114" s="259"/>
      <c r="S114" s="96" t="s">
        <v>13</v>
      </c>
      <c r="T114" s="96" t="s">
        <v>13</v>
      </c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113"/>
      <c r="AH114" s="151">
        <f t="shared" si="7"/>
        <v>0</v>
      </c>
      <c r="AI114" s="47">
        <f t="shared" si="8"/>
        <v>1</v>
      </c>
      <c r="AJ114" s="35">
        <f t="shared" si="9"/>
        <v>0</v>
      </c>
      <c r="AK114" s="35">
        <f t="shared" si="10"/>
        <v>2</v>
      </c>
      <c r="AL114" s="36">
        <f t="shared" si="11"/>
        <v>0</v>
      </c>
      <c r="AM114" s="48">
        <f t="shared" si="12"/>
        <v>3</v>
      </c>
      <c r="AN114" s="156" t="s">
        <v>275</v>
      </c>
      <c r="AO114" s="38">
        <v>26</v>
      </c>
      <c r="AP114" s="39">
        <f t="shared" si="16"/>
        <v>0.115384615384615</v>
      </c>
    </row>
    <row r="115" s="105" customFormat="1" ht="19.5" customHeight="1" spans="1:42">
      <c r="A115" s="68">
        <v>105</v>
      </c>
      <c r="B115" s="265" t="s">
        <v>144</v>
      </c>
      <c r="C115" s="164" t="s">
        <v>357</v>
      </c>
      <c r="D115" s="149" t="s">
        <v>236</v>
      </c>
      <c r="E115" s="96"/>
      <c r="F115" s="96"/>
      <c r="G115" s="96"/>
      <c r="H115" s="96"/>
      <c r="I115" s="96" t="s">
        <v>11</v>
      </c>
      <c r="J115" s="96"/>
      <c r="K115" s="96"/>
      <c r="L115" s="96"/>
      <c r="M115" s="96"/>
      <c r="N115" s="96"/>
      <c r="O115" s="96"/>
      <c r="P115" s="96"/>
      <c r="Q115" s="96"/>
      <c r="R115" s="259"/>
      <c r="S115" s="96"/>
      <c r="T115" s="96"/>
      <c r="U115" s="96"/>
      <c r="V115" s="96"/>
      <c r="W115" s="96"/>
      <c r="X115" s="96"/>
      <c r="Y115" s="96" t="s">
        <v>11</v>
      </c>
      <c r="Z115" s="96"/>
      <c r="AA115" s="96"/>
      <c r="AB115" s="96"/>
      <c r="AC115" s="96"/>
      <c r="AD115" s="96"/>
      <c r="AE115" s="96"/>
      <c r="AF115" s="96"/>
      <c r="AG115" s="113"/>
      <c r="AH115" s="151">
        <f t="shared" si="7"/>
        <v>0</v>
      </c>
      <c r="AI115" s="35">
        <f t="shared" si="8"/>
        <v>2</v>
      </c>
      <c r="AJ115" s="35">
        <f t="shared" si="9"/>
        <v>0</v>
      </c>
      <c r="AK115" s="35">
        <f t="shared" si="10"/>
        <v>0</v>
      </c>
      <c r="AL115" s="36">
        <f t="shared" si="11"/>
        <v>0</v>
      </c>
      <c r="AM115" s="37">
        <f t="shared" si="12"/>
        <v>2</v>
      </c>
      <c r="AN115" s="37" t="s">
        <v>305</v>
      </c>
      <c r="AO115" s="38">
        <v>26</v>
      </c>
      <c r="AP115" s="39">
        <f t="shared" si="16"/>
        <v>0.0769230769230769</v>
      </c>
    </row>
    <row r="116" s="105" customFormat="1" ht="19.5" customHeight="1" spans="1:42">
      <c r="A116" s="68">
        <v>106</v>
      </c>
      <c r="B116" s="265" t="s">
        <v>145</v>
      </c>
      <c r="C116" s="164" t="s">
        <v>16</v>
      </c>
      <c r="D116" s="149" t="s">
        <v>219</v>
      </c>
      <c r="E116" s="96"/>
      <c r="F116" s="96"/>
      <c r="G116" s="96"/>
      <c r="H116" s="96"/>
      <c r="I116" s="96"/>
      <c r="J116" s="96"/>
      <c r="K116" s="96" t="s">
        <v>11</v>
      </c>
      <c r="L116" s="96"/>
      <c r="M116" s="96"/>
      <c r="N116" s="96"/>
      <c r="O116" s="96"/>
      <c r="P116" s="96"/>
      <c r="Q116" s="96"/>
      <c r="R116" s="259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113"/>
      <c r="AH116" s="151">
        <f t="shared" si="7"/>
        <v>0</v>
      </c>
      <c r="AI116" s="47">
        <f t="shared" si="8"/>
        <v>1</v>
      </c>
      <c r="AJ116" s="35">
        <f t="shared" si="9"/>
        <v>0</v>
      </c>
      <c r="AK116" s="35">
        <f t="shared" si="10"/>
        <v>0</v>
      </c>
      <c r="AL116" s="36">
        <f t="shared" si="11"/>
        <v>0</v>
      </c>
      <c r="AM116" s="48">
        <f t="shared" si="12"/>
        <v>1</v>
      </c>
      <c r="AN116" s="37" t="s">
        <v>281</v>
      </c>
      <c r="AO116" s="38">
        <v>26</v>
      </c>
      <c r="AP116" s="39">
        <f t="shared" si="16"/>
        <v>0.0384615384615385</v>
      </c>
    </row>
    <row r="117" s="105" customFormat="1" ht="19.5" customHeight="1" spans="1:42">
      <c r="A117" s="68">
        <v>107</v>
      </c>
      <c r="B117" s="265" t="s">
        <v>146</v>
      </c>
      <c r="C117" s="164" t="s">
        <v>16</v>
      </c>
      <c r="D117" s="149" t="str">
        <f>VLOOKUP(B117,'[1]MASTER DATA 2025'!$C$3:$E$279,3,0)</f>
        <v>1Tahun1 Bulan</v>
      </c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259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113"/>
      <c r="AH117" s="151">
        <f t="shared" si="7"/>
        <v>0</v>
      </c>
      <c r="AI117" s="47">
        <f t="shared" si="8"/>
        <v>0</v>
      </c>
      <c r="AJ117" s="35">
        <f t="shared" si="9"/>
        <v>0</v>
      </c>
      <c r="AK117" s="35">
        <f t="shared" si="10"/>
        <v>0</v>
      </c>
      <c r="AL117" s="36">
        <f t="shared" si="11"/>
        <v>0</v>
      </c>
      <c r="AM117" s="48">
        <f t="shared" si="12"/>
        <v>0</v>
      </c>
      <c r="AN117" s="37" t="s">
        <v>228</v>
      </c>
      <c r="AO117" s="38">
        <v>26</v>
      </c>
      <c r="AP117" s="39">
        <f t="shared" si="16"/>
        <v>0</v>
      </c>
    </row>
    <row r="118" s="105" customFormat="1" ht="19.5" customHeight="1" spans="1:42">
      <c r="A118" s="68">
        <v>108</v>
      </c>
      <c r="B118" s="265" t="s">
        <v>147</v>
      </c>
      <c r="C118" s="164" t="s">
        <v>240</v>
      </c>
      <c r="D118" s="149" t="s">
        <v>205</v>
      </c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259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113"/>
      <c r="AH118" s="151">
        <f t="shared" si="7"/>
        <v>0</v>
      </c>
      <c r="AI118" s="47">
        <f t="shared" si="8"/>
        <v>0</v>
      </c>
      <c r="AJ118" s="35">
        <f t="shared" si="9"/>
        <v>0</v>
      </c>
      <c r="AK118" s="35">
        <f t="shared" si="10"/>
        <v>0</v>
      </c>
      <c r="AL118" s="36">
        <f t="shared" si="11"/>
        <v>0</v>
      </c>
      <c r="AM118" s="48">
        <f t="shared" si="12"/>
        <v>0</v>
      </c>
      <c r="AN118" s="37" t="s">
        <v>228</v>
      </c>
      <c r="AO118" s="38"/>
      <c r="AP118" s="39"/>
    </row>
    <row r="119" s="105" customFormat="1" ht="19.5" customHeight="1" spans="1:42">
      <c r="A119" s="68">
        <v>109</v>
      </c>
      <c r="B119" s="267" t="s">
        <v>148</v>
      </c>
      <c r="C119" s="164" t="s">
        <v>16</v>
      </c>
      <c r="D119" s="152" t="s">
        <v>205</v>
      </c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 t="s">
        <v>11</v>
      </c>
      <c r="P119" s="96"/>
      <c r="Q119" s="96"/>
      <c r="R119" s="259"/>
      <c r="S119" s="96"/>
      <c r="T119" s="96"/>
      <c r="U119" s="96"/>
      <c r="V119" s="96"/>
      <c r="W119" s="96"/>
      <c r="X119" s="96"/>
      <c r="Y119" s="96"/>
      <c r="Z119" s="96"/>
      <c r="AA119" s="96" t="s">
        <v>11</v>
      </c>
      <c r="AB119" s="96" t="s">
        <v>11</v>
      </c>
      <c r="AC119" s="96"/>
      <c r="AD119" s="96"/>
      <c r="AE119" s="96"/>
      <c r="AF119" s="96"/>
      <c r="AG119" s="113"/>
      <c r="AH119" s="151">
        <f t="shared" si="7"/>
        <v>0</v>
      </c>
      <c r="AI119" s="35">
        <f t="shared" si="8"/>
        <v>3</v>
      </c>
      <c r="AJ119" s="36">
        <f t="shared" si="9"/>
        <v>0</v>
      </c>
      <c r="AK119" s="35">
        <f t="shared" si="10"/>
        <v>0</v>
      </c>
      <c r="AL119" s="36">
        <f t="shared" si="11"/>
        <v>0</v>
      </c>
      <c r="AM119" s="37">
        <f t="shared" si="12"/>
        <v>3</v>
      </c>
      <c r="AN119" s="43" t="s">
        <v>336</v>
      </c>
      <c r="AO119" s="38"/>
      <c r="AP119" s="39"/>
    </row>
    <row r="120" s="105" customFormat="1" ht="19.5" customHeight="1" spans="1:42">
      <c r="A120" s="68">
        <v>110</v>
      </c>
      <c r="B120" s="265" t="s">
        <v>149</v>
      </c>
      <c r="C120" s="164" t="s">
        <v>16</v>
      </c>
      <c r="D120" s="152" t="s">
        <v>219</v>
      </c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259"/>
      <c r="S120" s="96"/>
      <c r="T120" s="96"/>
      <c r="U120" s="96" t="s">
        <v>11</v>
      </c>
      <c r="V120" s="96"/>
      <c r="W120" s="96"/>
      <c r="X120" s="96" t="s">
        <v>11</v>
      </c>
      <c r="Y120" s="96" t="s">
        <v>11</v>
      </c>
      <c r="Z120" s="96"/>
      <c r="AA120" s="96"/>
      <c r="AB120" s="96" t="s">
        <v>13</v>
      </c>
      <c r="AC120" s="96" t="s">
        <v>13</v>
      </c>
      <c r="AD120" s="96"/>
      <c r="AE120" s="96"/>
      <c r="AF120" s="96"/>
      <c r="AG120" s="113"/>
      <c r="AH120" s="151">
        <f t="shared" si="7"/>
        <v>0</v>
      </c>
      <c r="AI120" s="35">
        <f t="shared" si="8"/>
        <v>3</v>
      </c>
      <c r="AJ120" s="36">
        <f t="shared" si="9"/>
        <v>0</v>
      </c>
      <c r="AK120" s="35">
        <f t="shared" si="10"/>
        <v>2</v>
      </c>
      <c r="AL120" s="36">
        <f t="shared" si="11"/>
        <v>0</v>
      </c>
      <c r="AM120" s="37">
        <f t="shared" si="12"/>
        <v>5</v>
      </c>
      <c r="AN120" s="43" t="s">
        <v>171</v>
      </c>
      <c r="AO120" s="38"/>
      <c r="AP120" s="39"/>
    </row>
    <row r="121" s="105" customFormat="1" ht="19.5" customHeight="1" spans="1:42">
      <c r="A121" s="68">
        <v>111</v>
      </c>
      <c r="B121" s="265" t="s">
        <v>150</v>
      </c>
      <c r="C121" s="164" t="s">
        <v>16</v>
      </c>
      <c r="D121" s="149" t="str">
        <f>VLOOKUP(B121,'[1]MASTER DATA 2025'!$C$3:$E$279,3,0)</f>
        <v>1Tahun7 Bulan</v>
      </c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259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113"/>
      <c r="AH121" s="151">
        <f t="shared" si="7"/>
        <v>0</v>
      </c>
      <c r="AI121" s="35">
        <f t="shared" si="8"/>
        <v>0</v>
      </c>
      <c r="AJ121" s="36">
        <f t="shared" si="9"/>
        <v>0</v>
      </c>
      <c r="AK121" s="35">
        <f t="shared" si="10"/>
        <v>0</v>
      </c>
      <c r="AL121" s="36">
        <f t="shared" si="11"/>
        <v>0</v>
      </c>
      <c r="AM121" s="37">
        <f t="shared" si="12"/>
        <v>0</v>
      </c>
      <c r="AN121" s="37" t="s">
        <v>25</v>
      </c>
      <c r="AO121" s="38"/>
      <c r="AP121" s="39"/>
    </row>
    <row r="122" s="105" customFormat="1" ht="21" customHeight="1" spans="1:42">
      <c r="A122" s="68">
        <v>112</v>
      </c>
      <c r="B122" s="265" t="s">
        <v>151</v>
      </c>
      <c r="C122" s="164" t="s">
        <v>241</v>
      </c>
      <c r="D122" s="152" t="s">
        <v>217</v>
      </c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259" t="s">
        <v>11</v>
      </c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113"/>
      <c r="AH122" s="151">
        <f t="shared" si="7"/>
        <v>0</v>
      </c>
      <c r="AI122" s="35">
        <f t="shared" si="8"/>
        <v>1</v>
      </c>
      <c r="AJ122" s="36">
        <f t="shared" si="9"/>
        <v>0</v>
      </c>
      <c r="AK122" s="35">
        <f t="shared" si="10"/>
        <v>0</v>
      </c>
      <c r="AL122" s="36">
        <f t="shared" si="11"/>
        <v>0</v>
      </c>
      <c r="AM122" s="37">
        <f t="shared" si="12"/>
        <v>1</v>
      </c>
      <c r="AN122" s="156" t="s">
        <v>275</v>
      </c>
      <c r="AO122" s="38"/>
      <c r="AP122" s="39"/>
    </row>
    <row r="123" s="105" customFormat="1" ht="19.5" customHeight="1" spans="1:42">
      <c r="A123" s="68">
        <v>113</v>
      </c>
      <c r="B123" s="264" t="s">
        <v>152</v>
      </c>
      <c r="C123" s="164" t="s">
        <v>20</v>
      </c>
      <c r="D123" s="152" t="s">
        <v>236</v>
      </c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259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113"/>
      <c r="AH123" s="151">
        <f t="shared" si="7"/>
        <v>0</v>
      </c>
      <c r="AI123" s="47">
        <f t="shared" si="8"/>
        <v>0</v>
      </c>
      <c r="AJ123" s="35">
        <f t="shared" si="9"/>
        <v>0</v>
      </c>
      <c r="AK123" s="35">
        <f t="shared" si="10"/>
        <v>0</v>
      </c>
      <c r="AL123" s="36">
        <f t="shared" si="11"/>
        <v>0</v>
      </c>
      <c r="AM123" s="48">
        <f t="shared" si="12"/>
        <v>0</v>
      </c>
      <c r="AN123" s="37" t="s">
        <v>214</v>
      </c>
      <c r="AO123" s="38"/>
      <c r="AP123" s="39"/>
    </row>
    <row r="124" s="105" customFormat="1" ht="19.5" customHeight="1" spans="1:42">
      <c r="A124" s="68">
        <v>114</v>
      </c>
      <c r="B124" s="265" t="s">
        <v>154</v>
      </c>
      <c r="C124" s="164" t="s">
        <v>59</v>
      </c>
      <c r="D124" s="149" t="str">
        <f>VLOOKUP(B124,'[1]MASTER DATA 2025'!$C$3:$E$279,3,0)</f>
        <v>1Tahun2 Bulan</v>
      </c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259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113"/>
      <c r="AH124" s="151">
        <f t="shared" si="7"/>
        <v>0</v>
      </c>
      <c r="AI124" s="47">
        <f t="shared" si="8"/>
        <v>0</v>
      </c>
      <c r="AJ124" s="35">
        <f t="shared" si="9"/>
        <v>0</v>
      </c>
      <c r="AK124" s="35">
        <f t="shared" si="10"/>
        <v>0</v>
      </c>
      <c r="AL124" s="36">
        <f t="shared" si="11"/>
        <v>0</v>
      </c>
      <c r="AM124" s="48">
        <f t="shared" si="12"/>
        <v>0</v>
      </c>
      <c r="AN124" s="37" t="s">
        <v>25</v>
      </c>
      <c r="AO124" s="38">
        <v>26</v>
      </c>
      <c r="AP124" s="39">
        <f>AM124/AO124</f>
        <v>0</v>
      </c>
    </row>
    <row r="125" s="105" customFormat="1" ht="19.5" customHeight="1" spans="1:42">
      <c r="A125" s="68">
        <v>115</v>
      </c>
      <c r="B125" s="265" t="s">
        <v>155</v>
      </c>
      <c r="C125" s="164" t="s">
        <v>59</v>
      </c>
      <c r="D125" s="149" t="str">
        <f>VLOOKUP(B125,'[1]MASTER DATA 2025'!$C$3:$E$279,3,0)</f>
        <v>0Tahun1 Bulan</v>
      </c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259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113"/>
      <c r="AH125" s="151">
        <f t="shared" si="7"/>
        <v>0</v>
      </c>
      <c r="AI125" s="35">
        <f t="shared" si="8"/>
        <v>0</v>
      </c>
      <c r="AJ125" s="35">
        <f t="shared" si="9"/>
        <v>0</v>
      </c>
      <c r="AK125" s="35">
        <f t="shared" si="10"/>
        <v>0</v>
      </c>
      <c r="AL125" s="36">
        <f t="shared" si="11"/>
        <v>0</v>
      </c>
      <c r="AM125" s="37">
        <f t="shared" si="12"/>
        <v>0</v>
      </c>
      <c r="AN125" s="37" t="s">
        <v>228</v>
      </c>
      <c r="AO125" s="38"/>
      <c r="AP125" s="39"/>
    </row>
    <row r="126" s="105" customFormat="1" ht="19.5" customHeight="1" spans="1:42">
      <c r="A126" s="68">
        <v>116</v>
      </c>
      <c r="B126" s="265" t="s">
        <v>157</v>
      </c>
      <c r="C126" s="164" t="s">
        <v>61</v>
      </c>
      <c r="D126" s="149" t="str">
        <f>VLOOKUP(B126,'[1]MASTER DATA 2025'!$C$3:$E$279,3,0)</f>
        <v>0Tahun1 Bulan</v>
      </c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259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113"/>
      <c r="AH126" s="151">
        <f t="shared" si="7"/>
        <v>0</v>
      </c>
      <c r="AI126" s="35">
        <f t="shared" si="8"/>
        <v>0</v>
      </c>
      <c r="AJ126" s="35">
        <f t="shared" si="9"/>
        <v>0</v>
      </c>
      <c r="AK126" s="35">
        <f t="shared" si="10"/>
        <v>0</v>
      </c>
      <c r="AL126" s="36">
        <f t="shared" si="11"/>
        <v>0</v>
      </c>
      <c r="AM126" s="37">
        <f t="shared" si="12"/>
        <v>0</v>
      </c>
      <c r="AN126" s="37" t="s">
        <v>228</v>
      </c>
      <c r="AO126" s="38"/>
      <c r="AP126" s="39"/>
    </row>
    <row r="127" s="105" customFormat="1" ht="19.5" customHeight="1" spans="1:42">
      <c r="A127" s="68">
        <v>117</v>
      </c>
      <c r="B127" s="265" t="s">
        <v>158</v>
      </c>
      <c r="C127" s="164" t="s">
        <v>20</v>
      </c>
      <c r="D127" s="149" t="str">
        <f>VLOOKUP(B127,'[1]MASTER DATA 2025'!$C$3:$E$279,3,0)</f>
        <v>0Tahun1 Bulan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259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113"/>
      <c r="AH127" s="151">
        <f t="shared" si="7"/>
        <v>0</v>
      </c>
      <c r="AI127" s="35">
        <f t="shared" si="8"/>
        <v>0</v>
      </c>
      <c r="AJ127" s="36">
        <f t="shared" si="9"/>
        <v>0</v>
      </c>
      <c r="AK127" s="35">
        <f t="shared" si="10"/>
        <v>0</v>
      </c>
      <c r="AL127" s="36">
        <f t="shared" si="11"/>
        <v>0</v>
      </c>
      <c r="AM127" s="37">
        <f t="shared" si="12"/>
        <v>0</v>
      </c>
      <c r="AN127" s="37" t="s">
        <v>228</v>
      </c>
      <c r="AO127" s="38"/>
      <c r="AP127" s="39"/>
    </row>
    <row r="128" s="105" customFormat="1" ht="19.5" customHeight="1" spans="1:42">
      <c r="A128" s="68">
        <v>118</v>
      </c>
      <c r="B128" s="265" t="s">
        <v>159</v>
      </c>
      <c r="C128" s="164" t="s">
        <v>59</v>
      </c>
      <c r="D128" s="152" t="s">
        <v>215</v>
      </c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 t="s">
        <v>11</v>
      </c>
      <c r="P128" s="96" t="s">
        <v>13</v>
      </c>
      <c r="Q128" s="96"/>
      <c r="R128" s="259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113"/>
      <c r="AH128" s="151">
        <f t="shared" si="7"/>
        <v>0</v>
      </c>
      <c r="AI128" s="35">
        <f t="shared" si="8"/>
        <v>1</v>
      </c>
      <c r="AJ128" s="36">
        <f t="shared" si="9"/>
        <v>0</v>
      </c>
      <c r="AK128" s="35">
        <f t="shared" si="10"/>
        <v>1</v>
      </c>
      <c r="AL128" s="36">
        <f t="shared" si="11"/>
        <v>0</v>
      </c>
      <c r="AM128" s="37">
        <f t="shared" si="12"/>
        <v>2</v>
      </c>
      <c r="AN128" s="43" t="s">
        <v>336</v>
      </c>
      <c r="AO128" s="38"/>
      <c r="AP128" s="39"/>
    </row>
    <row r="129" s="105" customFormat="1" ht="19.5" customHeight="1" spans="1:42">
      <c r="A129" s="68">
        <v>119</v>
      </c>
      <c r="B129" s="265" t="s">
        <v>160</v>
      </c>
      <c r="C129" s="164" t="s">
        <v>20</v>
      </c>
      <c r="D129" s="149" t="str">
        <f>VLOOKUP(B129,'[1]MASTER DATA 2025'!$C$3:$E$279,3,0)</f>
        <v>0Tahun1 Bulan</v>
      </c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259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113"/>
      <c r="AH129" s="151">
        <f t="shared" si="7"/>
        <v>0</v>
      </c>
      <c r="AI129" s="47">
        <f t="shared" si="8"/>
        <v>0</v>
      </c>
      <c r="AJ129" s="35">
        <f t="shared" si="9"/>
        <v>0</v>
      </c>
      <c r="AK129" s="35">
        <f t="shared" si="10"/>
        <v>0</v>
      </c>
      <c r="AL129" s="36">
        <f t="shared" si="11"/>
        <v>0</v>
      </c>
      <c r="AM129" s="48">
        <f t="shared" si="12"/>
        <v>0</v>
      </c>
      <c r="AN129" s="37" t="s">
        <v>25</v>
      </c>
      <c r="AO129" s="38"/>
      <c r="AP129" s="39"/>
    </row>
    <row r="130" s="105" customFormat="1" ht="19.5" customHeight="1" spans="1:42">
      <c r="A130" s="68">
        <v>120</v>
      </c>
      <c r="B130" s="265" t="s">
        <v>161</v>
      </c>
      <c r="C130" s="164" t="s">
        <v>20</v>
      </c>
      <c r="D130" s="149" t="str">
        <f>VLOOKUP(B130,'[1]MASTER DATA 2025'!$C$3:$E$279,3,0)</f>
        <v>1Tahun2 Bulan</v>
      </c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259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113"/>
      <c r="AH130" s="151">
        <f t="shared" si="7"/>
        <v>0</v>
      </c>
      <c r="AI130" s="35">
        <f t="shared" si="8"/>
        <v>0</v>
      </c>
      <c r="AJ130" s="35">
        <f t="shared" si="9"/>
        <v>0</v>
      </c>
      <c r="AK130" s="47">
        <f t="shared" si="10"/>
        <v>0</v>
      </c>
      <c r="AL130" s="36">
        <f t="shared" si="11"/>
        <v>0</v>
      </c>
      <c r="AM130" s="48">
        <f t="shared" si="12"/>
        <v>0</v>
      </c>
      <c r="AN130" s="37" t="s">
        <v>175</v>
      </c>
      <c r="AO130" s="38"/>
      <c r="AP130" s="39"/>
    </row>
    <row r="131" s="105" customFormat="1" ht="19.5" customHeight="1" spans="1:42">
      <c r="A131" s="68">
        <v>121</v>
      </c>
      <c r="B131" s="265" t="s">
        <v>162</v>
      </c>
      <c r="C131" s="164" t="s">
        <v>20</v>
      </c>
      <c r="D131" s="149" t="s">
        <v>163</v>
      </c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259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113"/>
      <c r="AH131" s="151">
        <f t="shared" si="7"/>
        <v>0</v>
      </c>
      <c r="AI131" s="35">
        <f t="shared" si="8"/>
        <v>0</v>
      </c>
      <c r="AJ131" s="35">
        <f t="shared" si="9"/>
        <v>0</v>
      </c>
      <c r="AK131" s="47">
        <f t="shared" si="10"/>
        <v>0</v>
      </c>
      <c r="AL131" s="36"/>
      <c r="AM131" s="37">
        <f t="shared" si="12"/>
        <v>0</v>
      </c>
      <c r="AN131" s="38" t="s">
        <v>207</v>
      </c>
      <c r="AO131" s="38"/>
      <c r="AP131" s="39"/>
    </row>
    <row r="132" s="105" customFormat="1" ht="19.5" customHeight="1" spans="1:42">
      <c r="A132" s="68">
        <v>122</v>
      </c>
      <c r="B132" s="265" t="s">
        <v>164</v>
      </c>
      <c r="C132" s="164" t="s">
        <v>101</v>
      </c>
      <c r="D132" s="149" t="str">
        <f>VLOOKUP(B132,'[1]MASTER DATA 2025'!$C$3:$E$279,3,0)</f>
        <v>2Tahun0 Bulan</v>
      </c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259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113"/>
      <c r="AH132" s="151">
        <f t="shared" si="7"/>
        <v>0</v>
      </c>
      <c r="AI132" s="35">
        <f t="shared" si="8"/>
        <v>0</v>
      </c>
      <c r="AJ132" s="35">
        <f t="shared" si="9"/>
        <v>0</v>
      </c>
      <c r="AK132" s="47">
        <f t="shared" si="10"/>
        <v>0</v>
      </c>
      <c r="AL132" s="36">
        <f t="shared" ref="AL132:AL187" si="17">COUNTIF(E132:AF132,"OFF")</f>
        <v>0</v>
      </c>
      <c r="AM132" s="48">
        <f t="shared" si="12"/>
        <v>0</v>
      </c>
      <c r="AN132" s="37" t="s">
        <v>25</v>
      </c>
      <c r="AO132" s="38"/>
      <c r="AP132" s="39"/>
    </row>
    <row r="133" s="105" customFormat="1" ht="19.5" customHeight="1" spans="1:42">
      <c r="A133" s="68">
        <v>123</v>
      </c>
      <c r="B133" s="265" t="s">
        <v>176</v>
      </c>
      <c r="C133" s="164" t="s">
        <v>20</v>
      </c>
      <c r="D133" s="149" t="str">
        <f>VLOOKUP(B133,'[1]MASTER DATA 2025'!$C$3:$E$279,3,0)</f>
        <v>0Tahun2 Bulan</v>
      </c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259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113"/>
      <c r="AH133" s="151">
        <f t="shared" si="7"/>
        <v>0</v>
      </c>
      <c r="AI133" s="35">
        <f t="shared" si="8"/>
        <v>0</v>
      </c>
      <c r="AJ133" s="35">
        <f t="shared" si="9"/>
        <v>0</v>
      </c>
      <c r="AK133" s="47">
        <f t="shared" si="10"/>
        <v>0</v>
      </c>
      <c r="AL133" s="36">
        <f t="shared" si="17"/>
        <v>0</v>
      </c>
      <c r="AM133" s="48">
        <f t="shared" si="12"/>
        <v>0</v>
      </c>
      <c r="AN133" s="37"/>
      <c r="AO133" s="38"/>
      <c r="AP133" s="39"/>
    </row>
    <row r="134" s="105" customFormat="1" ht="19.5" customHeight="1" spans="1:42">
      <c r="A134" s="68">
        <v>124</v>
      </c>
      <c r="B134" s="268" t="s">
        <v>177</v>
      </c>
      <c r="C134" s="164" t="s">
        <v>16</v>
      </c>
      <c r="D134" s="149" t="s">
        <v>178</v>
      </c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259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113"/>
      <c r="AH134" s="151">
        <f t="shared" si="7"/>
        <v>0</v>
      </c>
      <c r="AI134" s="35">
        <f t="shared" si="8"/>
        <v>0</v>
      </c>
      <c r="AJ134" s="36">
        <f t="shared" si="9"/>
        <v>0</v>
      </c>
      <c r="AK134" s="35">
        <f t="shared" si="10"/>
        <v>0</v>
      </c>
      <c r="AL134" s="36">
        <f t="shared" si="17"/>
        <v>0</v>
      </c>
      <c r="AM134" s="37">
        <f t="shared" si="12"/>
        <v>0</v>
      </c>
      <c r="AN134" s="37" t="s">
        <v>25</v>
      </c>
      <c r="AO134" s="38"/>
      <c r="AP134" s="39"/>
    </row>
    <row r="135" s="105" customFormat="1" ht="19.5" customHeight="1" spans="1:42">
      <c r="A135" s="68">
        <v>125</v>
      </c>
      <c r="B135" s="268" t="s">
        <v>179</v>
      </c>
      <c r="C135" s="164" t="s">
        <v>16</v>
      </c>
      <c r="D135" s="149" t="s">
        <v>112</v>
      </c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259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113"/>
      <c r="AH135" s="151">
        <f t="shared" si="7"/>
        <v>0</v>
      </c>
      <c r="AI135" s="35">
        <f t="shared" si="8"/>
        <v>0</v>
      </c>
      <c r="AJ135" s="35">
        <f t="shared" si="9"/>
        <v>0</v>
      </c>
      <c r="AK135" s="47">
        <f t="shared" si="10"/>
        <v>0</v>
      </c>
      <c r="AL135" s="36">
        <f t="shared" si="17"/>
        <v>0</v>
      </c>
      <c r="AM135" s="48">
        <f t="shared" si="12"/>
        <v>0</v>
      </c>
      <c r="AN135" s="37" t="s">
        <v>25</v>
      </c>
      <c r="AO135" s="38"/>
      <c r="AP135" s="39"/>
    </row>
    <row r="136" s="105" customFormat="1" ht="19.5" customHeight="1" spans="1:42">
      <c r="A136" s="68">
        <v>126</v>
      </c>
      <c r="B136" s="268" t="s">
        <v>158</v>
      </c>
      <c r="C136" s="164" t="s">
        <v>20</v>
      </c>
      <c r="D136" s="149" t="s">
        <v>180</v>
      </c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259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113"/>
      <c r="AH136" s="151">
        <f t="shared" si="7"/>
        <v>0</v>
      </c>
      <c r="AI136" s="35">
        <f t="shared" si="8"/>
        <v>0</v>
      </c>
      <c r="AJ136" s="35">
        <f t="shared" si="9"/>
        <v>0</v>
      </c>
      <c r="AK136" s="47">
        <f t="shared" si="10"/>
        <v>0</v>
      </c>
      <c r="AL136" s="36">
        <f t="shared" si="17"/>
        <v>0</v>
      </c>
      <c r="AM136" s="48">
        <f t="shared" si="12"/>
        <v>0</v>
      </c>
      <c r="AN136" s="37" t="s">
        <v>25</v>
      </c>
      <c r="AO136" s="38"/>
      <c r="AP136" s="39"/>
    </row>
    <row r="137" s="105" customFormat="1" ht="19.5" customHeight="1" spans="1:42">
      <c r="A137" s="68">
        <v>127</v>
      </c>
      <c r="B137" s="269" t="s">
        <v>181</v>
      </c>
      <c r="C137" s="165" t="s">
        <v>59</v>
      </c>
      <c r="D137" s="152" t="s">
        <v>308</v>
      </c>
      <c r="E137" s="96"/>
      <c r="F137" s="96"/>
      <c r="G137" s="96"/>
      <c r="H137" s="96"/>
      <c r="I137" s="96"/>
      <c r="J137" s="96"/>
      <c r="K137" s="96"/>
      <c r="L137" s="96"/>
      <c r="M137" s="96" t="s">
        <v>11</v>
      </c>
      <c r="N137" s="96"/>
      <c r="O137" s="96"/>
      <c r="P137" s="96"/>
      <c r="Q137" s="96"/>
      <c r="R137" s="259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113"/>
      <c r="AH137" s="151">
        <f t="shared" si="7"/>
        <v>0</v>
      </c>
      <c r="AI137" s="35">
        <f t="shared" si="8"/>
        <v>1</v>
      </c>
      <c r="AJ137" s="36">
        <f t="shared" si="9"/>
        <v>0</v>
      </c>
      <c r="AK137" s="35">
        <f t="shared" si="10"/>
        <v>0</v>
      </c>
      <c r="AL137" s="36">
        <f t="shared" si="17"/>
        <v>0</v>
      </c>
      <c r="AM137" s="37">
        <f t="shared" si="12"/>
        <v>1</v>
      </c>
      <c r="AN137" s="37" t="s">
        <v>317</v>
      </c>
      <c r="AO137" s="38"/>
      <c r="AP137" s="39"/>
    </row>
    <row r="138" s="105" customFormat="1" ht="19.5" customHeight="1" spans="1:42">
      <c r="A138" s="68">
        <v>128</v>
      </c>
      <c r="B138" s="249" t="s">
        <v>182</v>
      </c>
      <c r="C138" s="166" t="s">
        <v>59</v>
      </c>
      <c r="D138" s="152" t="s">
        <v>178</v>
      </c>
      <c r="E138" s="96"/>
      <c r="F138" s="96"/>
      <c r="G138" s="96"/>
      <c r="H138" s="96"/>
      <c r="I138" s="96"/>
      <c r="J138" s="96"/>
      <c r="K138" s="96"/>
      <c r="L138" s="96"/>
      <c r="M138" s="241"/>
      <c r="N138" s="241"/>
      <c r="O138" s="96"/>
      <c r="P138" s="96"/>
      <c r="Q138" s="96"/>
      <c r="R138" s="259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113"/>
      <c r="AH138" s="151">
        <f t="shared" si="7"/>
        <v>0</v>
      </c>
      <c r="AI138" s="131">
        <f t="shared" si="8"/>
        <v>0</v>
      </c>
      <c r="AJ138" s="103">
        <f t="shared" si="9"/>
        <v>0</v>
      </c>
      <c r="AK138" s="131">
        <f t="shared" si="10"/>
        <v>0</v>
      </c>
      <c r="AL138" s="103">
        <f t="shared" si="17"/>
        <v>0</v>
      </c>
      <c r="AM138" s="128">
        <f t="shared" si="12"/>
        <v>0</v>
      </c>
      <c r="AN138" s="128" t="s">
        <v>25</v>
      </c>
      <c r="AO138" s="38"/>
      <c r="AP138" s="39"/>
    </row>
    <row r="139" s="105" customFormat="1" ht="19.5" customHeight="1" spans="1:42">
      <c r="A139" s="68">
        <v>129</v>
      </c>
      <c r="B139" s="267" t="s">
        <v>183</v>
      </c>
      <c r="C139" s="166" t="s">
        <v>16</v>
      </c>
      <c r="D139" s="149" t="s">
        <v>219</v>
      </c>
      <c r="E139" s="96"/>
      <c r="F139" s="96"/>
      <c r="G139" s="96"/>
      <c r="H139" s="96"/>
      <c r="I139" s="96"/>
      <c r="J139" s="96"/>
      <c r="K139" s="96"/>
      <c r="L139" s="261"/>
      <c r="M139" s="112"/>
      <c r="N139" s="112" t="s">
        <v>11</v>
      </c>
      <c r="O139" s="262"/>
      <c r="P139" s="96"/>
      <c r="Q139" s="96"/>
      <c r="R139" s="259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113"/>
      <c r="AH139" s="151">
        <f t="shared" si="7"/>
        <v>0</v>
      </c>
      <c r="AI139" s="43">
        <f t="shared" si="8"/>
        <v>1</v>
      </c>
      <c r="AJ139" s="66">
        <f t="shared" si="9"/>
        <v>0</v>
      </c>
      <c r="AK139" s="43">
        <f t="shared" si="10"/>
        <v>0</v>
      </c>
      <c r="AL139" s="66">
        <f t="shared" si="17"/>
        <v>0</v>
      </c>
      <c r="AM139" s="43">
        <f t="shared" si="12"/>
        <v>1</v>
      </c>
      <c r="AN139" s="43" t="s">
        <v>336</v>
      </c>
      <c r="AO139" s="68"/>
      <c r="AP139" s="39"/>
    </row>
    <row r="140" s="105" customFormat="1" ht="19.5" customHeight="1" spans="1:42">
      <c r="A140" s="68">
        <v>130</v>
      </c>
      <c r="B140" s="249" t="s">
        <v>184</v>
      </c>
      <c r="C140" s="166" t="s">
        <v>16</v>
      </c>
      <c r="D140" s="152" t="s">
        <v>180</v>
      </c>
      <c r="E140" s="96" t="s">
        <v>11</v>
      </c>
      <c r="F140" s="96" t="s">
        <v>13</v>
      </c>
      <c r="G140" s="96" t="s">
        <v>13</v>
      </c>
      <c r="H140" s="96"/>
      <c r="I140" s="96"/>
      <c r="J140" s="96"/>
      <c r="K140" s="96"/>
      <c r="L140" s="96"/>
      <c r="M140" s="193"/>
      <c r="N140" s="193"/>
      <c r="O140" s="96" t="s">
        <v>13</v>
      </c>
      <c r="P140" s="96"/>
      <c r="Q140" s="96"/>
      <c r="R140" s="259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113"/>
      <c r="AH140" s="151">
        <f t="shared" ref="AH140:AH148" si="18">COUNTIF(E140:AF140,"H")</f>
        <v>0</v>
      </c>
      <c r="AI140" s="35">
        <f t="shared" ref="AI140:AI187" si="19">COUNTIF(E140:AF140,"S")</f>
        <v>1</v>
      </c>
      <c r="AJ140" s="36">
        <f t="shared" ref="AJ140:AJ187" si="20">COUNTIF(E140:AF140,"I")</f>
        <v>0</v>
      </c>
      <c r="AK140" s="35">
        <f t="shared" ref="AK140:AK187" si="21">COUNTIF(E140:AF140,"A")</f>
        <v>3</v>
      </c>
      <c r="AL140" s="36">
        <f t="shared" si="17"/>
        <v>0</v>
      </c>
      <c r="AM140" s="35">
        <f t="shared" ref="AM140:AM187" si="22">SUM(AH140:AK140)</f>
        <v>4</v>
      </c>
      <c r="AN140" s="35" t="s">
        <v>228</v>
      </c>
      <c r="AO140" s="38"/>
      <c r="AP140" s="39"/>
    </row>
    <row r="141" s="105" customFormat="1" ht="19.5" customHeight="1" spans="1:42">
      <c r="A141" s="68">
        <v>131</v>
      </c>
      <c r="B141" s="249" t="s">
        <v>185</v>
      </c>
      <c r="C141" s="166" t="s">
        <v>16</v>
      </c>
      <c r="D141" s="152" t="s">
        <v>112</v>
      </c>
      <c r="E141" s="96"/>
      <c r="F141" s="96" t="s">
        <v>11</v>
      </c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259"/>
      <c r="S141" s="96"/>
      <c r="T141" s="96"/>
      <c r="U141" s="96"/>
      <c r="V141" s="96" t="s">
        <v>11</v>
      </c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113"/>
      <c r="AH141" s="151">
        <f t="shared" si="18"/>
        <v>0</v>
      </c>
      <c r="AI141" s="35">
        <f t="shared" si="19"/>
        <v>2</v>
      </c>
      <c r="AJ141" s="36">
        <f t="shared" si="20"/>
        <v>0</v>
      </c>
      <c r="AK141" s="35">
        <f t="shared" si="21"/>
        <v>0</v>
      </c>
      <c r="AL141" s="36">
        <f t="shared" si="17"/>
        <v>0</v>
      </c>
      <c r="AM141" s="37">
        <f t="shared" si="22"/>
        <v>2</v>
      </c>
      <c r="AN141" s="37" t="s">
        <v>228</v>
      </c>
      <c r="AO141" s="38"/>
      <c r="AP141" s="39"/>
    </row>
    <row r="142" s="105" customFormat="1" ht="19.5" customHeight="1" spans="1:42">
      <c r="A142" s="68">
        <v>132</v>
      </c>
      <c r="B142" s="249" t="s">
        <v>186</v>
      </c>
      <c r="C142" s="166" t="s">
        <v>245</v>
      </c>
      <c r="D142" s="149" t="s">
        <v>112</v>
      </c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259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113"/>
      <c r="AH142" s="151">
        <f t="shared" si="18"/>
        <v>0</v>
      </c>
      <c r="AI142" s="35">
        <f t="shared" si="19"/>
        <v>0</v>
      </c>
      <c r="AJ142" s="36">
        <f t="shared" si="20"/>
        <v>0</v>
      </c>
      <c r="AK142" s="35">
        <f t="shared" si="21"/>
        <v>0</v>
      </c>
      <c r="AL142" s="36">
        <f t="shared" si="17"/>
        <v>0</v>
      </c>
      <c r="AM142" s="37">
        <f t="shared" si="22"/>
        <v>0</v>
      </c>
      <c r="AN142" s="37" t="s">
        <v>216</v>
      </c>
      <c r="AO142" s="38"/>
      <c r="AP142" s="39"/>
    </row>
    <row r="143" s="105" customFormat="1" ht="19.5" customHeight="1" spans="1:42">
      <c r="A143" s="68">
        <v>133</v>
      </c>
      <c r="B143" s="249" t="s">
        <v>187</v>
      </c>
      <c r="C143" s="166" t="s">
        <v>16</v>
      </c>
      <c r="D143" s="152" t="str">
        <f>VLOOKUP(B143,'[1]MASTER DATA 2025'!$C$3:$E$279,3,0)</f>
        <v>0Tahun1 Bulan</v>
      </c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 t="s">
        <v>11</v>
      </c>
      <c r="P143" s="96"/>
      <c r="Q143" s="96"/>
      <c r="R143" s="259"/>
      <c r="S143" s="96"/>
      <c r="T143" s="96"/>
      <c r="U143" s="96"/>
      <c r="V143" s="96"/>
      <c r="W143" s="96"/>
      <c r="X143" s="96"/>
      <c r="Y143" s="96" t="s">
        <v>11</v>
      </c>
      <c r="Z143" s="96"/>
      <c r="AA143" s="96"/>
      <c r="AB143" s="96"/>
      <c r="AC143" s="96"/>
      <c r="AD143" s="96"/>
      <c r="AE143" s="96"/>
      <c r="AF143" s="96"/>
      <c r="AG143" s="113"/>
      <c r="AH143" s="151">
        <f t="shared" si="18"/>
        <v>0</v>
      </c>
      <c r="AI143" s="35">
        <f t="shared" si="19"/>
        <v>2</v>
      </c>
      <c r="AJ143" s="36">
        <f t="shared" si="20"/>
        <v>0</v>
      </c>
      <c r="AK143" s="35">
        <f t="shared" si="21"/>
        <v>0</v>
      </c>
      <c r="AL143" s="36">
        <f t="shared" si="17"/>
        <v>0</v>
      </c>
      <c r="AM143" s="37">
        <f t="shared" si="22"/>
        <v>2</v>
      </c>
      <c r="AN143" s="43" t="s">
        <v>336</v>
      </c>
      <c r="AO143" s="38"/>
      <c r="AP143" s="39"/>
    </row>
    <row r="144" s="105" customFormat="1" ht="19.5" customHeight="1" spans="1:42">
      <c r="A144" s="68">
        <v>134</v>
      </c>
      <c r="B144" s="249" t="s">
        <v>188</v>
      </c>
      <c r="C144" s="166" t="s">
        <v>16</v>
      </c>
      <c r="D144" s="152" t="str">
        <f>VLOOKUP(B144,'[1]MASTER DATA 2025'!$C$3:$E$279,3,0)</f>
        <v>1Tahun5 Bulan</v>
      </c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259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113"/>
      <c r="AH144" s="151">
        <f t="shared" si="18"/>
        <v>0</v>
      </c>
      <c r="AI144" s="35">
        <f t="shared" si="19"/>
        <v>0</v>
      </c>
      <c r="AJ144" s="36">
        <f t="shared" si="20"/>
        <v>0</v>
      </c>
      <c r="AK144" s="35">
        <f t="shared" si="21"/>
        <v>0</v>
      </c>
      <c r="AL144" s="36">
        <f t="shared" si="17"/>
        <v>0</v>
      </c>
      <c r="AM144" s="37">
        <f t="shared" si="22"/>
        <v>0</v>
      </c>
      <c r="AN144" s="37"/>
      <c r="AO144" s="38"/>
      <c r="AP144" s="39"/>
    </row>
    <row r="145" s="105" customFormat="1" ht="19.5" customHeight="1" spans="1:42">
      <c r="A145" s="68">
        <v>135</v>
      </c>
      <c r="B145" s="249" t="s">
        <v>189</v>
      </c>
      <c r="C145" s="166" t="s">
        <v>16</v>
      </c>
      <c r="D145" s="152" t="s">
        <v>178</v>
      </c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259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113"/>
      <c r="AH145" s="151">
        <f t="shared" si="18"/>
        <v>0</v>
      </c>
      <c r="AI145" s="35">
        <f t="shared" si="19"/>
        <v>0</v>
      </c>
      <c r="AJ145" s="36">
        <f t="shared" si="20"/>
        <v>0</v>
      </c>
      <c r="AK145" s="35">
        <f t="shared" si="21"/>
        <v>0</v>
      </c>
      <c r="AL145" s="36">
        <f t="shared" si="17"/>
        <v>0</v>
      </c>
      <c r="AM145" s="37">
        <f t="shared" si="22"/>
        <v>0</v>
      </c>
      <c r="AN145" s="37" t="s">
        <v>25</v>
      </c>
      <c r="AO145" s="38"/>
      <c r="AP145" s="39"/>
    </row>
    <row r="146" s="105" customFormat="1" ht="19.5" customHeight="1" spans="1:42">
      <c r="A146" s="68">
        <v>136</v>
      </c>
      <c r="B146" s="265" t="s">
        <v>190</v>
      </c>
      <c r="C146" s="166" t="s">
        <v>16</v>
      </c>
      <c r="D146" s="152" t="s">
        <v>180</v>
      </c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259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113"/>
      <c r="AH146" s="151">
        <f t="shared" si="18"/>
        <v>0</v>
      </c>
      <c r="AI146" s="35">
        <f t="shared" si="19"/>
        <v>0</v>
      </c>
      <c r="AJ146" s="36">
        <f t="shared" si="20"/>
        <v>0</v>
      </c>
      <c r="AK146" s="35">
        <f t="shared" si="21"/>
        <v>0</v>
      </c>
      <c r="AL146" s="36">
        <f t="shared" si="17"/>
        <v>0</v>
      </c>
      <c r="AM146" s="37">
        <f t="shared" si="22"/>
        <v>0</v>
      </c>
      <c r="AN146" s="37" t="s">
        <v>214</v>
      </c>
      <c r="AO146" s="38"/>
      <c r="AP146" s="39"/>
    </row>
    <row r="147" s="105" customFormat="1" ht="19.5" customHeight="1" spans="1:42">
      <c r="A147" s="68">
        <v>137</v>
      </c>
      <c r="B147" s="265" t="s">
        <v>191</v>
      </c>
      <c r="C147" s="150" t="s">
        <v>16</v>
      </c>
      <c r="D147" s="152" t="s">
        <v>178</v>
      </c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259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113"/>
      <c r="AH147" s="151">
        <f t="shared" si="18"/>
        <v>0</v>
      </c>
      <c r="AI147" s="35">
        <f t="shared" si="19"/>
        <v>0</v>
      </c>
      <c r="AJ147" s="35">
        <f t="shared" si="20"/>
        <v>0</v>
      </c>
      <c r="AK147" s="36">
        <f t="shared" si="21"/>
        <v>0</v>
      </c>
      <c r="AL147" s="36">
        <f t="shared" si="17"/>
        <v>0</v>
      </c>
      <c r="AM147" s="37">
        <f t="shared" si="22"/>
        <v>0</v>
      </c>
      <c r="AN147" s="37" t="s">
        <v>192</v>
      </c>
      <c r="AO147" s="38">
        <v>16</v>
      </c>
      <c r="AP147" s="39">
        <f>AM147/AO147</f>
        <v>0</v>
      </c>
    </row>
    <row r="148" s="105" customFormat="1" ht="19.5" customHeight="1" spans="1:42">
      <c r="A148" s="68"/>
      <c r="B148" s="265" t="s">
        <v>247</v>
      </c>
      <c r="C148" s="150" t="s">
        <v>16</v>
      </c>
      <c r="D148" s="152" t="s">
        <v>153</v>
      </c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259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113"/>
      <c r="AH148" s="151">
        <f t="shared" si="18"/>
        <v>0</v>
      </c>
      <c r="AI148" s="35">
        <f t="shared" si="19"/>
        <v>0</v>
      </c>
      <c r="AJ148" s="36">
        <f t="shared" si="20"/>
        <v>0</v>
      </c>
      <c r="AK148" s="35">
        <f t="shared" si="21"/>
        <v>0</v>
      </c>
      <c r="AL148" s="36">
        <f t="shared" si="17"/>
        <v>0</v>
      </c>
      <c r="AM148" s="37">
        <f t="shared" si="22"/>
        <v>0</v>
      </c>
      <c r="AN148" s="38" t="s">
        <v>207</v>
      </c>
      <c r="AO148" s="38"/>
      <c r="AP148" s="39"/>
    </row>
    <row r="149" s="105" customFormat="1" ht="19.5" customHeight="1" spans="1:42">
      <c r="A149" s="68"/>
      <c r="B149" s="265" t="s">
        <v>248</v>
      </c>
      <c r="C149" s="150" t="s">
        <v>16</v>
      </c>
      <c r="D149" s="152" t="s">
        <v>178</v>
      </c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259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113"/>
      <c r="AH149" s="151"/>
      <c r="AI149" s="35">
        <f t="shared" si="19"/>
        <v>0</v>
      </c>
      <c r="AJ149" s="36">
        <f t="shared" si="20"/>
        <v>0</v>
      </c>
      <c r="AK149" s="35">
        <f t="shared" si="21"/>
        <v>0</v>
      </c>
      <c r="AL149" s="36">
        <f t="shared" si="17"/>
        <v>0</v>
      </c>
      <c r="AM149" s="37">
        <f t="shared" si="22"/>
        <v>0</v>
      </c>
      <c r="AN149" s="37"/>
      <c r="AO149" s="38"/>
      <c r="AP149" s="39"/>
    </row>
    <row r="150" s="105" customFormat="1" ht="19.5" customHeight="1" spans="1:42">
      <c r="A150" s="68"/>
      <c r="B150" s="265" t="s">
        <v>249</v>
      </c>
      <c r="C150" s="150" t="s">
        <v>16</v>
      </c>
      <c r="D150" s="152" t="s">
        <v>250</v>
      </c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259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113"/>
      <c r="AH150" s="151"/>
      <c r="AI150" s="35">
        <f t="shared" si="19"/>
        <v>0</v>
      </c>
      <c r="AJ150" s="36">
        <f t="shared" si="20"/>
        <v>0</v>
      </c>
      <c r="AK150" s="35">
        <f t="shared" si="21"/>
        <v>0</v>
      </c>
      <c r="AL150" s="36">
        <f t="shared" si="17"/>
        <v>0</v>
      </c>
      <c r="AM150" s="37">
        <f t="shared" si="22"/>
        <v>0</v>
      </c>
      <c r="AN150" s="37"/>
      <c r="AO150" s="38"/>
      <c r="AP150" s="39"/>
    </row>
    <row r="151" s="105" customFormat="1" ht="19.5" customHeight="1" spans="1:42">
      <c r="A151" s="68"/>
      <c r="B151" s="265" t="s">
        <v>251</v>
      </c>
      <c r="C151" s="150" t="s">
        <v>16</v>
      </c>
      <c r="D151" s="152" t="s">
        <v>252</v>
      </c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259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113"/>
      <c r="AH151" s="151"/>
      <c r="AI151" s="35">
        <f t="shared" si="19"/>
        <v>0</v>
      </c>
      <c r="AJ151" s="36">
        <f t="shared" si="20"/>
        <v>0</v>
      </c>
      <c r="AK151" s="35">
        <f t="shared" si="21"/>
        <v>0</v>
      </c>
      <c r="AL151" s="36">
        <f t="shared" si="17"/>
        <v>0</v>
      </c>
      <c r="AM151" s="37">
        <f t="shared" si="22"/>
        <v>0</v>
      </c>
      <c r="AN151" s="37" t="s">
        <v>198</v>
      </c>
      <c r="AO151" s="38"/>
      <c r="AP151" s="39"/>
    </row>
    <row r="152" s="105" customFormat="1" ht="19.5" customHeight="1" spans="1:42">
      <c r="A152" s="68"/>
      <c r="B152" s="265" t="s">
        <v>253</v>
      </c>
      <c r="C152" s="150" t="s">
        <v>16</v>
      </c>
      <c r="D152" s="152" t="s">
        <v>112</v>
      </c>
      <c r="E152" s="96"/>
      <c r="F152" s="96"/>
      <c r="G152" s="96"/>
      <c r="H152" s="96"/>
      <c r="I152" s="96"/>
      <c r="J152" s="96" t="s">
        <v>11</v>
      </c>
      <c r="K152" s="96"/>
      <c r="L152" s="96" t="s">
        <v>11</v>
      </c>
      <c r="M152" s="96"/>
      <c r="N152" s="96"/>
      <c r="O152" s="96"/>
      <c r="P152" s="96"/>
      <c r="Q152" s="96"/>
      <c r="R152" s="259"/>
      <c r="S152" s="96"/>
      <c r="T152" s="96"/>
      <c r="U152" s="96"/>
      <c r="V152" s="96"/>
      <c r="W152" s="96" t="s">
        <v>11</v>
      </c>
      <c r="X152" s="96"/>
      <c r="Y152" s="96"/>
      <c r="Z152" s="96"/>
      <c r="AA152" s="96"/>
      <c r="AB152" s="96" t="s">
        <v>11</v>
      </c>
      <c r="AC152" s="96"/>
      <c r="AD152" s="96"/>
      <c r="AE152" s="96"/>
      <c r="AF152" s="96"/>
      <c r="AG152" s="113"/>
      <c r="AH152" s="151"/>
      <c r="AI152" s="35">
        <f t="shared" si="19"/>
        <v>4</v>
      </c>
      <c r="AJ152" s="36">
        <f t="shared" si="20"/>
        <v>0</v>
      </c>
      <c r="AK152" s="35">
        <f t="shared" si="21"/>
        <v>0</v>
      </c>
      <c r="AL152" s="36">
        <f t="shared" si="17"/>
        <v>0</v>
      </c>
      <c r="AM152" s="37">
        <f t="shared" si="22"/>
        <v>4</v>
      </c>
      <c r="AN152" s="43" t="s">
        <v>336</v>
      </c>
      <c r="AO152" s="38"/>
      <c r="AP152" s="39"/>
    </row>
    <row r="153" s="105" customFormat="1" ht="19.5" customHeight="1" spans="1:42">
      <c r="A153" s="68"/>
      <c r="B153" s="265" t="s">
        <v>255</v>
      </c>
      <c r="C153" s="150" t="s">
        <v>165</v>
      </c>
      <c r="D153" s="152" t="s">
        <v>238</v>
      </c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259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113"/>
      <c r="AH153" s="151"/>
      <c r="AI153" s="35">
        <f t="shared" si="19"/>
        <v>0</v>
      </c>
      <c r="AJ153" s="36">
        <f t="shared" si="20"/>
        <v>0</v>
      </c>
      <c r="AK153" s="35">
        <f t="shared" si="21"/>
        <v>0</v>
      </c>
      <c r="AL153" s="36">
        <f t="shared" si="17"/>
        <v>0</v>
      </c>
      <c r="AM153" s="37">
        <f t="shared" si="22"/>
        <v>0</v>
      </c>
      <c r="AN153" s="38"/>
      <c r="AO153" s="38"/>
      <c r="AP153" s="39"/>
    </row>
    <row r="154" s="105" customFormat="1" ht="19.5" customHeight="1" spans="1:42">
      <c r="A154" s="68"/>
      <c r="B154" s="265" t="s">
        <v>256</v>
      </c>
      <c r="C154" s="150" t="s">
        <v>59</v>
      </c>
      <c r="D154" s="152" t="s">
        <v>257</v>
      </c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259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113"/>
      <c r="AH154" s="151"/>
      <c r="AI154" s="35">
        <f t="shared" si="19"/>
        <v>0</v>
      </c>
      <c r="AJ154" s="36">
        <f t="shared" si="20"/>
        <v>0</v>
      </c>
      <c r="AK154" s="35">
        <f t="shared" si="21"/>
        <v>0</v>
      </c>
      <c r="AL154" s="36">
        <f t="shared" si="17"/>
        <v>0</v>
      </c>
      <c r="AM154" s="37">
        <f t="shared" si="22"/>
        <v>0</v>
      </c>
      <c r="AN154" s="38" t="s">
        <v>232</v>
      </c>
      <c r="AO154" s="38"/>
      <c r="AP154" s="39"/>
    </row>
    <row r="155" s="105" customFormat="1" ht="20.15" customHeight="1" spans="1:42">
      <c r="A155" s="68"/>
      <c r="B155" s="167" t="s">
        <v>258</v>
      </c>
      <c r="C155" s="167" t="s">
        <v>59</v>
      </c>
      <c r="D155" s="152" t="s">
        <v>215</v>
      </c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259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113"/>
      <c r="AH155" s="151"/>
      <c r="AI155" s="35">
        <f t="shared" si="19"/>
        <v>0</v>
      </c>
      <c r="AJ155" s="36">
        <f t="shared" si="20"/>
        <v>0</v>
      </c>
      <c r="AK155" s="35">
        <f t="shared" si="21"/>
        <v>0</v>
      </c>
      <c r="AL155" s="36">
        <f t="shared" si="17"/>
        <v>0</v>
      </c>
      <c r="AM155" s="37">
        <f t="shared" si="22"/>
        <v>0</v>
      </c>
      <c r="AN155" s="37" t="s">
        <v>228</v>
      </c>
      <c r="AO155" s="38"/>
      <c r="AP155" s="39"/>
    </row>
    <row r="156" s="105" customFormat="1" ht="20.15" customHeight="1" spans="1:42">
      <c r="A156" s="68"/>
      <c r="B156" s="167" t="s">
        <v>259</v>
      </c>
      <c r="C156" s="167" t="s">
        <v>260</v>
      </c>
      <c r="D156" s="152" t="s">
        <v>238</v>
      </c>
      <c r="E156" s="96"/>
      <c r="F156" s="96"/>
      <c r="G156" s="96"/>
      <c r="H156" s="96"/>
      <c r="I156" s="96"/>
      <c r="J156" s="96"/>
      <c r="K156" s="96" t="s">
        <v>11</v>
      </c>
      <c r="L156" s="96"/>
      <c r="M156" s="96"/>
      <c r="N156" s="96"/>
      <c r="O156" s="96" t="s">
        <v>12</v>
      </c>
      <c r="P156" s="96"/>
      <c r="Q156" s="96"/>
      <c r="R156" s="259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113"/>
      <c r="AH156" s="151"/>
      <c r="AI156" s="35">
        <f t="shared" si="19"/>
        <v>1</v>
      </c>
      <c r="AJ156" s="36">
        <f t="shared" si="20"/>
        <v>1</v>
      </c>
      <c r="AK156" s="35">
        <f t="shared" si="21"/>
        <v>0</v>
      </c>
      <c r="AL156" s="36">
        <f t="shared" si="17"/>
        <v>0</v>
      </c>
      <c r="AM156" s="37">
        <f t="shared" si="22"/>
        <v>2</v>
      </c>
      <c r="AN156" s="38"/>
      <c r="AO156" s="38"/>
      <c r="AP156" s="39"/>
    </row>
    <row r="157" s="105" customFormat="1" ht="20.15" customHeight="1" spans="1:42">
      <c r="A157" s="68"/>
      <c r="B157" s="167" t="s">
        <v>262</v>
      </c>
      <c r="C157" s="167" t="s">
        <v>263</v>
      </c>
      <c r="D157" s="152" t="s">
        <v>180</v>
      </c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259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113"/>
      <c r="AH157" s="151"/>
      <c r="AI157" s="35">
        <f t="shared" si="19"/>
        <v>0</v>
      </c>
      <c r="AJ157" s="36">
        <f t="shared" si="20"/>
        <v>0</v>
      </c>
      <c r="AK157" s="35">
        <f t="shared" si="21"/>
        <v>0</v>
      </c>
      <c r="AL157" s="36">
        <f t="shared" si="17"/>
        <v>0</v>
      </c>
      <c r="AM157" s="37">
        <f t="shared" si="22"/>
        <v>0</v>
      </c>
      <c r="AN157" s="38" t="s">
        <v>282</v>
      </c>
      <c r="AO157" s="38"/>
      <c r="AP157" s="39"/>
    </row>
    <row r="158" s="105" customFormat="1" ht="20.15" customHeight="1" spans="1:42">
      <c r="A158" s="68"/>
      <c r="B158" s="167" t="s">
        <v>283</v>
      </c>
      <c r="C158" s="150" t="s">
        <v>16</v>
      </c>
      <c r="D158" s="152" t="s">
        <v>346</v>
      </c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259"/>
      <c r="S158" s="96"/>
      <c r="T158" s="96"/>
      <c r="U158" s="96"/>
      <c r="V158" s="96"/>
      <c r="W158" s="96"/>
      <c r="X158" s="96"/>
      <c r="Y158" s="96"/>
      <c r="Z158" s="96"/>
      <c r="AA158" s="96"/>
      <c r="AB158" s="96" t="s">
        <v>12</v>
      </c>
      <c r="AC158" s="96"/>
      <c r="AD158" s="96"/>
      <c r="AE158" s="96"/>
      <c r="AF158" s="96"/>
      <c r="AG158" s="113"/>
      <c r="AH158" s="151"/>
      <c r="AI158" s="35">
        <f t="shared" si="19"/>
        <v>0</v>
      </c>
      <c r="AJ158" s="36">
        <f t="shared" si="20"/>
        <v>1</v>
      </c>
      <c r="AK158" s="35">
        <f t="shared" si="21"/>
        <v>0</v>
      </c>
      <c r="AL158" s="36">
        <f t="shared" si="17"/>
        <v>0</v>
      </c>
      <c r="AM158" s="37">
        <f t="shared" si="22"/>
        <v>1</v>
      </c>
      <c r="AN158" s="38"/>
      <c r="AO158" s="38"/>
      <c r="AP158" s="39"/>
    </row>
    <row r="159" s="105" customFormat="1" ht="20.15" customHeight="1" spans="1:42">
      <c r="A159" s="68"/>
      <c r="B159" s="270" t="s">
        <v>284</v>
      </c>
      <c r="C159" s="167" t="s">
        <v>285</v>
      </c>
      <c r="D159" s="152" t="s">
        <v>178</v>
      </c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259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113"/>
      <c r="AH159" s="151"/>
      <c r="AI159" s="35">
        <f t="shared" si="19"/>
        <v>0</v>
      </c>
      <c r="AJ159" s="36">
        <f t="shared" si="20"/>
        <v>0</v>
      </c>
      <c r="AK159" s="35">
        <f t="shared" si="21"/>
        <v>0</v>
      </c>
      <c r="AL159" s="36">
        <f t="shared" si="17"/>
        <v>0</v>
      </c>
      <c r="AM159" s="37">
        <f t="shared" si="22"/>
        <v>0</v>
      </c>
      <c r="AN159" s="130" t="s">
        <v>171</v>
      </c>
      <c r="AO159" s="38"/>
      <c r="AP159" s="39"/>
    </row>
    <row r="160" s="105" customFormat="1" ht="20.15" customHeight="1" spans="1:42">
      <c r="A160" s="68"/>
      <c r="B160" s="270" t="s">
        <v>286</v>
      </c>
      <c r="C160" s="150" t="s">
        <v>16</v>
      </c>
      <c r="D160" s="152" t="s">
        <v>180</v>
      </c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259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113"/>
      <c r="AH160" s="151"/>
      <c r="AI160" s="35">
        <f t="shared" si="19"/>
        <v>0</v>
      </c>
      <c r="AJ160" s="36">
        <f t="shared" si="20"/>
        <v>0</v>
      </c>
      <c r="AK160" s="35">
        <f t="shared" si="21"/>
        <v>0</v>
      </c>
      <c r="AL160" s="36">
        <f t="shared" si="17"/>
        <v>0</v>
      </c>
      <c r="AM160" s="37">
        <f t="shared" si="22"/>
        <v>0</v>
      </c>
      <c r="AN160" s="38"/>
      <c r="AO160" s="38"/>
      <c r="AP160" s="39"/>
    </row>
    <row r="161" s="105" customFormat="1" ht="20.15" customHeight="1" spans="1:42">
      <c r="A161" s="68"/>
      <c r="B161" s="270" t="s">
        <v>287</v>
      </c>
      <c r="C161" s="166" t="s">
        <v>16</v>
      </c>
      <c r="D161" s="149" t="s">
        <v>288</v>
      </c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 t="s">
        <v>11</v>
      </c>
      <c r="Z161" s="96"/>
      <c r="AA161" s="96"/>
      <c r="AB161" s="96"/>
      <c r="AC161" s="96"/>
      <c r="AD161" s="96"/>
      <c r="AE161" s="96"/>
      <c r="AF161" s="96"/>
      <c r="AG161" s="113"/>
      <c r="AH161" s="96"/>
      <c r="AI161" s="35">
        <f t="shared" si="19"/>
        <v>1</v>
      </c>
      <c r="AJ161" s="36">
        <f t="shared" si="20"/>
        <v>0</v>
      </c>
      <c r="AK161" s="35">
        <f t="shared" si="21"/>
        <v>0</v>
      </c>
      <c r="AL161" s="36">
        <f t="shared" si="17"/>
        <v>0</v>
      </c>
      <c r="AM161" s="37">
        <f t="shared" si="22"/>
        <v>1</v>
      </c>
      <c r="AN161" s="43" t="s">
        <v>336</v>
      </c>
      <c r="AO161" s="96"/>
      <c r="AP161" s="39"/>
    </row>
    <row r="162" s="105" customFormat="1" ht="20.15" customHeight="1" spans="1:42">
      <c r="A162" s="68"/>
      <c r="B162" s="270" t="s">
        <v>289</v>
      </c>
      <c r="C162" s="150" t="s">
        <v>16</v>
      </c>
      <c r="D162" s="152" t="s">
        <v>231</v>
      </c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113"/>
      <c r="AH162" s="96"/>
      <c r="AI162" s="35">
        <f t="shared" si="19"/>
        <v>0</v>
      </c>
      <c r="AJ162" s="36">
        <f t="shared" si="20"/>
        <v>0</v>
      </c>
      <c r="AK162" s="35">
        <f t="shared" si="21"/>
        <v>0</v>
      </c>
      <c r="AL162" s="36">
        <f t="shared" si="17"/>
        <v>0</v>
      </c>
      <c r="AM162" s="37">
        <f t="shared" si="22"/>
        <v>0</v>
      </c>
      <c r="AN162" s="37" t="s">
        <v>228</v>
      </c>
      <c r="AO162" s="96"/>
      <c r="AP162" s="39"/>
    </row>
    <row r="163" s="105" customFormat="1" ht="20.15" customHeight="1" spans="1:42">
      <c r="A163" s="68"/>
      <c r="B163" s="270" t="s">
        <v>290</v>
      </c>
      <c r="C163" s="150" t="s">
        <v>16</v>
      </c>
      <c r="D163" s="152" t="s">
        <v>236</v>
      </c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 t="s">
        <v>11</v>
      </c>
      <c r="Q163" s="96"/>
      <c r="R163" s="259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113"/>
      <c r="AH163" s="151"/>
      <c r="AI163" s="35">
        <f t="shared" si="19"/>
        <v>1</v>
      </c>
      <c r="AJ163" s="36">
        <f t="shared" si="20"/>
        <v>0</v>
      </c>
      <c r="AK163" s="35">
        <f t="shared" si="21"/>
        <v>0</v>
      </c>
      <c r="AL163" s="36">
        <f t="shared" si="17"/>
        <v>0</v>
      </c>
      <c r="AM163" s="37">
        <f t="shared" si="22"/>
        <v>1</v>
      </c>
      <c r="AN163" s="43" t="s">
        <v>336</v>
      </c>
      <c r="AO163" s="38"/>
      <c r="AP163" s="39"/>
    </row>
    <row r="164" s="105" customFormat="1" ht="20.15" customHeight="1" spans="1:42">
      <c r="A164" s="68"/>
      <c r="B164" s="167" t="s">
        <v>291</v>
      </c>
      <c r="C164" s="167" t="s">
        <v>108</v>
      </c>
      <c r="D164" s="152" t="s">
        <v>153</v>
      </c>
      <c r="E164" s="96"/>
      <c r="F164" s="96"/>
      <c r="G164" s="96"/>
      <c r="H164" s="96"/>
      <c r="I164" s="96"/>
      <c r="J164" s="96"/>
      <c r="K164" s="96"/>
      <c r="L164" s="96" t="s">
        <v>11</v>
      </c>
      <c r="M164" s="96"/>
      <c r="N164" s="96"/>
      <c r="O164" s="96"/>
      <c r="P164" s="96"/>
      <c r="Q164" s="96"/>
      <c r="R164" s="259"/>
      <c r="S164" s="96"/>
      <c r="T164" s="96"/>
      <c r="U164" s="96"/>
      <c r="V164" s="96"/>
      <c r="W164" s="96"/>
      <c r="X164" s="96" t="s">
        <v>11</v>
      </c>
      <c r="Y164" s="96"/>
      <c r="Z164" s="96"/>
      <c r="AA164" s="96"/>
      <c r="AB164" s="96"/>
      <c r="AC164" s="96"/>
      <c r="AD164" s="96"/>
      <c r="AE164" s="96"/>
      <c r="AF164" s="96"/>
      <c r="AG164" s="113"/>
      <c r="AH164" s="151">
        <f>COUNTIF(E164:AF164,"H")</f>
        <v>0</v>
      </c>
      <c r="AI164" s="47">
        <f t="shared" si="19"/>
        <v>2</v>
      </c>
      <c r="AJ164" s="35">
        <f t="shared" si="20"/>
        <v>0</v>
      </c>
      <c r="AK164" s="35">
        <f t="shared" si="21"/>
        <v>0</v>
      </c>
      <c r="AL164" s="36">
        <f t="shared" si="17"/>
        <v>0</v>
      </c>
      <c r="AM164" s="48">
        <f t="shared" si="22"/>
        <v>2</v>
      </c>
      <c r="AN164" s="43" t="s">
        <v>336</v>
      </c>
      <c r="AO164" s="38">
        <v>26</v>
      </c>
      <c r="AP164" s="39">
        <f>AM164/AO164</f>
        <v>0.0769230769230769</v>
      </c>
    </row>
    <row r="165" ht="20.15" customHeight="1" spans="1:42">
      <c r="A165" s="97"/>
      <c r="B165" s="97" t="s">
        <v>292</v>
      </c>
      <c r="C165" s="166" t="s">
        <v>16</v>
      </c>
      <c r="D165" s="152" t="s">
        <v>112</v>
      </c>
      <c r="E165" s="271"/>
      <c r="F165" s="271"/>
      <c r="G165" s="96" t="s">
        <v>12</v>
      </c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59"/>
      <c r="W165" s="96"/>
      <c r="X165" s="96"/>
      <c r="Y165" s="271"/>
      <c r="Z165" s="271"/>
      <c r="AA165" s="271"/>
      <c r="AB165" s="271"/>
      <c r="AC165" s="271"/>
      <c r="AD165" s="271"/>
      <c r="AE165" s="271"/>
      <c r="AF165" s="271"/>
      <c r="AG165" s="113"/>
      <c r="AI165" s="131">
        <f t="shared" si="19"/>
        <v>0</v>
      </c>
      <c r="AJ165" s="103">
        <f t="shared" si="20"/>
        <v>1</v>
      </c>
      <c r="AK165" s="131">
        <f t="shared" si="21"/>
        <v>0</v>
      </c>
      <c r="AL165" s="36">
        <f t="shared" si="17"/>
        <v>0</v>
      </c>
      <c r="AM165" s="128">
        <f t="shared" si="22"/>
        <v>1</v>
      </c>
      <c r="AN165" s="128" t="s">
        <v>305</v>
      </c>
      <c r="AO165" s="97"/>
      <c r="AP165" s="97"/>
    </row>
    <row r="166" ht="20.15" customHeight="1" spans="1:42">
      <c r="A166" s="97"/>
      <c r="B166" s="99" t="s">
        <v>293</v>
      </c>
      <c r="C166" s="170" t="s">
        <v>16</v>
      </c>
      <c r="D166" s="171" t="s">
        <v>112</v>
      </c>
      <c r="E166" s="272"/>
      <c r="F166" s="272"/>
      <c r="G166" s="272"/>
      <c r="H166" s="241" t="s">
        <v>11</v>
      </c>
      <c r="I166" s="241" t="s">
        <v>11</v>
      </c>
      <c r="J166" s="272"/>
      <c r="K166" s="272"/>
      <c r="L166" s="272"/>
      <c r="M166" s="272"/>
      <c r="N166" s="272"/>
      <c r="O166" s="272"/>
      <c r="P166" s="272"/>
      <c r="Q166" s="272"/>
      <c r="R166" s="272"/>
      <c r="S166" s="272"/>
      <c r="T166" s="272"/>
      <c r="U166" s="272"/>
      <c r="V166" s="272"/>
      <c r="W166" s="241"/>
      <c r="X166" s="241"/>
      <c r="Y166" s="272"/>
      <c r="Z166" s="272"/>
      <c r="AA166" s="272"/>
      <c r="AB166" s="272"/>
      <c r="AC166" s="272"/>
      <c r="AD166" s="272"/>
      <c r="AE166" s="241"/>
      <c r="AF166" s="272"/>
      <c r="AG166" s="113"/>
      <c r="AI166" s="173">
        <f t="shared" si="19"/>
        <v>2</v>
      </c>
      <c r="AJ166" s="174">
        <f t="shared" si="20"/>
        <v>0</v>
      </c>
      <c r="AK166" s="175">
        <f t="shared" si="21"/>
        <v>0</v>
      </c>
      <c r="AL166" s="105">
        <f t="shared" si="17"/>
        <v>0</v>
      </c>
      <c r="AM166" s="173">
        <f t="shared" si="22"/>
        <v>2</v>
      </c>
      <c r="AN166" s="175" t="s">
        <v>336</v>
      </c>
      <c r="AO166" s="99"/>
      <c r="AP166" s="99"/>
    </row>
    <row r="167" s="105" customFormat="1" ht="20.15" customHeight="1" spans="1:42">
      <c r="A167" s="101"/>
      <c r="B167" s="219" t="s">
        <v>294</v>
      </c>
      <c r="C167" s="149" t="s">
        <v>16</v>
      </c>
      <c r="D167" s="149" t="s">
        <v>180</v>
      </c>
      <c r="E167" s="96"/>
      <c r="F167" s="96"/>
      <c r="G167" s="96"/>
      <c r="H167" s="96"/>
      <c r="I167" s="96" t="s">
        <v>11</v>
      </c>
      <c r="J167" s="96"/>
      <c r="K167" s="96"/>
      <c r="L167" s="96"/>
      <c r="M167" s="96" t="s">
        <v>11</v>
      </c>
      <c r="N167" s="96"/>
      <c r="O167" s="96"/>
      <c r="P167" s="96"/>
      <c r="Q167" s="96"/>
      <c r="R167" s="259"/>
      <c r="S167" s="96"/>
      <c r="T167" s="96"/>
      <c r="U167" s="96"/>
      <c r="V167" s="96"/>
      <c r="W167" s="96"/>
      <c r="X167" s="96"/>
      <c r="Y167" s="96"/>
      <c r="Z167" s="96"/>
      <c r="AA167" s="96" t="s">
        <v>11</v>
      </c>
      <c r="AB167" s="96" t="s">
        <v>11</v>
      </c>
      <c r="AC167" s="96"/>
      <c r="AD167" s="96"/>
      <c r="AE167" s="96"/>
      <c r="AF167" s="96"/>
      <c r="AG167" s="113"/>
      <c r="AH167" s="151">
        <f>COUNTIF(E167:AF167,"H")</f>
        <v>0</v>
      </c>
      <c r="AI167" s="43">
        <f t="shared" si="19"/>
        <v>4</v>
      </c>
      <c r="AJ167" s="43">
        <f t="shared" si="20"/>
        <v>0</v>
      </c>
      <c r="AK167" s="176">
        <f t="shared" si="21"/>
        <v>0</v>
      </c>
      <c r="AL167" s="66">
        <f t="shared" si="17"/>
        <v>0</v>
      </c>
      <c r="AM167" s="43">
        <f t="shared" si="22"/>
        <v>4</v>
      </c>
      <c r="AN167" s="43" t="s">
        <v>336</v>
      </c>
      <c r="AO167" s="101"/>
      <c r="AP167" s="102"/>
    </row>
    <row r="168" s="105" customFormat="1" ht="20.15" customHeight="1" spans="1:42">
      <c r="A168" s="66"/>
      <c r="B168" s="273" t="s">
        <v>295</v>
      </c>
      <c r="C168" s="177" t="s">
        <v>296</v>
      </c>
      <c r="D168" s="177" t="s">
        <v>112</v>
      </c>
      <c r="E168" s="274"/>
      <c r="F168" s="274"/>
      <c r="G168" s="274"/>
      <c r="H168" s="274"/>
      <c r="I168" s="274"/>
      <c r="J168" s="274"/>
      <c r="K168" s="274"/>
      <c r="L168" s="274" t="s">
        <v>12</v>
      </c>
      <c r="M168" s="274"/>
      <c r="N168" s="274"/>
      <c r="O168" s="274"/>
      <c r="P168" s="274"/>
      <c r="Q168" s="274"/>
      <c r="R168" s="275"/>
      <c r="S168" s="274"/>
      <c r="T168" s="274"/>
      <c r="U168" s="274"/>
      <c r="V168" s="274"/>
      <c r="W168" s="274"/>
      <c r="X168" s="274"/>
      <c r="Y168" s="274"/>
      <c r="Z168" s="274"/>
      <c r="AA168" s="274"/>
      <c r="AB168" s="274"/>
      <c r="AC168" s="274"/>
      <c r="AD168" s="274"/>
      <c r="AE168" s="274"/>
      <c r="AF168" s="274"/>
      <c r="AG168" s="113"/>
      <c r="AH168" s="179"/>
      <c r="AI168" s="131">
        <f t="shared" si="19"/>
        <v>0</v>
      </c>
      <c r="AJ168" s="103">
        <f t="shared" si="20"/>
        <v>1</v>
      </c>
      <c r="AK168" s="131">
        <f t="shared" si="21"/>
        <v>0</v>
      </c>
      <c r="AL168" s="103">
        <f t="shared" si="17"/>
        <v>0</v>
      </c>
      <c r="AM168" s="131">
        <f t="shared" si="22"/>
        <v>1</v>
      </c>
      <c r="AN168" s="131" t="s">
        <v>228</v>
      </c>
      <c r="AO168" s="101"/>
      <c r="AP168" s="102"/>
    </row>
    <row r="169" s="105" customFormat="1" ht="20.15" customHeight="1" spans="1:42">
      <c r="A169" s="112"/>
      <c r="B169" s="276" t="s">
        <v>297</v>
      </c>
      <c r="C169" s="164" t="s">
        <v>111</v>
      </c>
      <c r="D169" s="152" t="s">
        <v>298</v>
      </c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  <c r="AA169" s="112"/>
      <c r="AB169" s="112"/>
      <c r="AC169" s="112"/>
      <c r="AD169" s="112"/>
      <c r="AE169" s="112"/>
      <c r="AF169" s="112"/>
      <c r="AG169" s="113"/>
      <c r="AH169" s="151">
        <f>COUNTIF(E169:AF169,"H")</f>
        <v>0</v>
      </c>
      <c r="AI169" s="47">
        <f t="shared" si="19"/>
        <v>0</v>
      </c>
      <c r="AJ169" s="35">
        <f t="shared" si="20"/>
        <v>0</v>
      </c>
      <c r="AK169" s="35">
        <f t="shared" si="21"/>
        <v>0</v>
      </c>
      <c r="AL169" s="36">
        <f t="shared" si="17"/>
        <v>0</v>
      </c>
      <c r="AM169" s="48">
        <f t="shared" si="22"/>
        <v>0</v>
      </c>
      <c r="AN169" s="37" t="s">
        <v>299</v>
      </c>
      <c r="AO169" s="38"/>
      <c r="AP169" s="104"/>
    </row>
    <row r="170" s="105" customFormat="1" ht="20.15" customHeight="1" spans="1:42">
      <c r="A170" s="112"/>
      <c r="B170" s="190" t="s">
        <v>300</v>
      </c>
      <c r="C170" s="150" t="s">
        <v>59</v>
      </c>
      <c r="D170" s="149" t="s">
        <v>180</v>
      </c>
      <c r="E170" s="112"/>
      <c r="F170" s="112"/>
      <c r="G170" s="112"/>
      <c r="H170" s="241" t="s">
        <v>11</v>
      </c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  <c r="AA170" s="112"/>
      <c r="AB170" s="112"/>
      <c r="AC170" s="112"/>
      <c r="AD170" s="112"/>
      <c r="AE170" s="112"/>
      <c r="AF170" s="112"/>
      <c r="AG170" s="113"/>
      <c r="AH170" s="151">
        <f>COUNTIF(E170:AF170,"H")</f>
        <v>0</v>
      </c>
      <c r="AI170" s="47">
        <f t="shared" si="19"/>
        <v>1</v>
      </c>
      <c r="AJ170" s="35">
        <f t="shared" si="20"/>
        <v>0</v>
      </c>
      <c r="AK170" s="35">
        <f t="shared" si="21"/>
        <v>0</v>
      </c>
      <c r="AL170" s="36">
        <f t="shared" si="17"/>
        <v>0</v>
      </c>
      <c r="AM170" s="48">
        <f t="shared" si="22"/>
        <v>1</v>
      </c>
      <c r="AN170" s="37" t="s">
        <v>228</v>
      </c>
      <c r="AO170" s="38"/>
      <c r="AP170" s="104"/>
    </row>
    <row r="171" s="105" customFormat="1" ht="20.15" customHeight="1" spans="1:42">
      <c r="A171" s="112"/>
      <c r="B171" s="190" t="s">
        <v>318</v>
      </c>
      <c r="C171" s="166" t="s">
        <v>296</v>
      </c>
      <c r="D171" s="171" t="s">
        <v>180</v>
      </c>
      <c r="E171" s="112"/>
      <c r="F171" s="112"/>
      <c r="G171" s="112"/>
      <c r="H171" s="112"/>
      <c r="I171" s="112"/>
      <c r="J171" s="112" t="s">
        <v>11</v>
      </c>
      <c r="K171" s="112"/>
      <c r="L171" s="112"/>
      <c r="M171" s="112"/>
      <c r="N171" s="112"/>
      <c r="O171" s="112" t="s">
        <v>13</v>
      </c>
      <c r="P171" s="112"/>
      <c r="Q171" s="112"/>
      <c r="R171" s="112"/>
      <c r="S171" s="112"/>
      <c r="T171" s="112"/>
      <c r="U171" s="112"/>
      <c r="V171" s="112"/>
      <c r="W171" s="112"/>
      <c r="X171" s="112" t="s">
        <v>11</v>
      </c>
      <c r="Y171" s="112"/>
      <c r="Z171" s="112"/>
      <c r="AA171" s="112"/>
      <c r="AB171" s="112"/>
      <c r="AC171" s="112"/>
      <c r="AD171" s="112"/>
      <c r="AE171" s="112"/>
      <c r="AF171" s="112"/>
      <c r="AG171" s="113"/>
      <c r="AH171" s="179"/>
      <c r="AI171" s="131">
        <f t="shared" si="19"/>
        <v>2</v>
      </c>
      <c r="AJ171" s="103">
        <f t="shared" si="20"/>
        <v>0</v>
      </c>
      <c r="AK171" s="131">
        <f t="shared" si="21"/>
        <v>1</v>
      </c>
      <c r="AL171" s="103">
        <f t="shared" si="17"/>
        <v>0</v>
      </c>
      <c r="AM171" s="128">
        <f t="shared" si="22"/>
        <v>3</v>
      </c>
      <c r="AN171" s="43" t="s">
        <v>336</v>
      </c>
      <c r="AP171" s="106"/>
    </row>
    <row r="172" s="105" customFormat="1" ht="20.15" customHeight="1" spans="1:42">
      <c r="A172" s="112"/>
      <c r="B172" s="276" t="s">
        <v>319</v>
      </c>
      <c r="C172" s="170" t="s">
        <v>16</v>
      </c>
      <c r="D172" s="149" t="s">
        <v>219</v>
      </c>
      <c r="E172" s="112"/>
      <c r="F172" s="112"/>
      <c r="G172" s="112"/>
      <c r="H172" s="112"/>
      <c r="I172" s="112"/>
      <c r="J172" s="112"/>
      <c r="K172" s="112"/>
      <c r="L172" s="112"/>
      <c r="M172" s="112"/>
      <c r="N172" s="112" t="s">
        <v>11</v>
      </c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  <c r="AA172" s="112"/>
      <c r="AB172" s="112"/>
      <c r="AC172" s="112"/>
      <c r="AD172" s="112"/>
      <c r="AE172" s="112"/>
      <c r="AF172" s="112"/>
      <c r="AG172" s="113"/>
      <c r="AH172" s="151">
        <f>COUNTIF(E172:AF172,"H")</f>
        <v>0</v>
      </c>
      <c r="AI172" s="43">
        <f t="shared" si="19"/>
        <v>1</v>
      </c>
      <c r="AJ172" s="43">
        <f t="shared" si="20"/>
        <v>0</v>
      </c>
      <c r="AK172" s="176">
        <f t="shared" si="21"/>
        <v>0</v>
      </c>
      <c r="AL172" s="66">
        <f t="shared" si="17"/>
        <v>0</v>
      </c>
      <c r="AM172" s="43">
        <f t="shared" si="22"/>
        <v>1</v>
      </c>
      <c r="AN172" s="43" t="s">
        <v>336</v>
      </c>
      <c r="AP172" s="106"/>
    </row>
    <row r="173" s="105" customFormat="1" ht="20.15" customHeight="1" spans="1:42">
      <c r="A173" s="112"/>
      <c r="B173" s="276" t="s">
        <v>358</v>
      </c>
      <c r="C173" s="150" t="s">
        <v>59</v>
      </c>
      <c r="D173" s="171" t="s">
        <v>178</v>
      </c>
      <c r="E173" s="112" t="s">
        <v>11</v>
      </c>
      <c r="F173" s="112"/>
      <c r="G173" s="112"/>
      <c r="H173" s="112"/>
      <c r="I173" s="112"/>
      <c r="J173" s="112"/>
      <c r="K173" s="112" t="s">
        <v>11</v>
      </c>
      <c r="L173" s="112" t="s">
        <v>13</v>
      </c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3"/>
      <c r="AH173" s="179"/>
      <c r="AI173" s="43">
        <f t="shared" si="19"/>
        <v>2</v>
      </c>
      <c r="AJ173" s="43">
        <f t="shared" si="20"/>
        <v>0</v>
      </c>
      <c r="AK173" s="176">
        <f t="shared" si="21"/>
        <v>1</v>
      </c>
      <c r="AL173" s="66">
        <f t="shared" si="17"/>
        <v>0</v>
      </c>
      <c r="AM173" s="43">
        <f t="shared" si="22"/>
        <v>3</v>
      </c>
      <c r="AN173" s="131"/>
      <c r="AP173" s="106"/>
    </row>
    <row r="174" s="105" customFormat="1" ht="20.15" customHeight="1" spans="1:42">
      <c r="A174" s="112"/>
      <c r="B174" s="276" t="s">
        <v>320</v>
      </c>
      <c r="C174" s="170" t="s">
        <v>321</v>
      </c>
      <c r="D174" s="149" t="s">
        <v>322</v>
      </c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  <c r="AA174" s="112"/>
      <c r="AB174" s="112"/>
      <c r="AC174" s="112"/>
      <c r="AD174" s="112"/>
      <c r="AE174" s="112"/>
      <c r="AF174" s="112"/>
      <c r="AG174" s="113"/>
      <c r="AH174" s="179"/>
      <c r="AI174" s="43">
        <f t="shared" si="19"/>
        <v>0</v>
      </c>
      <c r="AJ174" s="43">
        <f t="shared" si="20"/>
        <v>0</v>
      </c>
      <c r="AK174" s="176">
        <f t="shared" si="21"/>
        <v>0</v>
      </c>
      <c r="AL174" s="66">
        <f t="shared" si="17"/>
        <v>0</v>
      </c>
      <c r="AM174" s="43">
        <f t="shared" si="22"/>
        <v>0</v>
      </c>
      <c r="AN174" s="131"/>
      <c r="AP174" s="106"/>
    </row>
    <row r="175" s="105" customFormat="1" ht="20.15" customHeight="1" spans="1:42">
      <c r="A175" s="112"/>
      <c r="B175" s="276" t="s">
        <v>323</v>
      </c>
      <c r="C175" s="150" t="s">
        <v>59</v>
      </c>
      <c r="D175" s="149" t="s">
        <v>267</v>
      </c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  <c r="AA175" s="112"/>
      <c r="AB175" s="112"/>
      <c r="AC175" s="112"/>
      <c r="AD175" s="112"/>
      <c r="AE175" s="112"/>
      <c r="AF175" s="112"/>
      <c r="AG175" s="113"/>
      <c r="AH175" s="179"/>
      <c r="AI175" s="43">
        <f t="shared" si="19"/>
        <v>0</v>
      </c>
      <c r="AJ175" s="43">
        <f t="shared" si="20"/>
        <v>0</v>
      </c>
      <c r="AK175" s="176">
        <f t="shared" si="21"/>
        <v>0</v>
      </c>
      <c r="AL175" s="66">
        <f t="shared" si="17"/>
        <v>0</v>
      </c>
      <c r="AM175" s="43">
        <f t="shared" si="22"/>
        <v>0</v>
      </c>
      <c r="AN175" s="131"/>
      <c r="AP175" s="106"/>
    </row>
    <row r="176" s="105" customFormat="1" ht="20.15" customHeight="1" spans="1:42">
      <c r="A176" s="112"/>
      <c r="B176" s="276" t="s">
        <v>324</v>
      </c>
      <c r="C176" s="170" t="s">
        <v>325</v>
      </c>
      <c r="D176" s="149" t="s">
        <v>273</v>
      </c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  <c r="AA176" s="112"/>
      <c r="AB176" s="112"/>
      <c r="AC176" s="112"/>
      <c r="AD176" s="112"/>
      <c r="AE176" s="112"/>
      <c r="AF176" s="112"/>
      <c r="AG176" s="113"/>
      <c r="AH176" s="179"/>
      <c r="AI176" s="43">
        <f t="shared" si="19"/>
        <v>0</v>
      </c>
      <c r="AJ176" s="43">
        <f t="shared" si="20"/>
        <v>0</v>
      </c>
      <c r="AK176" s="176">
        <f t="shared" si="21"/>
        <v>0</v>
      </c>
      <c r="AL176" s="66">
        <f t="shared" si="17"/>
        <v>0</v>
      </c>
      <c r="AM176" s="43">
        <f t="shared" si="22"/>
        <v>0</v>
      </c>
      <c r="AN176" s="131"/>
      <c r="AP176" s="106"/>
    </row>
    <row r="177" s="105" customFormat="1" ht="20.15" customHeight="1" spans="1:42">
      <c r="A177" s="112"/>
      <c r="B177" s="276" t="s">
        <v>326</v>
      </c>
      <c r="C177" s="181" t="s">
        <v>59</v>
      </c>
      <c r="D177" s="171" t="s">
        <v>178</v>
      </c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  <c r="AA177" s="112"/>
      <c r="AB177" s="112"/>
      <c r="AC177" s="112"/>
      <c r="AD177" s="112"/>
      <c r="AE177" s="112"/>
      <c r="AF177" s="112"/>
      <c r="AG177" s="113"/>
      <c r="AH177" s="179"/>
      <c r="AI177" s="43">
        <f t="shared" si="19"/>
        <v>0</v>
      </c>
      <c r="AJ177" s="43">
        <f t="shared" si="20"/>
        <v>0</v>
      </c>
      <c r="AK177" s="176">
        <f t="shared" si="21"/>
        <v>0</v>
      </c>
      <c r="AL177" s="66">
        <f t="shared" si="17"/>
        <v>0</v>
      </c>
      <c r="AM177" s="43">
        <f t="shared" si="22"/>
        <v>0</v>
      </c>
      <c r="AN177" s="131"/>
      <c r="AP177" s="106"/>
    </row>
    <row r="178" s="105" customFormat="1" ht="20.15" customHeight="1" spans="1:42">
      <c r="A178" s="112"/>
      <c r="B178" s="182" t="s">
        <v>327</v>
      </c>
      <c r="C178" s="166" t="s">
        <v>59</v>
      </c>
      <c r="D178" s="166" t="s">
        <v>178</v>
      </c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 t="s">
        <v>11</v>
      </c>
      <c r="P178" s="112"/>
      <c r="Q178" s="112"/>
      <c r="R178" s="112"/>
      <c r="S178" s="112"/>
      <c r="T178" s="112"/>
      <c r="U178" s="180"/>
      <c r="V178" s="112"/>
      <c r="W178" s="112"/>
      <c r="X178" s="112"/>
      <c r="Y178" s="112"/>
      <c r="Z178" s="112"/>
      <c r="AA178" s="112" t="s">
        <v>12</v>
      </c>
      <c r="AB178" s="112"/>
      <c r="AC178" s="112"/>
      <c r="AD178" s="112"/>
      <c r="AE178" s="112"/>
      <c r="AF178" s="112"/>
      <c r="AG178" s="113"/>
      <c r="AH178" s="179"/>
      <c r="AI178" s="43">
        <f t="shared" si="19"/>
        <v>1</v>
      </c>
      <c r="AJ178" s="43">
        <f t="shared" si="20"/>
        <v>1</v>
      </c>
      <c r="AK178" s="176">
        <f t="shared" si="21"/>
        <v>0</v>
      </c>
      <c r="AL178" s="66">
        <f t="shared" si="17"/>
        <v>0</v>
      </c>
      <c r="AM178" s="43">
        <f t="shared" si="22"/>
        <v>2</v>
      </c>
      <c r="AN178" s="43" t="s">
        <v>336</v>
      </c>
      <c r="AP178" s="106"/>
    </row>
    <row r="179" s="105" customFormat="1" ht="20.15" customHeight="1" spans="1:42">
      <c r="A179" s="112"/>
      <c r="B179" s="182" t="s">
        <v>329</v>
      </c>
      <c r="C179" s="166" t="s">
        <v>330</v>
      </c>
      <c r="D179" s="166" t="s">
        <v>238</v>
      </c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 t="s">
        <v>11</v>
      </c>
      <c r="AA179" s="112"/>
      <c r="AB179" s="112"/>
      <c r="AC179" s="112"/>
      <c r="AD179" s="112"/>
      <c r="AE179" s="112"/>
      <c r="AF179" s="112"/>
      <c r="AG179" s="113"/>
      <c r="AH179" s="179"/>
      <c r="AI179" s="43">
        <f t="shared" si="19"/>
        <v>1</v>
      </c>
      <c r="AJ179" s="43">
        <f t="shared" si="20"/>
        <v>0</v>
      </c>
      <c r="AK179" s="176">
        <f t="shared" si="21"/>
        <v>0</v>
      </c>
      <c r="AL179" s="66">
        <f t="shared" si="17"/>
        <v>0</v>
      </c>
      <c r="AM179" s="43">
        <f t="shared" si="22"/>
        <v>1</v>
      </c>
      <c r="AN179" s="43" t="s">
        <v>336</v>
      </c>
      <c r="AP179" s="106"/>
    </row>
    <row r="180" s="105" customFormat="1" ht="20.15" customHeight="1" spans="1:42">
      <c r="A180" s="112"/>
      <c r="B180" s="182" t="s">
        <v>331</v>
      </c>
      <c r="C180" s="166" t="s">
        <v>211</v>
      </c>
      <c r="D180" s="152" t="s">
        <v>112</v>
      </c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 t="s">
        <v>11</v>
      </c>
      <c r="Z180" s="112"/>
      <c r="AA180" s="112"/>
      <c r="AB180" s="112"/>
      <c r="AC180" s="112"/>
      <c r="AD180" s="112"/>
      <c r="AE180" s="112"/>
      <c r="AF180" s="112"/>
      <c r="AG180" s="113"/>
      <c r="AH180" s="179"/>
      <c r="AI180" s="35">
        <f t="shared" si="19"/>
        <v>1</v>
      </c>
      <c r="AJ180" s="43">
        <f t="shared" si="20"/>
        <v>0</v>
      </c>
      <c r="AK180" s="35">
        <f t="shared" si="21"/>
        <v>0</v>
      </c>
      <c r="AL180" s="36">
        <f t="shared" si="17"/>
        <v>0</v>
      </c>
      <c r="AM180" s="37">
        <f t="shared" si="22"/>
        <v>1</v>
      </c>
      <c r="AN180" s="43" t="s">
        <v>336</v>
      </c>
      <c r="AP180" s="106"/>
    </row>
    <row r="181" s="105" customFormat="1" ht="20.15" customHeight="1" spans="1:42">
      <c r="A181" s="182"/>
      <c r="B181" s="182" t="s">
        <v>332</v>
      </c>
      <c r="C181" s="182" t="s">
        <v>333</v>
      </c>
      <c r="D181" s="182" t="s">
        <v>112</v>
      </c>
      <c r="E181" s="182"/>
      <c r="F181" s="182"/>
      <c r="G181" s="182"/>
      <c r="H181" s="182"/>
      <c r="I181" s="182"/>
      <c r="J181" s="182" t="s">
        <v>11</v>
      </c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12" t="s">
        <v>11</v>
      </c>
      <c r="Y181" s="182"/>
      <c r="Z181" s="182"/>
      <c r="AA181" s="182"/>
      <c r="AB181" s="182"/>
      <c r="AC181" s="182"/>
      <c r="AD181" s="182"/>
      <c r="AE181" s="182"/>
      <c r="AF181" s="182"/>
      <c r="AG181" s="113"/>
      <c r="AH181" s="179"/>
      <c r="AI181" s="35">
        <f t="shared" si="19"/>
        <v>2</v>
      </c>
      <c r="AJ181" s="43">
        <f t="shared" si="20"/>
        <v>0</v>
      </c>
      <c r="AK181" s="35">
        <f t="shared" si="21"/>
        <v>0</v>
      </c>
      <c r="AL181" s="36">
        <f t="shared" si="17"/>
        <v>0</v>
      </c>
      <c r="AM181" s="37">
        <f t="shared" si="22"/>
        <v>2</v>
      </c>
      <c r="AN181" s="43" t="s">
        <v>336</v>
      </c>
      <c r="AP181" s="106"/>
    </row>
    <row r="182" s="105" customFormat="1" ht="20.15" customHeight="1" spans="1:42">
      <c r="A182" s="182"/>
      <c r="B182" s="182" t="s">
        <v>334</v>
      </c>
      <c r="C182" s="182" t="s">
        <v>296</v>
      </c>
      <c r="D182" s="182" t="s">
        <v>180</v>
      </c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13"/>
      <c r="AH182" s="179"/>
      <c r="AI182" s="35">
        <f t="shared" si="19"/>
        <v>0</v>
      </c>
      <c r="AJ182" s="43">
        <f t="shared" si="20"/>
        <v>0</v>
      </c>
      <c r="AK182" s="35">
        <f t="shared" si="21"/>
        <v>0</v>
      </c>
      <c r="AL182" s="36">
        <f t="shared" si="17"/>
        <v>0</v>
      </c>
      <c r="AM182" s="37">
        <f t="shared" si="22"/>
        <v>0</v>
      </c>
      <c r="AN182" s="131"/>
      <c r="AP182" s="106"/>
    </row>
    <row r="183" s="105" customFormat="1" ht="20.15" customHeight="1" spans="1:42">
      <c r="A183" s="182"/>
      <c r="B183" s="182" t="s">
        <v>335</v>
      </c>
      <c r="C183" s="182" t="s">
        <v>131</v>
      </c>
      <c r="D183" s="182" t="s">
        <v>112</v>
      </c>
      <c r="E183" s="182"/>
      <c r="F183" s="182"/>
      <c r="G183" s="182"/>
      <c r="H183" s="182"/>
      <c r="I183" s="182"/>
      <c r="J183" s="182"/>
      <c r="K183" s="182"/>
      <c r="L183" s="182"/>
      <c r="M183" s="182"/>
      <c r="N183" s="182" t="s">
        <v>11</v>
      </c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13"/>
      <c r="AH183" s="179"/>
      <c r="AI183" s="35">
        <f t="shared" si="19"/>
        <v>1</v>
      </c>
      <c r="AJ183" s="43">
        <f t="shared" si="20"/>
        <v>0</v>
      </c>
      <c r="AK183" s="35">
        <f t="shared" si="21"/>
        <v>0</v>
      </c>
      <c r="AL183" s="36">
        <f t="shared" si="17"/>
        <v>0</v>
      </c>
      <c r="AM183" s="37">
        <f t="shared" si="22"/>
        <v>1</v>
      </c>
      <c r="AN183" s="131"/>
      <c r="AP183" s="106"/>
    </row>
    <row r="184" s="105" customFormat="1" ht="20.15" customHeight="1" spans="1:42">
      <c r="A184" s="182"/>
      <c r="B184" s="182" t="s">
        <v>359</v>
      </c>
      <c r="C184" s="182" t="s">
        <v>16</v>
      </c>
      <c r="D184" s="182" t="s">
        <v>178</v>
      </c>
      <c r="E184" s="182"/>
      <c r="F184" s="182"/>
      <c r="G184" s="182" t="s">
        <v>103</v>
      </c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13"/>
      <c r="AH184" s="179"/>
      <c r="AI184" s="35">
        <f t="shared" si="19"/>
        <v>0</v>
      </c>
      <c r="AJ184" s="36">
        <f t="shared" si="20"/>
        <v>1</v>
      </c>
      <c r="AK184" s="35">
        <f t="shared" si="21"/>
        <v>0</v>
      </c>
      <c r="AL184" s="36">
        <f t="shared" si="17"/>
        <v>0</v>
      </c>
      <c r="AM184" s="37">
        <f t="shared" si="22"/>
        <v>1</v>
      </c>
      <c r="AN184" s="131"/>
      <c r="AP184" s="106"/>
    </row>
    <row r="185" s="105" customFormat="1" ht="20.15" customHeight="1" spans="1:42">
      <c r="A185" s="182"/>
      <c r="B185" s="182" t="s">
        <v>360</v>
      </c>
      <c r="C185" s="182" t="s">
        <v>16</v>
      </c>
      <c r="D185" s="182" t="s">
        <v>178</v>
      </c>
      <c r="E185" s="182"/>
      <c r="F185" s="182"/>
      <c r="G185" s="182" t="s">
        <v>11</v>
      </c>
      <c r="H185" s="182" t="s">
        <v>11</v>
      </c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  <c r="AG185" s="113"/>
      <c r="AH185" s="179"/>
      <c r="AI185" s="131">
        <f t="shared" si="19"/>
        <v>2</v>
      </c>
      <c r="AJ185" s="103">
        <f t="shared" si="20"/>
        <v>0</v>
      </c>
      <c r="AK185" s="131">
        <f t="shared" si="21"/>
        <v>0</v>
      </c>
      <c r="AL185" s="103">
        <f t="shared" si="17"/>
        <v>0</v>
      </c>
      <c r="AM185" s="128">
        <f t="shared" si="22"/>
        <v>2</v>
      </c>
      <c r="AN185" s="131"/>
      <c r="AP185" s="106"/>
    </row>
    <row r="186" s="105" customFormat="1" ht="20.15" customHeight="1" spans="1:42">
      <c r="A186" s="182"/>
      <c r="B186" s="182" t="s">
        <v>361</v>
      </c>
      <c r="C186" s="182" t="s">
        <v>131</v>
      </c>
      <c r="D186" s="182" t="s">
        <v>112</v>
      </c>
      <c r="E186" s="182"/>
      <c r="F186" s="182"/>
      <c r="G186" s="182"/>
      <c r="H186" s="182"/>
      <c r="I186" s="182"/>
      <c r="J186" s="182"/>
      <c r="K186" s="182"/>
      <c r="L186" s="182"/>
      <c r="M186" s="182"/>
      <c r="N186" s="182" t="s">
        <v>11</v>
      </c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13"/>
      <c r="AH186" s="151">
        <f>COUNTIF(E186:AF186,"H")</f>
        <v>0</v>
      </c>
      <c r="AI186" s="43">
        <f t="shared" si="19"/>
        <v>1</v>
      </c>
      <c r="AJ186" s="43">
        <f t="shared" si="20"/>
        <v>0</v>
      </c>
      <c r="AK186" s="176">
        <f t="shared" si="21"/>
        <v>0</v>
      </c>
      <c r="AL186" s="66">
        <f t="shared" si="17"/>
        <v>0</v>
      </c>
      <c r="AM186" s="43">
        <f t="shared" si="22"/>
        <v>1</v>
      </c>
      <c r="AN186" s="43" t="s">
        <v>362</v>
      </c>
      <c r="AP186" s="106"/>
    </row>
    <row r="187" s="105" customFormat="1" ht="20.15" customHeight="1" spans="1:42">
      <c r="A187" s="182"/>
      <c r="B187" s="182" t="s">
        <v>363</v>
      </c>
      <c r="C187" s="182" t="s">
        <v>131</v>
      </c>
      <c r="D187" s="182" t="s">
        <v>112</v>
      </c>
      <c r="E187" s="182"/>
      <c r="F187" s="182"/>
      <c r="G187" s="182"/>
      <c r="H187" s="182"/>
      <c r="I187" s="182"/>
      <c r="J187" s="182" t="s">
        <v>11</v>
      </c>
      <c r="K187" s="182" t="s">
        <v>11</v>
      </c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  <c r="AG187" s="113"/>
      <c r="AH187" s="179"/>
      <c r="AI187" s="43">
        <f t="shared" si="19"/>
        <v>2</v>
      </c>
      <c r="AJ187" s="43">
        <f t="shared" si="20"/>
        <v>0</v>
      </c>
      <c r="AK187" s="176">
        <f t="shared" si="21"/>
        <v>0</v>
      </c>
      <c r="AL187" s="66">
        <f t="shared" si="17"/>
        <v>0</v>
      </c>
      <c r="AM187" s="43">
        <f t="shared" si="22"/>
        <v>2</v>
      </c>
      <c r="AN187" s="43" t="s">
        <v>336</v>
      </c>
      <c r="AP187" s="106"/>
    </row>
    <row r="188" s="105" customFormat="1" ht="20.15" customHeight="1" spans="1:42">
      <c r="A188" s="182"/>
      <c r="B188" s="182" t="s">
        <v>364</v>
      </c>
      <c r="C188" s="182" t="s">
        <v>211</v>
      </c>
      <c r="D188" s="182"/>
      <c r="E188" s="182"/>
      <c r="F188" s="182"/>
      <c r="G188" s="182"/>
      <c r="H188" s="182"/>
      <c r="I188" s="182"/>
      <c r="J188" s="182"/>
      <c r="K188" s="182"/>
      <c r="L188" s="182" t="s">
        <v>13</v>
      </c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13"/>
      <c r="AH188" s="179"/>
      <c r="AI188" s="112"/>
      <c r="AJ188" s="112"/>
      <c r="AK188" s="112"/>
      <c r="AL188" s="112"/>
      <c r="AM188" s="112"/>
      <c r="AN188" s="112"/>
      <c r="AP188" s="106"/>
    </row>
    <row r="189" s="105" customFormat="1" ht="20.15" customHeight="1" spans="1:42">
      <c r="A189" s="182"/>
      <c r="B189" s="182" t="s">
        <v>365</v>
      </c>
      <c r="C189" s="182" t="s">
        <v>296</v>
      </c>
      <c r="D189" s="182" t="s">
        <v>112</v>
      </c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 t="s">
        <v>11</v>
      </c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  <c r="AA189" s="182"/>
      <c r="AB189" s="182"/>
      <c r="AC189" s="182"/>
      <c r="AD189" s="182"/>
      <c r="AE189" s="182"/>
      <c r="AF189" s="182"/>
      <c r="AG189" s="113"/>
      <c r="AH189" s="179"/>
      <c r="AI189" s="43">
        <f t="shared" ref="AI189:AI201" si="23">COUNTIF(E189:AF189,"S")</f>
        <v>1</v>
      </c>
      <c r="AJ189" s="43">
        <f t="shared" ref="AJ189:AJ201" si="24">COUNTIF(E189:AF189,"I")</f>
        <v>0</v>
      </c>
      <c r="AK189" s="176">
        <f t="shared" ref="AK189:AK201" si="25">COUNTIF(E189:AF189,"A")</f>
        <v>0</v>
      </c>
      <c r="AL189" s="66">
        <f>COUNTIF(E189:AF189,"OFF")</f>
        <v>0</v>
      </c>
      <c r="AM189" s="43">
        <f t="shared" ref="AM189:AM201" si="26">SUM(AH189:AK189)</f>
        <v>1</v>
      </c>
      <c r="AN189" s="43" t="s">
        <v>336</v>
      </c>
      <c r="AP189" s="106"/>
    </row>
    <row r="190" s="105" customFormat="1" ht="20.15" customHeight="1" spans="1:42">
      <c r="A190" s="182"/>
      <c r="B190" s="182" t="s">
        <v>366</v>
      </c>
      <c r="C190" s="182" t="s">
        <v>165</v>
      </c>
      <c r="D190" s="182" t="s">
        <v>112</v>
      </c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12" t="s">
        <v>11</v>
      </c>
      <c r="Q190" s="182"/>
      <c r="R190" s="182"/>
      <c r="S190" s="182"/>
      <c r="T190" s="182"/>
      <c r="U190" s="112" t="s">
        <v>13</v>
      </c>
      <c r="V190" s="182"/>
      <c r="W190" s="182"/>
      <c r="X190" s="182"/>
      <c r="Y190" s="182"/>
      <c r="Z190" s="182"/>
      <c r="AA190" s="182"/>
      <c r="AB190" s="182"/>
      <c r="AC190" s="182"/>
      <c r="AD190" s="182"/>
      <c r="AE190" s="182"/>
      <c r="AF190" s="182"/>
      <c r="AG190" s="113"/>
      <c r="AH190" s="179"/>
      <c r="AI190" s="43">
        <f t="shared" si="23"/>
        <v>1</v>
      </c>
      <c r="AJ190" s="43">
        <f t="shared" si="24"/>
        <v>0</v>
      </c>
      <c r="AK190" s="176">
        <f t="shared" si="25"/>
        <v>1</v>
      </c>
      <c r="AL190" s="66">
        <f>COUNTIF(E190:AF190,"OFF")</f>
        <v>0</v>
      </c>
      <c r="AM190" s="189">
        <f t="shared" si="26"/>
        <v>2</v>
      </c>
      <c r="AN190" s="189" t="s">
        <v>336</v>
      </c>
      <c r="AP190" s="106"/>
    </row>
    <row r="191" s="105" customFormat="1" ht="20.15" customHeight="1" spans="1:42">
      <c r="A191" s="182"/>
      <c r="B191" s="182" t="s">
        <v>367</v>
      </c>
      <c r="C191" s="182" t="s">
        <v>16</v>
      </c>
      <c r="D191" s="182" t="s">
        <v>178</v>
      </c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 t="s">
        <v>11</v>
      </c>
      <c r="P191" s="182"/>
      <c r="Q191" s="182"/>
      <c r="R191" s="182"/>
      <c r="S191" s="182"/>
      <c r="T191" s="112" t="s">
        <v>11</v>
      </c>
      <c r="U191" s="182"/>
      <c r="V191" s="182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13"/>
      <c r="AH191" s="179"/>
      <c r="AI191" s="43">
        <f t="shared" si="23"/>
        <v>2</v>
      </c>
      <c r="AJ191" s="66">
        <f t="shared" si="24"/>
        <v>0</v>
      </c>
      <c r="AK191" s="43">
        <f t="shared" si="25"/>
        <v>0</v>
      </c>
      <c r="AM191" s="43">
        <f t="shared" si="26"/>
        <v>2</v>
      </c>
      <c r="AN191" s="156" t="s">
        <v>275</v>
      </c>
      <c r="AO191" s="66"/>
      <c r="AP191" s="115"/>
    </row>
    <row r="192" s="105" customFormat="1" ht="20.15" customHeight="1" spans="1:42">
      <c r="A192" s="182"/>
      <c r="B192" s="182" t="s">
        <v>143</v>
      </c>
      <c r="C192" s="182" t="s">
        <v>16</v>
      </c>
      <c r="D192" s="182" t="s">
        <v>178</v>
      </c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12" t="s">
        <v>11</v>
      </c>
      <c r="R192" s="182"/>
      <c r="S192" s="182"/>
      <c r="T192" s="182"/>
      <c r="U192" s="182"/>
      <c r="V192" s="182"/>
      <c r="W192" s="182"/>
      <c r="X192" s="182"/>
      <c r="Y192" s="182"/>
      <c r="Z192" s="182"/>
      <c r="AA192" s="182"/>
      <c r="AB192" s="182"/>
      <c r="AC192" s="182"/>
      <c r="AD192" s="182"/>
      <c r="AE192" s="182"/>
      <c r="AF192" s="182"/>
      <c r="AG192" s="113"/>
      <c r="AH192" s="179"/>
      <c r="AI192" s="131">
        <f t="shared" si="23"/>
        <v>1</v>
      </c>
      <c r="AJ192" s="103">
        <f t="shared" si="24"/>
        <v>0</v>
      </c>
      <c r="AK192" s="131">
        <f t="shared" si="25"/>
        <v>0</v>
      </c>
      <c r="AL192" s="36">
        <f>COUNTIF(E192:AF192,"OFF")</f>
        <v>0</v>
      </c>
      <c r="AM192" s="131">
        <f t="shared" si="26"/>
        <v>1</v>
      </c>
      <c r="AN192" s="277" t="s">
        <v>275</v>
      </c>
      <c r="AP192" s="106"/>
    </row>
    <row r="193" s="105" customFormat="1" ht="20.15" customHeight="1" spans="1:42">
      <c r="A193" s="182"/>
      <c r="B193" s="182" t="s">
        <v>368</v>
      </c>
      <c r="C193" s="182" t="s">
        <v>16</v>
      </c>
      <c r="D193" s="182" t="s">
        <v>178</v>
      </c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12" t="s">
        <v>11</v>
      </c>
      <c r="T193" s="182"/>
      <c r="U193" s="182"/>
      <c r="V193" s="182"/>
      <c r="W193" s="182"/>
      <c r="X193" s="182"/>
      <c r="Y193" s="182"/>
      <c r="Z193" s="182"/>
      <c r="AA193" s="182"/>
      <c r="AB193" s="182"/>
      <c r="AC193" s="182"/>
      <c r="AD193" s="182"/>
      <c r="AE193" s="182"/>
      <c r="AF193" s="182"/>
      <c r="AG193" s="113"/>
      <c r="AH193" s="179"/>
      <c r="AI193" s="43">
        <f t="shared" si="23"/>
        <v>1</v>
      </c>
      <c r="AJ193" s="66">
        <f t="shared" si="24"/>
        <v>0</v>
      </c>
      <c r="AK193" s="43">
        <f t="shared" si="25"/>
        <v>0</v>
      </c>
      <c r="AL193" s="113"/>
      <c r="AM193" s="43">
        <f t="shared" si="26"/>
        <v>1</v>
      </c>
      <c r="AN193" s="156" t="s">
        <v>275</v>
      </c>
      <c r="AO193" s="66"/>
      <c r="AP193" s="115"/>
    </row>
    <row r="194" spans="1:42">
      <c r="A194" s="182"/>
      <c r="B194" s="182" t="s">
        <v>369</v>
      </c>
      <c r="C194" s="182" t="s">
        <v>370</v>
      </c>
      <c r="D194" s="182" t="s">
        <v>112</v>
      </c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12" t="s">
        <v>11</v>
      </c>
      <c r="R194" s="182"/>
      <c r="S194" s="182"/>
      <c r="T194" s="182"/>
      <c r="U194" s="182"/>
      <c r="V194" s="182"/>
      <c r="W194" s="182"/>
      <c r="X194" s="182"/>
      <c r="Y194" s="182"/>
      <c r="Z194" s="182"/>
      <c r="AA194" s="182"/>
      <c r="AB194" s="182"/>
      <c r="AC194" s="182"/>
      <c r="AD194" s="182"/>
      <c r="AE194" s="182"/>
      <c r="AF194" s="182"/>
      <c r="AI194" s="131">
        <f t="shared" si="23"/>
        <v>1</v>
      </c>
      <c r="AJ194" s="103">
        <f t="shared" si="24"/>
        <v>0</v>
      </c>
      <c r="AK194" s="131">
        <f t="shared" si="25"/>
        <v>0</v>
      </c>
      <c r="AM194" s="128">
        <f t="shared" si="26"/>
        <v>1</v>
      </c>
      <c r="AN194" s="247" t="s">
        <v>275</v>
      </c>
    </row>
    <row r="195" spans="1:42">
      <c r="A195" s="182"/>
      <c r="B195" s="182" t="s">
        <v>143</v>
      </c>
      <c r="C195" s="182" t="s">
        <v>16</v>
      </c>
      <c r="D195" s="182" t="s">
        <v>178</v>
      </c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12" t="s">
        <v>13</v>
      </c>
      <c r="T195" s="112" t="s">
        <v>13</v>
      </c>
      <c r="U195" s="182"/>
      <c r="V195" s="182"/>
      <c r="W195" s="182"/>
      <c r="X195" s="182"/>
      <c r="Y195" s="182"/>
      <c r="Z195" s="182"/>
      <c r="AA195" s="182"/>
      <c r="AB195" s="182"/>
      <c r="AC195" s="182"/>
      <c r="AD195" s="182"/>
      <c r="AE195" s="182"/>
      <c r="AF195" s="182"/>
      <c r="AI195" s="43">
        <f t="shared" si="23"/>
        <v>0</v>
      </c>
      <c r="AJ195" s="66">
        <f t="shared" si="24"/>
        <v>0</v>
      </c>
      <c r="AK195" s="43">
        <f t="shared" si="25"/>
        <v>2</v>
      </c>
      <c r="AM195" s="189">
        <f t="shared" si="26"/>
        <v>2</v>
      </c>
      <c r="AN195" s="247" t="s">
        <v>171</v>
      </c>
      <c r="AO195" s="99"/>
      <c r="AP195" s="99"/>
    </row>
    <row r="196" spans="1:42">
      <c r="A196" s="182"/>
      <c r="B196" s="182" t="s">
        <v>371</v>
      </c>
      <c r="C196" s="182" t="s">
        <v>16</v>
      </c>
      <c r="D196" s="182" t="s">
        <v>178</v>
      </c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12" t="s">
        <v>103</v>
      </c>
      <c r="W196" s="182"/>
      <c r="X196" s="112" t="s">
        <v>11</v>
      </c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35">
        <f t="shared" si="23"/>
        <v>1</v>
      </c>
      <c r="AJ196" s="43">
        <f t="shared" si="24"/>
        <v>1</v>
      </c>
      <c r="AK196" s="35">
        <f t="shared" si="25"/>
        <v>0</v>
      </c>
      <c r="AL196" s="36">
        <f t="shared" ref="AL196:AL201" si="27">COUNTIF(E196:AF196,"OFF")</f>
        <v>0</v>
      </c>
      <c r="AM196" s="37">
        <f t="shared" si="26"/>
        <v>2</v>
      </c>
      <c r="AN196" s="43" t="s">
        <v>336</v>
      </c>
      <c r="AO196" s="97"/>
      <c r="AP196" s="97"/>
    </row>
    <row r="197" spans="1:42">
      <c r="A197" s="182"/>
      <c r="B197" s="182" t="s">
        <v>372</v>
      </c>
      <c r="C197" s="182" t="s">
        <v>16</v>
      </c>
      <c r="D197" s="182" t="s">
        <v>178</v>
      </c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12"/>
      <c r="W197" s="182"/>
      <c r="X197" s="112"/>
      <c r="Y197" s="43" t="s">
        <v>12</v>
      </c>
      <c r="Z197" s="43"/>
      <c r="AA197" s="43"/>
      <c r="AB197" s="43"/>
      <c r="AC197" s="43"/>
      <c r="AD197" s="43"/>
      <c r="AE197" s="43"/>
      <c r="AF197" s="43"/>
      <c r="AG197" s="43"/>
      <c r="AH197" s="43"/>
      <c r="AI197" s="35">
        <f t="shared" si="23"/>
        <v>0</v>
      </c>
      <c r="AJ197" s="43">
        <f t="shared" si="24"/>
        <v>1</v>
      </c>
      <c r="AK197" s="35">
        <f t="shared" si="25"/>
        <v>0</v>
      </c>
      <c r="AL197" s="36">
        <f t="shared" si="27"/>
        <v>0</v>
      </c>
      <c r="AM197" s="37">
        <f t="shared" si="26"/>
        <v>1</v>
      </c>
      <c r="AN197" s="43" t="s">
        <v>336</v>
      </c>
    </row>
    <row r="198" s="20" customFormat="1" ht="19.5" customHeight="1" spans="1:42">
      <c r="A198" s="182"/>
      <c r="B198" s="182" t="s">
        <v>373</v>
      </c>
      <c r="C198" s="182" t="s">
        <v>211</v>
      </c>
      <c r="D198" s="182" t="s">
        <v>178</v>
      </c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43"/>
      <c r="Z198" s="43"/>
      <c r="AA198" s="43" t="s">
        <v>11</v>
      </c>
      <c r="AB198" s="43"/>
      <c r="AC198" s="43"/>
      <c r="AD198" s="43"/>
      <c r="AE198" s="43"/>
      <c r="AF198" s="43"/>
      <c r="AG198" s="43"/>
      <c r="AH198" s="43"/>
      <c r="AI198" s="35">
        <f t="shared" si="23"/>
        <v>1</v>
      </c>
      <c r="AJ198" s="43">
        <f t="shared" si="24"/>
        <v>0</v>
      </c>
      <c r="AK198" s="35">
        <f t="shared" si="25"/>
        <v>0</v>
      </c>
      <c r="AL198" s="36">
        <f t="shared" si="27"/>
        <v>0</v>
      </c>
      <c r="AM198" s="37">
        <f t="shared" si="26"/>
        <v>1</v>
      </c>
      <c r="AN198" s="43" t="s">
        <v>336</v>
      </c>
    </row>
    <row r="199" s="20" customFormat="1" ht="19.5" customHeight="1" spans="1:42">
      <c r="A199" s="182"/>
      <c r="B199" s="182" t="s">
        <v>374</v>
      </c>
      <c r="C199" s="182" t="s">
        <v>16</v>
      </c>
      <c r="D199" s="182" t="s">
        <v>178</v>
      </c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43"/>
      <c r="Z199" s="43"/>
      <c r="AA199" s="43" t="s">
        <v>11</v>
      </c>
      <c r="AB199" s="43"/>
      <c r="AC199" s="43"/>
      <c r="AD199" s="43"/>
      <c r="AE199" s="43"/>
      <c r="AF199" s="43"/>
      <c r="AG199" s="43"/>
      <c r="AH199" s="43"/>
      <c r="AI199" s="35">
        <f t="shared" si="23"/>
        <v>1</v>
      </c>
      <c r="AJ199" s="43">
        <f t="shared" si="24"/>
        <v>0</v>
      </c>
      <c r="AK199" s="35">
        <f t="shared" si="25"/>
        <v>0</v>
      </c>
      <c r="AL199" s="36">
        <f t="shared" si="27"/>
        <v>0</v>
      </c>
      <c r="AM199" s="37">
        <f t="shared" si="26"/>
        <v>1</v>
      </c>
      <c r="AN199" s="43" t="s">
        <v>336</v>
      </c>
    </row>
    <row r="200" s="20" customFormat="1" ht="19.5" customHeight="1" spans="1:42">
      <c r="A200" s="182"/>
      <c r="B200" s="182" t="s">
        <v>375</v>
      </c>
      <c r="C200" s="182"/>
      <c r="D200" s="182" t="s">
        <v>178</v>
      </c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43"/>
      <c r="Z200" s="43"/>
      <c r="AA200" s="43" t="s">
        <v>40</v>
      </c>
      <c r="AB200" s="43"/>
      <c r="AC200" s="43"/>
      <c r="AD200" s="43"/>
      <c r="AE200" s="43"/>
      <c r="AF200" s="43"/>
      <c r="AG200" s="43"/>
      <c r="AH200" s="43"/>
      <c r="AI200" s="35">
        <f t="shared" si="23"/>
        <v>1</v>
      </c>
      <c r="AJ200" s="43">
        <f t="shared" si="24"/>
        <v>0</v>
      </c>
      <c r="AK200" s="35">
        <f t="shared" si="25"/>
        <v>0</v>
      </c>
      <c r="AL200" s="36">
        <f t="shared" si="27"/>
        <v>0</v>
      </c>
      <c r="AM200" s="37">
        <f t="shared" si="26"/>
        <v>1</v>
      </c>
      <c r="AN200" s="43" t="s">
        <v>336</v>
      </c>
    </row>
    <row r="201" spans="1:42">
      <c r="A201" s="182"/>
      <c r="B201" s="182" t="s">
        <v>376</v>
      </c>
      <c r="C201" s="182" t="s">
        <v>296</v>
      </c>
      <c r="D201" s="182" t="s">
        <v>112</v>
      </c>
      <c r="E201" s="182" t="s">
        <v>11</v>
      </c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43" t="s">
        <v>11</v>
      </c>
      <c r="Z201" s="43"/>
      <c r="AA201" s="43"/>
      <c r="AB201" s="43"/>
      <c r="AC201" s="43"/>
      <c r="AD201" s="43"/>
      <c r="AE201" s="43"/>
      <c r="AF201" s="43"/>
      <c r="AG201" s="43"/>
      <c r="AH201" s="43"/>
      <c r="AI201" s="35">
        <f t="shared" si="23"/>
        <v>2</v>
      </c>
      <c r="AJ201" s="43">
        <f t="shared" si="24"/>
        <v>0</v>
      </c>
      <c r="AK201" s="35">
        <f t="shared" si="25"/>
        <v>0</v>
      </c>
      <c r="AL201" s="36">
        <f t="shared" si="27"/>
        <v>0</v>
      </c>
      <c r="AM201" s="37">
        <f t="shared" si="26"/>
        <v>2</v>
      </c>
      <c r="AN201" s="43" t="s">
        <v>336</v>
      </c>
    </row>
    <row r="202" spans="1:42">
      <c r="B202" t="s">
        <v>377</v>
      </c>
      <c r="V202" s="43" t="s">
        <v>11</v>
      </c>
    </row>
  </sheetData>
  <autoFilter xmlns:etc="http://www.wps.cn/officeDocument/2017/etCustomData" ref="A11:AP202" etc:filterBottomFollowUsedRange="0">
    <extLst/>
  </autoFilter>
  <mergeCells count="13">
    <mergeCell ref="E10:AF10"/>
    <mergeCell ref="AI10:AL10"/>
    <mergeCell ref="A10:A11"/>
    <mergeCell ref="B10:B11"/>
    <mergeCell ref="C10:C11"/>
    <mergeCell ref="D10:D11"/>
    <mergeCell ref="AH10:AH11"/>
    <mergeCell ref="AM10:AM11"/>
    <mergeCell ref="AN10:AN11"/>
    <mergeCell ref="AO10:AO11"/>
    <mergeCell ref="AP10:AP11"/>
    <mergeCell ref="E4:AF6"/>
    <mergeCell ref="E7:AF8"/>
  </mergeCells>
  <conditionalFormatting sqref="B54">
    <cfRule type="cellIs" dxfId="0" priority="471" operator="equal">
      <formula>"ALPA"</formula>
    </cfRule>
    <cfRule type="cellIs" dxfId="1" priority="472" operator="equal">
      <formula>"IZIN"</formula>
    </cfRule>
    <cfRule type="cellIs" dxfId="2" priority="473" operator="equal">
      <formula>"SAKIT"</formula>
    </cfRule>
  </conditionalFormatting>
  <conditionalFormatting sqref="G165">
    <cfRule type="containsText" dxfId="3" priority="251" operator="between" text="OFF">
      <formula>NOT(ISERROR(SEARCH("OFF",G165)))</formula>
    </cfRule>
    <cfRule type="containsText" dxfId="4" priority="252" operator="between" text="OFF">
      <formula>NOT(ISERROR(SEARCH("OFF",G165)))</formula>
    </cfRule>
    <cfRule type="containsText" dxfId="5" priority="253" operator="between" text="S">
      <formula>NOT(ISERROR(SEARCH("S",G165)))</formula>
    </cfRule>
    <cfRule type="containsText" dxfId="6" priority="254" operator="between" text="I">
      <formula>NOT(ISERROR(SEARCH("I",G165)))</formula>
    </cfRule>
    <cfRule type="containsText" dxfId="7" priority="255" operator="between" text="A">
      <formula>NOT(ISERROR(SEARCH("A",G165)))</formula>
    </cfRule>
    <cfRule type="containsText" dxfId="8" priority="256" operator="between" text="L">
      <formula>NOT(ISERROR(SEARCH("L",G165)))</formula>
    </cfRule>
    <cfRule type="containsText" dxfId="6" priority="257" operator="between" text="A">
      <formula>NOT(ISERROR(SEARCH("A",G165)))</formula>
    </cfRule>
    <cfRule type="containsText" dxfId="7" priority="258" operator="between" text="S">
      <formula>NOT(ISERROR(SEARCH("S",G165)))</formula>
    </cfRule>
    <cfRule type="containsText" dxfId="5" priority="259" operator="between" text="OFF">
      <formula>NOT(ISERROR(SEARCH("OFF",G165)))</formula>
    </cfRule>
    <cfRule type="containsText" dxfId="7" priority="260" operator="between" text="OFF">
      <formula>NOT(ISERROR(SEARCH("OFF",G165)))</formula>
    </cfRule>
  </conditionalFormatting>
  <conditionalFormatting sqref="V165">
    <cfRule type="containsText" dxfId="3" priority="311" operator="between" text="OFF">
      <formula>NOT(ISERROR(SEARCH("OFF",V165)))</formula>
    </cfRule>
    <cfRule type="containsText" dxfId="4" priority="312" operator="between" text="OFF">
      <formula>NOT(ISERROR(SEARCH("OFF",V165)))</formula>
    </cfRule>
    <cfRule type="containsText" dxfId="5" priority="313" operator="between" text="S">
      <formula>NOT(ISERROR(SEARCH("S",V165)))</formula>
    </cfRule>
    <cfRule type="containsText" dxfId="6" priority="314" operator="between" text="I">
      <formula>NOT(ISERROR(SEARCH("I",V165)))</formula>
    </cfRule>
    <cfRule type="containsText" dxfId="7" priority="315" operator="between" text="A">
      <formula>NOT(ISERROR(SEARCH("A",V165)))</formula>
    </cfRule>
    <cfRule type="containsText" dxfId="8" priority="316" operator="between" text="L">
      <formula>NOT(ISERROR(SEARCH("L",V165)))</formula>
    </cfRule>
    <cfRule type="containsText" dxfId="6" priority="317" operator="between" text="A">
      <formula>NOT(ISERROR(SEARCH("A",V165)))</formula>
    </cfRule>
    <cfRule type="containsText" dxfId="7" priority="318" operator="between" text="S">
      <formula>NOT(ISERROR(SEARCH("S",V165)))</formula>
    </cfRule>
    <cfRule type="containsText" dxfId="5" priority="319" operator="between" text="OFF">
      <formula>NOT(ISERROR(SEARCH("OFF",V165)))</formula>
    </cfRule>
    <cfRule type="containsText" dxfId="7" priority="320" operator="between" text="OFF">
      <formula>NOT(ISERROR(SEARCH("OFF",V165)))</formula>
    </cfRule>
  </conditionalFormatting>
  <conditionalFormatting sqref="H166:I166">
    <cfRule type="containsText" dxfId="3" priority="261" operator="between" text="OFF">
      <formula>NOT(ISERROR(SEARCH("OFF",H166)))</formula>
    </cfRule>
    <cfRule type="containsText" dxfId="4" priority="262" operator="between" text="OFF">
      <formula>NOT(ISERROR(SEARCH("OFF",H166)))</formula>
    </cfRule>
    <cfRule type="containsText" dxfId="5" priority="263" operator="between" text="S">
      <formula>NOT(ISERROR(SEARCH("S",H166)))</formula>
    </cfRule>
    <cfRule type="containsText" dxfId="6" priority="264" operator="between" text="I">
      <formula>NOT(ISERROR(SEARCH("I",H166)))</formula>
    </cfRule>
    <cfRule type="containsText" dxfId="7" priority="265" operator="between" text="A">
      <formula>NOT(ISERROR(SEARCH("A",H166)))</formula>
    </cfRule>
    <cfRule type="containsText" dxfId="8" priority="266" operator="between" text="L">
      <formula>NOT(ISERROR(SEARCH("L",H166)))</formula>
    </cfRule>
    <cfRule type="containsText" dxfId="6" priority="267" operator="between" text="A">
      <formula>NOT(ISERROR(SEARCH("A",H166)))</formula>
    </cfRule>
    <cfRule type="containsText" dxfId="7" priority="268" operator="between" text="S">
      <formula>NOT(ISERROR(SEARCH("S",H166)))</formula>
    </cfRule>
    <cfRule type="containsText" dxfId="5" priority="269" operator="between" text="OFF">
      <formula>NOT(ISERROR(SEARCH("OFF",H166)))</formula>
    </cfRule>
    <cfRule type="containsText" dxfId="7" priority="270" operator="between" text="OFF">
      <formula>NOT(ISERROR(SEARCH("OFF",H166)))</formula>
    </cfRule>
  </conditionalFormatting>
  <conditionalFormatting sqref="AE166">
    <cfRule type="containsText" dxfId="3" priority="291" operator="between" text="OFF">
      <formula>NOT(ISERROR(SEARCH("OFF",AE166)))</formula>
    </cfRule>
    <cfRule type="containsText" dxfId="4" priority="292" operator="between" text="OFF">
      <formula>NOT(ISERROR(SEARCH("OFF",AE166)))</formula>
    </cfRule>
    <cfRule type="containsText" dxfId="5" priority="293" operator="between" text="S">
      <formula>NOT(ISERROR(SEARCH("S",AE166)))</formula>
    </cfRule>
    <cfRule type="containsText" dxfId="6" priority="294" operator="between" text="I">
      <formula>NOT(ISERROR(SEARCH("I",AE166)))</formula>
    </cfRule>
    <cfRule type="containsText" dxfId="7" priority="295" operator="between" text="A">
      <formula>NOT(ISERROR(SEARCH("A",AE166)))</formula>
    </cfRule>
    <cfRule type="containsText" dxfId="8" priority="296" operator="between" text="L">
      <formula>NOT(ISERROR(SEARCH("L",AE166)))</formula>
    </cfRule>
    <cfRule type="containsText" dxfId="6" priority="297" operator="between" text="A">
      <formula>NOT(ISERROR(SEARCH("A",AE166)))</formula>
    </cfRule>
    <cfRule type="containsText" dxfId="7" priority="298" operator="between" text="S">
      <formula>NOT(ISERROR(SEARCH("S",AE166)))</formula>
    </cfRule>
    <cfRule type="containsText" dxfId="5" priority="299" operator="between" text="OFF">
      <formula>NOT(ISERROR(SEARCH("OFF",AE166)))</formula>
    </cfRule>
    <cfRule type="containsText" dxfId="7" priority="300" operator="between" text="OFF">
      <formula>NOT(ISERROR(SEARCH("OFF",AE166)))</formula>
    </cfRule>
  </conditionalFormatting>
  <conditionalFormatting sqref="H169:AF169">
    <cfRule type="containsText" dxfId="7" priority="335" operator="between" text="A">
      <formula>NOT(ISERROR(SEARCH("A",H169)))</formula>
    </cfRule>
    <cfRule type="containsText" dxfId="8" priority="336" operator="between" text="L">
      <formula>NOT(ISERROR(SEARCH("L",H169)))</formula>
    </cfRule>
    <cfRule type="containsText" dxfId="6" priority="337" operator="between" text="A">
      <formula>NOT(ISERROR(SEARCH("A",H169)))</formula>
    </cfRule>
    <cfRule type="containsText" dxfId="7" priority="338" operator="between" text="S">
      <formula>NOT(ISERROR(SEARCH("S",H169)))</formula>
    </cfRule>
    <cfRule type="containsText" dxfId="5" priority="339" operator="between" text="OFF">
      <formula>NOT(ISERROR(SEARCH("OFF",H169)))</formula>
    </cfRule>
    <cfRule type="containsText" dxfId="7" priority="340" operator="between" text="OFF">
      <formula>NOT(ISERROR(SEARCH("OFF",H169)))</formula>
    </cfRule>
  </conditionalFormatting>
  <conditionalFormatting sqref="H170:L170">
    <cfRule type="containsText" dxfId="7" priority="15" operator="between" text="A">
      <formula>NOT(ISERROR(SEARCH("A",H170)))</formula>
    </cfRule>
    <cfRule type="containsText" dxfId="8" priority="16" operator="between" text="L">
      <formula>NOT(ISERROR(SEARCH("L",H170)))</formula>
    </cfRule>
    <cfRule type="containsText" dxfId="6" priority="17" operator="between" text="A">
      <formula>NOT(ISERROR(SEARCH("A",H170)))</formula>
    </cfRule>
    <cfRule type="containsText" dxfId="7" priority="18" operator="between" text="S">
      <formula>NOT(ISERROR(SEARCH("S",H170)))</formula>
    </cfRule>
    <cfRule type="containsText" dxfId="5" priority="19" operator="between" text="OFF">
      <formula>NOT(ISERROR(SEARCH("OFF",H170)))</formula>
    </cfRule>
    <cfRule type="containsText" dxfId="7" priority="20" operator="between" text="OFF">
      <formula>NOT(ISERROR(SEARCH("OFF",H170)))</formula>
    </cfRule>
  </conditionalFormatting>
  <conditionalFormatting sqref="X181">
    <cfRule type="containsText" dxfId="3" priority="141" operator="between" text="OFF">
      <formula>NOT(ISERROR(SEARCH("OFF",X181)))</formula>
    </cfRule>
    <cfRule type="containsText" dxfId="4" priority="142" operator="between" text="OFF">
      <formula>NOT(ISERROR(SEARCH("OFF",X181)))</formula>
    </cfRule>
    <cfRule type="containsText" dxfId="5" priority="143" operator="between" text="S">
      <formula>NOT(ISERROR(SEARCH("S",X181)))</formula>
    </cfRule>
    <cfRule type="containsText" dxfId="6" priority="144" operator="between" text="I">
      <formula>NOT(ISERROR(SEARCH("I",X181)))</formula>
    </cfRule>
    <cfRule type="containsText" dxfId="7" priority="145" operator="between" text="A">
      <formula>NOT(ISERROR(SEARCH("A",X181)))</formula>
    </cfRule>
    <cfRule type="containsText" dxfId="8" priority="146" operator="between" text="L">
      <formula>NOT(ISERROR(SEARCH("L",X181)))</formula>
    </cfRule>
    <cfRule type="containsText" dxfId="6" priority="147" operator="between" text="A">
      <formula>NOT(ISERROR(SEARCH("A",X181)))</formula>
    </cfRule>
    <cfRule type="containsText" dxfId="7" priority="148" operator="between" text="S">
      <formula>NOT(ISERROR(SEARCH("S",X181)))</formula>
    </cfRule>
    <cfRule type="containsText" dxfId="5" priority="149" operator="between" text="OFF">
      <formula>NOT(ISERROR(SEARCH("OFF",X181)))</formula>
    </cfRule>
    <cfRule type="containsText" dxfId="7" priority="150" operator="between" text="OFF">
      <formula>NOT(ISERROR(SEARCH("OFF",X181)))</formula>
    </cfRule>
  </conditionalFormatting>
  <conditionalFormatting sqref="P190">
    <cfRule type="containsText" dxfId="3" priority="21" operator="between" text="OFF">
      <formula>NOT(ISERROR(SEARCH("OFF",P190)))</formula>
    </cfRule>
    <cfRule type="containsText" dxfId="4" priority="22" operator="between" text="OFF">
      <formula>NOT(ISERROR(SEARCH("OFF",P190)))</formula>
    </cfRule>
    <cfRule type="containsText" dxfId="5" priority="23" operator="between" text="S">
      <formula>NOT(ISERROR(SEARCH("S",P190)))</formula>
    </cfRule>
    <cfRule type="containsText" dxfId="6" priority="24" operator="between" text="I">
      <formula>NOT(ISERROR(SEARCH("I",P190)))</formula>
    </cfRule>
    <cfRule type="containsText" dxfId="7" priority="25" operator="between" text="A">
      <formula>NOT(ISERROR(SEARCH("A",P190)))</formula>
    </cfRule>
    <cfRule type="containsText" dxfId="8" priority="26" operator="between" text="L">
      <formula>NOT(ISERROR(SEARCH("L",P190)))</formula>
    </cfRule>
    <cfRule type="containsText" dxfId="6" priority="27" operator="between" text="A">
      <formula>NOT(ISERROR(SEARCH("A",P190)))</formula>
    </cfRule>
    <cfRule type="containsText" dxfId="7" priority="28" operator="between" text="S">
      <formula>NOT(ISERROR(SEARCH("S",P190)))</formula>
    </cfRule>
    <cfRule type="containsText" dxfId="5" priority="29" operator="between" text="OFF">
      <formula>NOT(ISERROR(SEARCH("OFF",P190)))</formula>
    </cfRule>
    <cfRule type="containsText" dxfId="7" priority="30" operator="between" text="OFF">
      <formula>NOT(ISERROR(SEARCH("OFF",P190)))</formula>
    </cfRule>
  </conditionalFormatting>
  <conditionalFormatting sqref="U190">
    <cfRule type="containsText" dxfId="3" priority="31" operator="between" text="OFF">
      <formula>NOT(ISERROR(SEARCH("OFF",U190)))</formula>
    </cfRule>
    <cfRule type="containsText" dxfId="4" priority="32" operator="between" text="OFF">
      <formula>NOT(ISERROR(SEARCH("OFF",U190)))</formula>
    </cfRule>
    <cfRule type="containsText" dxfId="5" priority="33" operator="between" text="S">
      <formula>NOT(ISERROR(SEARCH("S",U190)))</formula>
    </cfRule>
    <cfRule type="containsText" dxfId="6" priority="34" operator="between" text="I">
      <formula>NOT(ISERROR(SEARCH("I",U190)))</formula>
    </cfRule>
    <cfRule type="containsText" dxfId="7" priority="35" operator="between" text="A">
      <formula>NOT(ISERROR(SEARCH("A",U190)))</formula>
    </cfRule>
    <cfRule type="containsText" dxfId="8" priority="36" operator="between" text="L">
      <formula>NOT(ISERROR(SEARCH("L",U190)))</formula>
    </cfRule>
    <cfRule type="containsText" dxfId="6" priority="37" operator="between" text="A">
      <formula>NOT(ISERROR(SEARCH("A",U190)))</formula>
    </cfRule>
    <cfRule type="containsText" dxfId="7" priority="38" operator="between" text="S">
      <formula>NOT(ISERROR(SEARCH("S",U190)))</formula>
    </cfRule>
    <cfRule type="containsText" dxfId="5" priority="39" operator="between" text="OFF">
      <formula>NOT(ISERROR(SEARCH("OFF",U190)))</formula>
    </cfRule>
    <cfRule type="containsText" dxfId="7" priority="40" operator="between" text="OFF">
      <formula>NOT(ISERROR(SEARCH("OFF",U190)))</formula>
    </cfRule>
  </conditionalFormatting>
  <conditionalFormatting sqref="T191">
    <cfRule type="containsText" dxfId="3" priority="41" operator="between" text="OFF">
      <formula>NOT(ISERROR(SEARCH("OFF",T191)))</formula>
    </cfRule>
    <cfRule type="containsText" dxfId="4" priority="42" operator="between" text="OFF">
      <formula>NOT(ISERROR(SEARCH("OFF",T191)))</formula>
    </cfRule>
    <cfRule type="containsText" dxfId="5" priority="43" operator="between" text="S">
      <formula>NOT(ISERROR(SEARCH("S",T191)))</formula>
    </cfRule>
    <cfRule type="containsText" dxfId="6" priority="44" operator="between" text="I">
      <formula>NOT(ISERROR(SEARCH("I",T191)))</formula>
    </cfRule>
    <cfRule type="containsText" dxfId="7" priority="45" operator="between" text="A">
      <formula>NOT(ISERROR(SEARCH("A",T191)))</formula>
    </cfRule>
    <cfRule type="containsText" dxfId="8" priority="46" operator="between" text="L">
      <formula>NOT(ISERROR(SEARCH("L",T191)))</formula>
    </cfRule>
    <cfRule type="containsText" dxfId="6" priority="47" operator="between" text="A">
      <formula>NOT(ISERROR(SEARCH("A",T191)))</formula>
    </cfRule>
    <cfRule type="containsText" dxfId="7" priority="48" operator="between" text="S">
      <formula>NOT(ISERROR(SEARCH("S",T191)))</formula>
    </cfRule>
    <cfRule type="containsText" dxfId="5" priority="49" operator="between" text="OFF">
      <formula>NOT(ISERROR(SEARCH("OFF",T191)))</formula>
    </cfRule>
    <cfRule type="containsText" dxfId="7" priority="50" operator="between" text="OFF">
      <formula>NOT(ISERROR(SEARCH("OFF",T191)))</formula>
    </cfRule>
  </conditionalFormatting>
  <conditionalFormatting sqref="Q192">
    <cfRule type="containsText" dxfId="3" priority="51" operator="between" text="OFF">
      <formula>NOT(ISERROR(SEARCH("OFF",Q192)))</formula>
    </cfRule>
    <cfRule type="containsText" dxfId="4" priority="52" operator="between" text="OFF">
      <formula>NOT(ISERROR(SEARCH("OFF",Q192)))</formula>
    </cfRule>
    <cfRule type="containsText" dxfId="5" priority="53" operator="between" text="S">
      <formula>NOT(ISERROR(SEARCH("S",Q192)))</formula>
    </cfRule>
    <cfRule type="containsText" dxfId="6" priority="54" operator="between" text="I">
      <formula>NOT(ISERROR(SEARCH("I",Q192)))</formula>
    </cfRule>
    <cfRule type="containsText" dxfId="7" priority="55" operator="between" text="A">
      <formula>NOT(ISERROR(SEARCH("A",Q192)))</formula>
    </cfRule>
    <cfRule type="containsText" dxfId="8" priority="56" operator="between" text="L">
      <formula>NOT(ISERROR(SEARCH("L",Q192)))</formula>
    </cfRule>
    <cfRule type="containsText" dxfId="6" priority="57" operator="between" text="A">
      <formula>NOT(ISERROR(SEARCH("A",Q192)))</formula>
    </cfRule>
    <cfRule type="containsText" dxfId="7" priority="58" operator="between" text="S">
      <formula>NOT(ISERROR(SEARCH("S",Q192)))</formula>
    </cfRule>
    <cfRule type="containsText" dxfId="5" priority="59" operator="between" text="OFF">
      <formula>NOT(ISERROR(SEARCH("OFF",Q192)))</formula>
    </cfRule>
    <cfRule type="containsText" dxfId="7" priority="60" operator="between" text="OFF">
      <formula>NOT(ISERROR(SEARCH("OFF",Q192)))</formula>
    </cfRule>
  </conditionalFormatting>
  <conditionalFormatting sqref="S193">
    <cfRule type="containsText" dxfId="3" priority="71" operator="between" text="OFF">
      <formula>NOT(ISERROR(SEARCH("OFF",S193)))</formula>
    </cfRule>
    <cfRule type="containsText" dxfId="4" priority="72" operator="between" text="OFF">
      <formula>NOT(ISERROR(SEARCH("OFF",S193)))</formula>
    </cfRule>
    <cfRule type="containsText" dxfId="5" priority="73" operator="between" text="S">
      <formula>NOT(ISERROR(SEARCH("S",S193)))</formula>
    </cfRule>
    <cfRule type="containsText" dxfId="6" priority="74" operator="between" text="I">
      <formula>NOT(ISERROR(SEARCH("I",S193)))</formula>
    </cfRule>
    <cfRule type="containsText" dxfId="7" priority="75" operator="between" text="A">
      <formula>NOT(ISERROR(SEARCH("A",S193)))</formula>
    </cfRule>
    <cfRule type="containsText" dxfId="8" priority="76" operator="between" text="L">
      <formula>NOT(ISERROR(SEARCH("L",S193)))</formula>
    </cfRule>
    <cfRule type="containsText" dxfId="6" priority="77" operator="between" text="A">
      <formula>NOT(ISERROR(SEARCH("A",S193)))</formula>
    </cfRule>
    <cfRule type="containsText" dxfId="7" priority="78" operator="between" text="S">
      <formula>NOT(ISERROR(SEARCH("S",S193)))</formula>
    </cfRule>
    <cfRule type="containsText" dxfId="5" priority="79" operator="between" text="OFF">
      <formula>NOT(ISERROR(SEARCH("OFF",S193)))</formula>
    </cfRule>
    <cfRule type="containsText" dxfId="7" priority="80" operator="between" text="OFF">
      <formula>NOT(ISERROR(SEARCH("OFF",S193)))</formula>
    </cfRule>
  </conditionalFormatting>
  <conditionalFormatting sqref="Q194">
    <cfRule type="containsText" dxfId="3" priority="61" operator="between" text="OFF">
      <formula>NOT(ISERROR(SEARCH("OFF",Q194)))</formula>
    </cfRule>
    <cfRule type="containsText" dxfId="4" priority="62" operator="between" text="OFF">
      <formula>NOT(ISERROR(SEARCH("OFF",Q194)))</formula>
    </cfRule>
    <cfRule type="containsText" dxfId="5" priority="63" operator="between" text="S">
      <formula>NOT(ISERROR(SEARCH("S",Q194)))</formula>
    </cfRule>
    <cfRule type="containsText" dxfId="6" priority="64" operator="between" text="I">
      <formula>NOT(ISERROR(SEARCH("I",Q194)))</formula>
    </cfRule>
    <cfRule type="containsText" dxfId="7" priority="65" operator="between" text="A">
      <formula>NOT(ISERROR(SEARCH("A",Q194)))</formula>
    </cfRule>
    <cfRule type="containsText" dxfId="8" priority="66" operator="between" text="L">
      <formula>NOT(ISERROR(SEARCH("L",Q194)))</formula>
    </cfRule>
    <cfRule type="containsText" dxfId="6" priority="67" operator="between" text="A">
      <formula>NOT(ISERROR(SEARCH("A",Q194)))</formula>
    </cfRule>
    <cfRule type="containsText" dxfId="7" priority="68" operator="between" text="S">
      <formula>NOT(ISERROR(SEARCH("S",Q194)))</formula>
    </cfRule>
    <cfRule type="containsText" dxfId="5" priority="69" operator="between" text="OFF">
      <formula>NOT(ISERROR(SEARCH("OFF",Q194)))</formula>
    </cfRule>
    <cfRule type="containsText" dxfId="7" priority="70" operator="between" text="OFF">
      <formula>NOT(ISERROR(SEARCH("OFF",Q194)))</formula>
    </cfRule>
  </conditionalFormatting>
  <conditionalFormatting sqref="S195:T195">
    <cfRule type="containsText" dxfId="3" priority="81" operator="between" text="OFF">
      <formula>NOT(ISERROR(SEARCH("OFF",S195)))</formula>
    </cfRule>
    <cfRule type="containsText" dxfId="4" priority="82" operator="between" text="OFF">
      <formula>NOT(ISERROR(SEARCH("OFF",S195)))</formula>
    </cfRule>
    <cfRule type="containsText" dxfId="5" priority="83" operator="between" text="S">
      <formula>NOT(ISERROR(SEARCH("S",S195)))</formula>
    </cfRule>
    <cfRule type="containsText" dxfId="6" priority="84" operator="between" text="I">
      <formula>NOT(ISERROR(SEARCH("I",S195)))</formula>
    </cfRule>
    <cfRule type="containsText" dxfId="7" priority="85" operator="between" text="A">
      <formula>NOT(ISERROR(SEARCH("A",S195)))</formula>
    </cfRule>
    <cfRule type="containsText" dxfId="8" priority="86" operator="between" text="L">
      <formula>NOT(ISERROR(SEARCH("L",S195)))</formula>
    </cfRule>
    <cfRule type="containsText" dxfId="6" priority="87" operator="between" text="A">
      <formula>NOT(ISERROR(SEARCH("A",S195)))</formula>
    </cfRule>
    <cfRule type="containsText" dxfId="7" priority="88" operator="between" text="S">
      <formula>NOT(ISERROR(SEARCH("S",S195)))</formula>
    </cfRule>
    <cfRule type="containsText" dxfId="5" priority="89" operator="between" text="OFF">
      <formula>NOT(ISERROR(SEARCH("OFF",S195)))</formula>
    </cfRule>
    <cfRule type="containsText" dxfId="7" priority="90" operator="between" text="OFF">
      <formula>NOT(ISERROR(SEARCH("OFF",S195)))</formula>
    </cfRule>
  </conditionalFormatting>
  <conditionalFormatting sqref="V202">
    <cfRule type="containsText" dxfId="3" priority="1" operator="between" text="OFF">
      <formula>NOT(ISERROR(SEARCH("OFF",V202)))</formula>
    </cfRule>
    <cfRule type="containsText" dxfId="4" priority="2" operator="between" text="OFF">
      <formula>NOT(ISERROR(SEARCH("OFF",V202)))</formula>
    </cfRule>
    <cfRule type="containsText" dxfId="5" priority="3" operator="between" text="S">
      <formula>NOT(ISERROR(SEARCH("S",V202)))</formula>
    </cfRule>
    <cfRule type="containsText" dxfId="6" priority="4" operator="between" text="I">
      <formula>NOT(ISERROR(SEARCH("I",V202)))</formula>
    </cfRule>
    <cfRule type="containsText" dxfId="7" priority="5" operator="between" text="A">
      <formula>NOT(ISERROR(SEARCH("A",V202)))</formula>
    </cfRule>
    <cfRule type="containsText" dxfId="8" priority="6" operator="between" text="L">
      <formula>NOT(ISERROR(SEARCH("L",V202)))</formula>
    </cfRule>
    <cfRule type="containsText" dxfId="6" priority="7" operator="between" text="A">
      <formula>NOT(ISERROR(SEARCH("A",V202)))</formula>
    </cfRule>
    <cfRule type="containsText" dxfId="7" priority="8" operator="between" text="S">
      <formula>NOT(ISERROR(SEARCH("S",V202)))</formula>
    </cfRule>
    <cfRule type="containsText" dxfId="5" priority="9" operator="between" text="OFF">
      <formula>NOT(ISERROR(SEARCH("OFF",V202)))</formula>
    </cfRule>
    <cfRule type="containsText" dxfId="7" priority="10" operator="between" text="OFF">
      <formula>NOT(ISERROR(SEARCH("OFF",V202)))</formula>
    </cfRule>
  </conditionalFormatting>
  <conditionalFormatting sqref="A169:A180">
    <cfRule type="containsText" dxfId="3" priority="361" operator="between" text="OFF">
      <formula>NOT(ISERROR(SEARCH("OFF",A169)))</formula>
    </cfRule>
    <cfRule type="containsText" dxfId="4" priority="362" operator="between" text="OFF">
      <formula>NOT(ISERROR(SEARCH("OFF",A169)))</formula>
    </cfRule>
    <cfRule type="containsText" dxfId="5" priority="363" operator="between" text="S">
      <formula>NOT(ISERROR(SEARCH("S",A169)))</formula>
    </cfRule>
    <cfRule type="containsText" dxfId="6" priority="364" operator="between" text="I">
      <formula>NOT(ISERROR(SEARCH("I",A169)))</formula>
    </cfRule>
    <cfRule type="containsText" dxfId="7" priority="365" operator="between" text="A">
      <formula>NOT(ISERROR(SEARCH("A",A169)))</formula>
    </cfRule>
    <cfRule type="containsText" dxfId="8" priority="366" operator="between" text="L">
      <formula>NOT(ISERROR(SEARCH("L",A169)))</formula>
    </cfRule>
    <cfRule type="containsText" dxfId="6" priority="367" operator="between" text="A">
      <formula>NOT(ISERROR(SEARCH("A",A169)))</formula>
    </cfRule>
    <cfRule type="containsText" dxfId="7" priority="368" operator="between" text="S">
      <formula>NOT(ISERROR(SEARCH("S",A169)))</formula>
    </cfRule>
    <cfRule type="containsText" dxfId="5" priority="369" operator="between" text="OFF">
      <formula>NOT(ISERROR(SEARCH("OFF",A169)))</formula>
    </cfRule>
    <cfRule type="containsText" dxfId="7" priority="370" operator="between" text="OFF">
      <formula>NOT(ISERROR(SEARCH("OFF",A169)))</formula>
    </cfRule>
  </conditionalFormatting>
  <conditionalFormatting sqref="V196:V197">
    <cfRule type="containsText" dxfId="3" priority="121" operator="between" text="OFF">
      <formula>NOT(ISERROR(SEARCH("OFF",V196)))</formula>
    </cfRule>
    <cfRule type="containsText" dxfId="4" priority="122" operator="between" text="OFF">
      <formula>NOT(ISERROR(SEARCH("OFF",V196)))</formula>
    </cfRule>
    <cfRule type="containsText" dxfId="5" priority="123" operator="between" text="S">
      <formula>NOT(ISERROR(SEARCH("S",V196)))</formula>
    </cfRule>
    <cfRule type="containsText" dxfId="6" priority="124" operator="between" text="I">
      <formula>NOT(ISERROR(SEARCH("I",V196)))</formula>
    </cfRule>
    <cfRule type="containsText" dxfId="7" priority="125" operator="between" text="A">
      <formula>NOT(ISERROR(SEARCH("A",V196)))</formula>
    </cfRule>
    <cfRule type="containsText" dxfId="8" priority="126" operator="between" text="L">
      <formula>NOT(ISERROR(SEARCH("L",V196)))</formula>
    </cfRule>
    <cfRule type="containsText" dxfId="6" priority="127" operator="between" text="A">
      <formula>NOT(ISERROR(SEARCH("A",V196)))</formula>
    </cfRule>
    <cfRule type="containsText" dxfId="7" priority="128" operator="between" text="S">
      <formula>NOT(ISERROR(SEARCH("S",V196)))</formula>
    </cfRule>
    <cfRule type="containsText" dxfId="5" priority="129" operator="between" text="OFF">
      <formula>NOT(ISERROR(SEARCH("OFF",V196)))</formula>
    </cfRule>
    <cfRule type="containsText" dxfId="7" priority="130" operator="between" text="OFF">
      <formula>NOT(ISERROR(SEARCH("OFF",V196)))</formula>
    </cfRule>
  </conditionalFormatting>
  <conditionalFormatting sqref="X196:X197">
    <cfRule type="containsText" dxfId="3" priority="131" operator="between" text="OFF">
      <formula>NOT(ISERROR(SEARCH("OFF",X196)))</formula>
    </cfRule>
    <cfRule type="containsText" dxfId="4" priority="132" operator="between" text="OFF">
      <formula>NOT(ISERROR(SEARCH("OFF",X196)))</formula>
    </cfRule>
    <cfRule type="containsText" dxfId="5" priority="133" operator="between" text="S">
      <formula>NOT(ISERROR(SEARCH("S",X196)))</formula>
    </cfRule>
    <cfRule type="containsText" dxfId="6" priority="134" operator="between" text="I">
      <formula>NOT(ISERROR(SEARCH("I",X196)))</formula>
    </cfRule>
    <cfRule type="containsText" dxfId="7" priority="135" operator="between" text="A">
      <formula>NOT(ISERROR(SEARCH("A",X196)))</formula>
    </cfRule>
    <cfRule type="containsText" dxfId="8" priority="136" operator="between" text="L">
      <formula>NOT(ISERROR(SEARCH("L",X196)))</formula>
    </cfRule>
    <cfRule type="containsText" dxfId="6" priority="137" operator="between" text="A">
      <formula>NOT(ISERROR(SEARCH("A",X196)))</formula>
    </cfRule>
    <cfRule type="containsText" dxfId="7" priority="138" operator="between" text="S">
      <formula>NOT(ISERROR(SEARCH("S",X196)))</formula>
    </cfRule>
    <cfRule type="containsText" dxfId="5" priority="139" operator="between" text="OFF">
      <formula>NOT(ISERROR(SEARCH("OFF",X196)))</formula>
    </cfRule>
    <cfRule type="containsText" dxfId="7" priority="140" operator="between" text="OFF">
      <formula>NOT(ISERROR(SEARCH("OFF",X196)))</formula>
    </cfRule>
  </conditionalFormatting>
  <conditionalFormatting sqref="AG44:AG193">
    <cfRule type="containsText" dxfId="3" priority="391" operator="between" text="OFF">
      <formula>NOT(ISERROR(SEARCH("OFF",AG44)))</formula>
    </cfRule>
    <cfRule type="containsText" dxfId="4" priority="392" operator="between" text="OFF">
      <formula>NOT(ISERROR(SEARCH("OFF",AG44)))</formula>
    </cfRule>
    <cfRule type="containsText" dxfId="5" priority="393" operator="between" text="S">
      <formula>NOT(ISERROR(SEARCH("S",AG44)))</formula>
    </cfRule>
    <cfRule type="containsText" dxfId="6" priority="394" operator="between" text="I">
      <formula>NOT(ISERROR(SEARCH("I",AG44)))</formula>
    </cfRule>
    <cfRule type="containsText" dxfId="7" priority="395" operator="between" text="A">
      <formula>NOT(ISERROR(SEARCH("A",AG44)))</formula>
    </cfRule>
    <cfRule type="containsText" dxfId="8" priority="396" operator="between" text="L">
      <formula>NOT(ISERROR(SEARCH("L",AG44)))</formula>
    </cfRule>
    <cfRule type="containsText" dxfId="6" priority="397" operator="between" text="A">
      <formula>NOT(ISERROR(SEARCH("A",AG44)))</formula>
    </cfRule>
    <cfRule type="containsText" dxfId="7" priority="398" operator="between" text="S">
      <formula>NOT(ISERROR(SEARCH("S",AG44)))</formula>
    </cfRule>
    <cfRule type="containsText" dxfId="5" priority="399" operator="between" text="OFF">
      <formula>NOT(ISERROR(SEARCH("OFF",AG44)))</formula>
    </cfRule>
    <cfRule type="containsText" dxfId="7" priority="400" operator="between" text="OFF">
      <formula>NOT(ISERROR(SEARCH("OFF",AG44)))</formula>
    </cfRule>
  </conditionalFormatting>
  <conditionalFormatting sqref="E12:L164">
    <cfRule type="containsText" dxfId="3" priority="321" operator="between" text="OFF">
      <formula>NOT(ISERROR(SEARCH("OFF",E12)))</formula>
    </cfRule>
    <cfRule type="containsText" dxfId="4" priority="322" operator="between" text="OFF">
      <formula>NOT(ISERROR(SEARCH("OFF",E12)))</formula>
    </cfRule>
    <cfRule type="containsText" dxfId="5" priority="323" operator="between" text="S">
      <formula>NOT(ISERROR(SEARCH("S",E12)))</formula>
    </cfRule>
    <cfRule type="containsText" dxfId="6" priority="324" operator="between" text="I">
      <formula>NOT(ISERROR(SEARCH("I",E12)))</formula>
    </cfRule>
    <cfRule type="containsText" dxfId="7" priority="325" operator="between" text="A">
      <formula>NOT(ISERROR(SEARCH("A",E12)))</formula>
    </cfRule>
    <cfRule type="containsText" dxfId="8" priority="326" operator="between" text="L">
      <formula>NOT(ISERROR(SEARCH("L",E12)))</formula>
    </cfRule>
    <cfRule type="containsText" dxfId="6" priority="327" operator="between" text="A">
      <formula>NOT(ISERROR(SEARCH("A",E12)))</formula>
    </cfRule>
    <cfRule type="containsText" dxfId="7" priority="328" operator="between" text="S">
      <formula>NOT(ISERROR(SEARCH("S",E12)))</formula>
    </cfRule>
    <cfRule type="containsText" dxfId="5" priority="329" operator="between" text="OFF">
      <formula>NOT(ISERROR(SEARCH("OFF",E12)))</formula>
    </cfRule>
    <cfRule type="containsText" dxfId="7" priority="330" operator="between" text="OFF">
      <formula>NOT(ISERROR(SEARCH("OFF",E12)))</formula>
    </cfRule>
  </conditionalFormatting>
  <conditionalFormatting sqref="AE44:AF160">
    <cfRule type="containsText" dxfId="3" priority="281" operator="between" text="OFF">
      <formula>NOT(ISERROR(SEARCH("OFF",AE44)))</formula>
    </cfRule>
    <cfRule type="containsText" dxfId="4" priority="282" operator="between" text="OFF">
      <formula>NOT(ISERROR(SEARCH("OFF",AE44)))</formula>
    </cfRule>
    <cfRule type="containsText" dxfId="5" priority="283" operator="between" text="S">
      <formula>NOT(ISERROR(SEARCH("S",AE44)))</formula>
    </cfRule>
    <cfRule type="containsText" dxfId="6" priority="284" operator="between" text="I">
      <formula>NOT(ISERROR(SEARCH("I",AE44)))</formula>
    </cfRule>
    <cfRule type="containsText" dxfId="7" priority="285" operator="between" text="A">
      <formula>NOT(ISERROR(SEARCH("A",AE44)))</formula>
    </cfRule>
    <cfRule type="containsText" dxfId="8" priority="286" operator="between" text="L">
      <formula>NOT(ISERROR(SEARCH("L",AE44)))</formula>
    </cfRule>
    <cfRule type="containsText" dxfId="6" priority="287" operator="between" text="A">
      <formula>NOT(ISERROR(SEARCH("A",AE44)))</formula>
    </cfRule>
    <cfRule type="containsText" dxfId="7" priority="288" operator="between" text="S">
      <formula>NOT(ISERROR(SEARCH("S",AE44)))</formula>
    </cfRule>
    <cfRule type="containsText" dxfId="5" priority="289" operator="between" text="OFF">
      <formula>NOT(ISERROR(SEARCH("OFF",AE44)))</formula>
    </cfRule>
    <cfRule type="containsText" dxfId="7" priority="290" operator="between" text="OFF">
      <formula>NOT(ISERROR(SEARCH("OFF",AE44)))</formula>
    </cfRule>
  </conditionalFormatting>
  <conditionalFormatting sqref="M161:AF164">
    <cfRule type="containsText" dxfId="3" priority="441" operator="between" text="OFF">
      <formula>NOT(ISERROR(SEARCH("OFF",M161)))</formula>
    </cfRule>
    <cfRule type="containsText" dxfId="4" priority="442" operator="between" text="OFF">
      <formula>NOT(ISERROR(SEARCH("OFF",M161)))</formula>
    </cfRule>
    <cfRule type="containsText" dxfId="5" priority="443" operator="between" text="S">
      <formula>NOT(ISERROR(SEARCH("S",M161)))</formula>
    </cfRule>
    <cfRule type="containsText" dxfId="6" priority="444" operator="between" text="I">
      <formula>NOT(ISERROR(SEARCH("I",M161)))</formula>
    </cfRule>
    <cfRule type="containsText" dxfId="7" priority="445" operator="between" text="A">
      <formula>NOT(ISERROR(SEARCH("A",M161)))</formula>
    </cfRule>
    <cfRule type="containsText" dxfId="8" priority="446" operator="between" text="L">
      <formula>NOT(ISERROR(SEARCH("L",M161)))</formula>
    </cfRule>
    <cfRule type="containsText" dxfId="6" priority="447" operator="between" text="A">
      <formula>NOT(ISERROR(SEARCH("A",M161)))</formula>
    </cfRule>
    <cfRule type="containsText" dxfId="7" priority="448" operator="between" text="S">
      <formula>NOT(ISERROR(SEARCH("S",M161)))</formula>
    </cfRule>
    <cfRule type="containsText" dxfId="5" priority="449" operator="between" text="OFF">
      <formula>NOT(ISERROR(SEARCH("OFF",M161)))</formula>
    </cfRule>
    <cfRule type="containsText" dxfId="7" priority="450" operator="between" text="OFF">
      <formula>NOT(ISERROR(SEARCH("OFF",M161)))</formula>
    </cfRule>
  </conditionalFormatting>
  <conditionalFormatting sqref="W165:X166">
    <cfRule type="containsText" dxfId="3" priority="401" operator="between" text="OFF">
      <formula>NOT(ISERROR(SEARCH("OFF",W165)))</formula>
    </cfRule>
    <cfRule type="containsText" dxfId="4" priority="402" operator="between" text="OFF">
      <formula>NOT(ISERROR(SEARCH("OFF",W165)))</formula>
    </cfRule>
    <cfRule type="containsText" dxfId="5" priority="403" operator="between" text="S">
      <formula>NOT(ISERROR(SEARCH("S",W165)))</formula>
    </cfRule>
    <cfRule type="containsText" dxfId="6" priority="404" operator="between" text="I">
      <formula>NOT(ISERROR(SEARCH("I",W165)))</formula>
    </cfRule>
    <cfRule type="containsText" dxfId="7" priority="405" operator="between" text="A">
      <formula>NOT(ISERROR(SEARCH("A",W165)))</formula>
    </cfRule>
    <cfRule type="containsText" dxfId="8" priority="406" operator="between" text="L">
      <formula>NOT(ISERROR(SEARCH("L",W165)))</formula>
    </cfRule>
    <cfRule type="containsText" dxfId="6" priority="407" operator="between" text="A">
      <formula>NOT(ISERROR(SEARCH("A",W165)))</formula>
    </cfRule>
    <cfRule type="containsText" dxfId="7" priority="408" operator="between" text="S">
      <formula>NOT(ISERROR(SEARCH("S",W165)))</formula>
    </cfRule>
    <cfRule type="containsText" dxfId="5" priority="409" operator="between" text="OFF">
      <formula>NOT(ISERROR(SEARCH("OFF",W165)))</formula>
    </cfRule>
    <cfRule type="containsText" dxfId="7" priority="410" operator="between" text="OFF">
      <formula>NOT(ISERROR(SEARCH("OFF",W165)))</formula>
    </cfRule>
  </conditionalFormatting>
  <conditionalFormatting sqref="E167:AF180">
    <cfRule type="containsText" dxfId="3" priority="11" operator="between" text="OFF">
      <formula>NOT(ISERROR(SEARCH("OFF",E167)))</formula>
    </cfRule>
    <cfRule type="containsText" dxfId="4" priority="12" operator="between" text="OFF">
      <formula>NOT(ISERROR(SEARCH("OFF",E167)))</formula>
    </cfRule>
    <cfRule type="containsText" dxfId="5" priority="13" operator="between" text="S">
      <formula>NOT(ISERROR(SEARCH("S",E167)))</formula>
    </cfRule>
    <cfRule type="containsText" dxfId="6" priority="14" operator="between" text="I">
      <formula>NOT(ISERROR(SEARCH("I",E167)))</formula>
    </cfRule>
  </conditionalFormatting>
  <conditionalFormatting sqref="E169:G170">
    <cfRule type="containsText" dxfId="7" priority="375" operator="between" text="A">
      <formula>NOT(ISERROR(SEARCH("A",E169)))</formula>
    </cfRule>
    <cfRule type="containsText" dxfId="8" priority="376" operator="between" text="L">
      <formula>NOT(ISERROR(SEARCH("L",E169)))</formula>
    </cfRule>
    <cfRule type="containsText" dxfId="6" priority="377" operator="between" text="A">
      <formula>NOT(ISERROR(SEARCH("A",E169)))</formula>
    </cfRule>
    <cfRule type="containsText" dxfId="7" priority="378" operator="between" text="S">
      <formula>NOT(ISERROR(SEARCH("S",E169)))</formula>
    </cfRule>
    <cfRule type="containsText" dxfId="5" priority="379" operator="between" text="OFF">
      <formula>NOT(ISERROR(SEARCH("OFF",E169)))</formula>
    </cfRule>
    <cfRule type="containsText" dxfId="7" priority="380" operator="between" text="OFF">
      <formula>NOT(ISERROR(SEARCH("OFF",E169)))</formula>
    </cfRule>
  </conditionalFormatting>
  <conditionalFormatting sqref="Y196:AM201">
    <cfRule type="containsText" dxfId="3" priority="101" operator="between" text="OFF">
      <formula>NOT(ISERROR(SEARCH("OFF",Y196)))</formula>
    </cfRule>
    <cfRule type="containsText" dxfId="4" priority="102" operator="between" text="OFF">
      <formula>NOT(ISERROR(SEARCH("OFF",Y196)))</formula>
    </cfRule>
    <cfRule type="containsText" dxfId="5" priority="103" operator="between" text="S">
      <formula>NOT(ISERROR(SEARCH("S",Y196)))</formula>
    </cfRule>
    <cfRule type="containsText" dxfId="6" priority="104" operator="between" text="I">
      <formula>NOT(ISERROR(SEARCH("I",Y196)))</formula>
    </cfRule>
    <cfRule type="containsText" dxfId="7" priority="105" operator="between" text="A">
      <formula>NOT(ISERROR(SEARCH("A",Y196)))</formula>
    </cfRule>
    <cfRule type="containsText" dxfId="8" priority="106" operator="between" text="L">
      <formula>NOT(ISERROR(SEARCH("L",Y196)))</formula>
    </cfRule>
    <cfRule type="containsText" dxfId="6" priority="107" operator="between" text="A">
      <formula>NOT(ISERROR(SEARCH("A",Y196)))</formula>
    </cfRule>
    <cfRule type="containsText" dxfId="7" priority="108" operator="between" text="S">
      <formula>NOT(ISERROR(SEARCH("S",Y196)))</formula>
    </cfRule>
    <cfRule type="containsText" dxfId="5" priority="109" operator="between" text="OFF">
      <formula>NOT(ISERROR(SEARCH("OFF",Y196)))</formula>
    </cfRule>
    <cfRule type="containsText" dxfId="7" priority="110" operator="between" text="OFF">
      <formula>NOT(ISERROR(SEARCH("OFF",Y196)))</formula>
    </cfRule>
  </conditionalFormatting>
  <printOptions horizontalCentered="1"/>
  <pageMargins left="0" right="0" top="0" bottom="0" header="0" footer="0"/>
  <pageSetup paperSize="9" scale="23" orientation="portrait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2:AT211"/>
  <sheetViews>
    <sheetView zoomScale="85" zoomScaleNormal="85" topLeftCell="A10" workbookViewId="0">
      <pane xSplit="2" ySplit="2" topLeftCell="Z62" activePane="bottomRight" state="frozen"/>
      <selection/>
      <selection pane="topRight"/>
      <selection pane="bottomLeft"/>
      <selection pane="bottomRight" activeCell="B165" sqref="B165"/>
    </sheetView>
  </sheetViews>
  <sheetFormatPr defaultColWidth="9" defaultRowHeight="14.5"/>
  <cols>
    <col min="1" max="1" width="10.3636363636364" hidden="1" customWidth="1"/>
    <col min="2" max="2" width="20" customWidth="1"/>
    <col min="3" max="3" width="14.5454545454545" customWidth="1"/>
    <col min="4" max="4" width="14.3636363636364" customWidth="1"/>
    <col min="5" max="8" width="7.63636363636364" customWidth="1"/>
    <col min="9" max="9" width="6.36363636363636" customWidth="1"/>
    <col min="10" max="10" width="6.45454545454545" customWidth="1"/>
    <col min="11" max="11" width="7.63636363636364" customWidth="1"/>
    <col min="12" max="15" width="7.90909090909091" customWidth="1"/>
    <col min="16" max="16" width="7" customWidth="1"/>
    <col min="17" max="20" width="7.63636363636364" customWidth="1"/>
    <col min="21" max="22" width="7.45454545454545" customWidth="1"/>
    <col min="23" max="26" width="7.63636363636364" customWidth="1"/>
    <col min="27" max="27" width="6.63636363636364" customWidth="1"/>
    <col min="28" max="33" width="7.63636363636364" customWidth="1"/>
    <col min="34" max="34" width="7.90909090909091" customWidth="1"/>
    <col min="35" max="35" width="7.45454545454545" customWidth="1"/>
    <col min="36" max="36" width="7.63636363636364" customWidth="1"/>
    <col min="37" max="37" width="8" style="116" customWidth="1"/>
    <col min="38" max="38" width="4.09090909090909" customWidth="1"/>
    <col min="39" max="39" width="6.90909090909091" customWidth="1"/>
    <col min="40" max="41" width="6.36363636363636" customWidth="1"/>
    <col min="42" max="42" width="7" customWidth="1"/>
    <col min="43" max="43" width="7.36363636363636" customWidth="1"/>
    <col min="44" max="44" width="26.4545454545455" customWidth="1"/>
    <col min="45" max="46" width="15.6363636363636" customWidth="1"/>
    <col min="47" max="47" width="9" customWidth="1"/>
  </cols>
  <sheetData>
    <row r="2" ht="20.15" customHeight="1" spans="1:4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133"/>
    </row>
    <row r="3" ht="20.15" customHeight="1" spans="1:46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133"/>
    </row>
    <row r="4" ht="20.15" customHeight="1" spans="1:46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134"/>
    </row>
    <row r="5" ht="20.15" customHeight="1" spans="1:46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134"/>
    </row>
    <row r="6" ht="20.15" customHeight="1" spans="1:46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134"/>
    </row>
    <row r="7" ht="20.15" customHeight="1" spans="1:46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135"/>
    </row>
    <row r="8" ht="20.15" customHeight="1" spans="1:46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135"/>
    </row>
    <row r="9" ht="20.15" customHeight="1" spans="1:46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133"/>
    </row>
    <row r="10" s="20" customFormat="1" ht="16.5" spans="1:46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39"/>
      <c r="AL10" s="56"/>
      <c r="AM10" s="23" t="s">
        <v>5</v>
      </c>
      <c r="AN10" s="24"/>
      <c r="AO10" s="24"/>
      <c r="AP10" s="25"/>
      <c r="AQ10" s="2" t="s">
        <v>6</v>
      </c>
      <c r="AR10" s="2" t="s">
        <v>5</v>
      </c>
      <c r="AS10" s="26" t="s">
        <v>8</v>
      </c>
      <c r="AT10" s="27" t="s">
        <v>9</v>
      </c>
    </row>
    <row r="11" s="21" customFormat="1" ht="23.15" customHeight="1" spans="1:46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58">
        <v>24</v>
      </c>
      <c r="I11" s="58">
        <v>25</v>
      </c>
      <c r="J11" s="235">
        <v>26</v>
      </c>
      <c r="K11" s="58">
        <v>27</v>
      </c>
      <c r="L11" s="58">
        <v>28</v>
      </c>
      <c r="M11" s="58">
        <v>29</v>
      </c>
      <c r="N11" s="58">
        <v>30</v>
      </c>
      <c r="O11" s="58">
        <v>31</v>
      </c>
      <c r="P11" s="58">
        <v>1</v>
      </c>
      <c r="Q11" s="58">
        <v>2</v>
      </c>
      <c r="R11" s="58">
        <v>3</v>
      </c>
      <c r="S11" s="58">
        <v>4</v>
      </c>
      <c r="T11" s="58">
        <v>5</v>
      </c>
      <c r="U11" s="58">
        <v>6</v>
      </c>
      <c r="V11" s="58">
        <v>7</v>
      </c>
      <c r="W11" s="58">
        <v>8</v>
      </c>
      <c r="X11" s="58">
        <v>9</v>
      </c>
      <c r="Y11" s="58">
        <v>10</v>
      </c>
      <c r="Z11" s="58">
        <v>11</v>
      </c>
      <c r="AA11" s="58">
        <v>12</v>
      </c>
      <c r="AB11" s="58">
        <v>13</v>
      </c>
      <c r="AC11" s="58">
        <v>14</v>
      </c>
      <c r="AD11" s="58">
        <v>15</v>
      </c>
      <c r="AE11" s="58">
        <v>16</v>
      </c>
      <c r="AF11" s="58">
        <v>17</v>
      </c>
      <c r="AG11" s="58">
        <v>18</v>
      </c>
      <c r="AH11" s="58">
        <v>19</v>
      </c>
      <c r="AI11" s="58">
        <v>20</v>
      </c>
      <c r="AJ11" s="58">
        <v>21</v>
      </c>
      <c r="AK11" s="140"/>
      <c r="AL11" s="148" t="s">
        <v>10</v>
      </c>
      <c r="AM11" s="11" t="s">
        <v>11</v>
      </c>
      <c r="AN11" s="11" t="s">
        <v>12</v>
      </c>
      <c r="AO11" s="11" t="s">
        <v>13</v>
      </c>
      <c r="AP11" s="11" t="s">
        <v>14</v>
      </c>
      <c r="AQ11" s="32"/>
      <c r="AR11" s="32"/>
      <c r="AS11" s="33"/>
      <c r="AT11" s="34"/>
    </row>
    <row r="12" s="105" customFormat="1" ht="20.15" hidden="1" customHeight="1" spans="1:46">
      <c r="A12" s="68">
        <v>1</v>
      </c>
      <c r="B12" s="149" t="s">
        <v>15</v>
      </c>
      <c r="C12" s="164" t="s">
        <v>20</v>
      </c>
      <c r="D12" s="149" t="s">
        <v>217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113"/>
      <c r="AL12" s="151">
        <f t="shared" ref="AL12:AL75" si="0">COUNTIF(E12:AJ12,"H")</f>
        <v>0</v>
      </c>
      <c r="AM12" s="47">
        <f t="shared" ref="AM12:AM75" si="1">COUNTIF(E12:AJ12,"S")</f>
        <v>0</v>
      </c>
      <c r="AN12" s="36">
        <f t="shared" ref="AN12:AN75" si="2">COUNTIF(E12:AJ12,"I")</f>
        <v>0</v>
      </c>
      <c r="AO12" s="35">
        <f t="shared" ref="AO12:AO75" si="3">COUNTIF(E12:AJ12,"A")</f>
        <v>0</v>
      </c>
      <c r="AP12" s="36">
        <f t="shared" ref="AP12:AP75" si="4">COUNTIF(E12:AJ12,"OFF")</f>
        <v>0</v>
      </c>
      <c r="AQ12" s="48">
        <f t="shared" ref="AQ12:AQ75" si="5">SUM(AL12:AO12)</f>
        <v>0</v>
      </c>
      <c r="AR12" s="37" t="s">
        <v>228</v>
      </c>
      <c r="AS12" s="38">
        <v>16</v>
      </c>
      <c r="AT12" s="39">
        <f t="shared" ref="AT12:AT75" si="6">AQ12/AS12</f>
        <v>0</v>
      </c>
    </row>
    <row r="13" s="105" customFormat="1" ht="20.15" hidden="1" customHeight="1" spans="1:46">
      <c r="A13" s="68">
        <v>2</v>
      </c>
      <c r="B13" s="149" t="s">
        <v>17</v>
      </c>
      <c r="C13" s="149" t="s">
        <v>16</v>
      </c>
      <c r="D13" s="152" t="s">
        <v>265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113"/>
      <c r="AL13" s="151">
        <f t="shared" si="0"/>
        <v>0</v>
      </c>
      <c r="AM13" s="35">
        <f t="shared" si="1"/>
        <v>0</v>
      </c>
      <c r="AN13" s="36">
        <f t="shared" si="2"/>
        <v>0</v>
      </c>
      <c r="AO13" s="35">
        <f t="shared" si="3"/>
        <v>0</v>
      </c>
      <c r="AP13" s="36">
        <f t="shared" si="4"/>
        <v>0</v>
      </c>
      <c r="AQ13" s="37">
        <f t="shared" si="5"/>
        <v>0</v>
      </c>
      <c r="AR13" s="37"/>
      <c r="AS13" s="38">
        <v>16</v>
      </c>
      <c r="AT13" s="39">
        <f t="shared" si="6"/>
        <v>0</v>
      </c>
    </row>
    <row r="14" s="105" customFormat="1" ht="20.15" hidden="1" customHeight="1" spans="1:46">
      <c r="A14" s="68">
        <v>3</v>
      </c>
      <c r="B14" s="149" t="s">
        <v>116</v>
      </c>
      <c r="C14" s="150" t="s">
        <v>59</v>
      </c>
      <c r="D14" s="152" t="s">
        <v>199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113"/>
      <c r="AL14" s="151">
        <f t="shared" si="0"/>
        <v>0</v>
      </c>
      <c r="AM14" s="35">
        <f t="shared" si="1"/>
        <v>0</v>
      </c>
      <c r="AN14" s="35">
        <f t="shared" si="2"/>
        <v>0</v>
      </c>
      <c r="AO14" s="47">
        <f t="shared" si="3"/>
        <v>0</v>
      </c>
      <c r="AP14" s="36">
        <f t="shared" si="4"/>
        <v>0</v>
      </c>
      <c r="AQ14" s="48">
        <f t="shared" si="5"/>
        <v>0</v>
      </c>
      <c r="AR14" s="49"/>
      <c r="AS14" s="38">
        <v>16</v>
      </c>
      <c r="AT14" s="39">
        <f t="shared" si="6"/>
        <v>0</v>
      </c>
    </row>
    <row r="15" s="105" customFormat="1" ht="20.15" hidden="1" customHeight="1" spans="1:46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113"/>
      <c r="AL15" s="151">
        <f t="shared" si="0"/>
        <v>0</v>
      </c>
      <c r="AM15" s="35">
        <f t="shared" si="1"/>
        <v>0</v>
      </c>
      <c r="AN15" s="36">
        <f t="shared" si="2"/>
        <v>0</v>
      </c>
      <c r="AO15" s="36">
        <f t="shared" si="3"/>
        <v>0</v>
      </c>
      <c r="AP15" s="36">
        <f t="shared" si="4"/>
        <v>0</v>
      </c>
      <c r="AQ15" s="37">
        <f t="shared" si="5"/>
        <v>0</v>
      </c>
      <c r="AR15" s="37"/>
      <c r="AS15" s="38">
        <v>16</v>
      </c>
      <c r="AT15" s="39">
        <f t="shared" si="6"/>
        <v>0</v>
      </c>
    </row>
    <row r="16" s="105" customFormat="1" ht="20.15" hidden="1" customHeight="1" spans="1:46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113"/>
      <c r="AL16" s="151">
        <f t="shared" si="0"/>
        <v>0</v>
      </c>
      <c r="AM16" s="35">
        <f t="shared" si="1"/>
        <v>0</v>
      </c>
      <c r="AN16" s="36">
        <f t="shared" si="2"/>
        <v>0</v>
      </c>
      <c r="AO16" s="36">
        <f t="shared" si="3"/>
        <v>0</v>
      </c>
      <c r="AP16" s="36">
        <f t="shared" si="4"/>
        <v>0</v>
      </c>
      <c r="AQ16" s="37">
        <f t="shared" si="5"/>
        <v>0</v>
      </c>
      <c r="AR16" s="52"/>
      <c r="AS16" s="38">
        <v>16</v>
      </c>
      <c r="AT16" s="39">
        <f t="shared" si="6"/>
        <v>0</v>
      </c>
    </row>
    <row r="17" s="105" customFormat="1" ht="20.15" hidden="1" customHeight="1" spans="1:46">
      <c r="A17" s="68">
        <v>6</v>
      </c>
      <c r="B17" s="154" t="s">
        <v>23</v>
      </c>
      <c r="C17" s="154" t="s">
        <v>16</v>
      </c>
      <c r="D17" s="152" t="s">
        <v>229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 t="s">
        <v>12</v>
      </c>
      <c r="P17" s="62"/>
      <c r="Q17" s="62" t="s">
        <v>11</v>
      </c>
      <c r="R17" s="62"/>
      <c r="S17" s="62"/>
      <c r="T17" s="62"/>
      <c r="U17" s="62"/>
      <c r="V17" s="62"/>
      <c r="W17" s="62"/>
      <c r="X17" s="62"/>
      <c r="Y17" s="62"/>
      <c r="Z17" s="62" t="s">
        <v>13</v>
      </c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113"/>
      <c r="AL17" s="151">
        <f t="shared" si="0"/>
        <v>0</v>
      </c>
      <c r="AM17" s="35">
        <f t="shared" si="1"/>
        <v>1</v>
      </c>
      <c r="AN17" s="36">
        <f t="shared" si="2"/>
        <v>1</v>
      </c>
      <c r="AO17" s="35">
        <f t="shared" si="3"/>
        <v>1</v>
      </c>
      <c r="AP17" s="36">
        <f t="shared" si="4"/>
        <v>0</v>
      </c>
      <c r="AQ17" s="37">
        <f t="shared" si="5"/>
        <v>3</v>
      </c>
      <c r="AR17" s="43"/>
      <c r="AS17" s="38">
        <v>16</v>
      </c>
      <c r="AT17" s="39">
        <f t="shared" si="6"/>
        <v>0.1875</v>
      </c>
    </row>
    <row r="18" s="105" customFormat="1" ht="20.15" hidden="1" customHeight="1" spans="1:46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113"/>
      <c r="AL18" s="151">
        <f t="shared" si="0"/>
        <v>0</v>
      </c>
      <c r="AM18" s="36">
        <f t="shared" si="1"/>
        <v>0</v>
      </c>
      <c r="AN18" s="35">
        <f t="shared" si="2"/>
        <v>0</v>
      </c>
      <c r="AO18" s="36">
        <f t="shared" si="3"/>
        <v>0</v>
      </c>
      <c r="AP18" s="36">
        <f t="shared" si="4"/>
        <v>0</v>
      </c>
      <c r="AQ18" s="37">
        <f t="shared" si="5"/>
        <v>0</v>
      </c>
      <c r="AR18" s="37"/>
      <c r="AS18" s="38">
        <v>16</v>
      </c>
      <c r="AT18" s="39">
        <f t="shared" si="6"/>
        <v>0</v>
      </c>
    </row>
    <row r="19" s="105" customFormat="1" ht="20.15" hidden="1" customHeight="1" spans="1:46">
      <c r="A19" s="68">
        <v>8</v>
      </c>
      <c r="B19" s="154" t="s">
        <v>378</v>
      </c>
      <c r="C19" s="150" t="s">
        <v>16</v>
      </c>
      <c r="D19" s="152" t="s">
        <v>178</v>
      </c>
      <c r="E19" s="248"/>
      <c r="F19" s="62"/>
      <c r="G19" s="62"/>
      <c r="H19" s="62"/>
      <c r="I19" s="62"/>
      <c r="J19" s="62"/>
      <c r="K19" s="62"/>
      <c r="L19" s="62"/>
      <c r="M19" s="62"/>
      <c r="N19" s="62" t="s">
        <v>11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113"/>
      <c r="AL19" s="151">
        <f t="shared" si="0"/>
        <v>0</v>
      </c>
      <c r="AM19" s="35">
        <f t="shared" si="1"/>
        <v>1</v>
      </c>
      <c r="AN19" s="36">
        <f t="shared" si="2"/>
        <v>0</v>
      </c>
      <c r="AO19" s="36">
        <f t="shared" si="3"/>
        <v>0</v>
      </c>
      <c r="AP19" s="36">
        <f t="shared" si="4"/>
        <v>0</v>
      </c>
      <c r="AQ19" s="37">
        <f t="shared" si="5"/>
        <v>1</v>
      </c>
      <c r="AR19" s="43" t="s">
        <v>336</v>
      </c>
      <c r="AS19" s="38">
        <v>16</v>
      </c>
      <c r="AT19" s="39">
        <f t="shared" si="6"/>
        <v>0.0625</v>
      </c>
    </row>
    <row r="20" s="105" customFormat="1" ht="20.25" hidden="1" customHeight="1" spans="1:46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248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113"/>
      <c r="AL20" s="151">
        <f t="shared" si="0"/>
        <v>0</v>
      </c>
      <c r="AM20" s="35">
        <f t="shared" si="1"/>
        <v>0</v>
      </c>
      <c r="AN20" s="36">
        <f t="shared" si="2"/>
        <v>0</v>
      </c>
      <c r="AO20" s="36">
        <f t="shared" si="3"/>
        <v>0</v>
      </c>
      <c r="AP20" s="36">
        <f t="shared" si="4"/>
        <v>0</v>
      </c>
      <c r="AQ20" s="37">
        <f t="shared" si="5"/>
        <v>0</v>
      </c>
      <c r="AR20" s="52" t="s">
        <v>201</v>
      </c>
      <c r="AS20" s="38">
        <v>16</v>
      </c>
      <c r="AT20" s="39">
        <f t="shared" si="6"/>
        <v>0</v>
      </c>
    </row>
    <row r="21" s="105" customFormat="1" ht="20.15" hidden="1" customHeight="1" spans="1:46">
      <c r="A21" s="68">
        <v>10</v>
      </c>
      <c r="B21" s="154" t="s">
        <v>28</v>
      </c>
      <c r="C21" s="150" t="s">
        <v>16</v>
      </c>
      <c r="D21" s="152" t="s">
        <v>196</v>
      </c>
      <c r="E21" s="248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 t="s">
        <v>11</v>
      </c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113"/>
      <c r="AL21" s="151">
        <f t="shared" si="0"/>
        <v>0</v>
      </c>
      <c r="AM21" s="35">
        <f t="shared" si="1"/>
        <v>1</v>
      </c>
      <c r="AN21" s="36">
        <f t="shared" si="2"/>
        <v>0</v>
      </c>
      <c r="AO21" s="36">
        <f t="shared" si="3"/>
        <v>0</v>
      </c>
      <c r="AP21" s="36">
        <f t="shared" si="4"/>
        <v>0</v>
      </c>
      <c r="AQ21" s="37">
        <f t="shared" si="5"/>
        <v>1</v>
      </c>
      <c r="AR21" s="43" t="s">
        <v>336</v>
      </c>
      <c r="AS21" s="38">
        <v>16</v>
      </c>
      <c r="AT21" s="39">
        <f t="shared" si="6"/>
        <v>0.0625</v>
      </c>
    </row>
    <row r="22" s="105" customFormat="1" ht="20.15" hidden="1" customHeight="1" spans="1:46">
      <c r="A22" s="68">
        <v>11</v>
      </c>
      <c r="B22" s="155" t="s">
        <v>29</v>
      </c>
      <c r="C22" s="150" t="s">
        <v>16</v>
      </c>
      <c r="D22" s="149" t="s">
        <v>153</v>
      </c>
      <c r="E22" s="248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113"/>
      <c r="AL22" s="151">
        <f t="shared" si="0"/>
        <v>0</v>
      </c>
      <c r="AM22" s="35">
        <f t="shared" si="1"/>
        <v>0</v>
      </c>
      <c r="AN22" s="36">
        <f t="shared" si="2"/>
        <v>0</v>
      </c>
      <c r="AO22" s="36">
        <f t="shared" si="3"/>
        <v>0</v>
      </c>
      <c r="AP22" s="36">
        <f t="shared" si="4"/>
        <v>0</v>
      </c>
      <c r="AQ22" s="37">
        <f t="shared" si="5"/>
        <v>0</v>
      </c>
      <c r="AR22" s="37" t="s">
        <v>303</v>
      </c>
      <c r="AS22" s="38">
        <v>16</v>
      </c>
      <c r="AT22" s="39">
        <f t="shared" si="6"/>
        <v>0</v>
      </c>
    </row>
    <row r="23" s="105" customFormat="1" ht="20.15" hidden="1" customHeight="1" spans="1:46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248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113"/>
      <c r="AL23" s="151">
        <f t="shared" si="0"/>
        <v>0</v>
      </c>
      <c r="AM23" s="35">
        <f t="shared" si="1"/>
        <v>0</v>
      </c>
      <c r="AN23" s="35">
        <f t="shared" si="2"/>
        <v>0</v>
      </c>
      <c r="AO23" s="35">
        <f t="shared" si="3"/>
        <v>0</v>
      </c>
      <c r="AP23" s="36">
        <f t="shared" si="4"/>
        <v>0</v>
      </c>
      <c r="AQ23" s="37">
        <f t="shared" si="5"/>
        <v>0</v>
      </c>
      <c r="AR23" s="37" t="s">
        <v>25</v>
      </c>
      <c r="AS23" s="38">
        <v>16</v>
      </c>
      <c r="AT23" s="39">
        <f t="shared" si="6"/>
        <v>0</v>
      </c>
    </row>
    <row r="24" s="105" customFormat="1" ht="20.15" hidden="1" customHeight="1" spans="1:46">
      <c r="A24" s="68">
        <v>13</v>
      </c>
      <c r="B24" s="155" t="s">
        <v>31</v>
      </c>
      <c r="C24" s="150" t="s">
        <v>16</v>
      </c>
      <c r="D24" s="152" t="s">
        <v>203</v>
      </c>
      <c r="E24" s="62"/>
      <c r="F24" s="62"/>
      <c r="G24" s="62"/>
      <c r="H24" s="62"/>
      <c r="I24" s="62" t="s">
        <v>103</v>
      </c>
      <c r="J24" s="62" t="s">
        <v>103</v>
      </c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113"/>
      <c r="AL24" s="151">
        <f t="shared" si="0"/>
        <v>0</v>
      </c>
      <c r="AM24" s="35">
        <f t="shared" si="1"/>
        <v>0</v>
      </c>
      <c r="AN24" s="35">
        <f t="shared" si="2"/>
        <v>2</v>
      </c>
      <c r="AO24" s="36">
        <f t="shared" si="3"/>
        <v>0</v>
      </c>
      <c r="AP24" s="36">
        <f t="shared" si="4"/>
        <v>0</v>
      </c>
      <c r="AQ24" s="37">
        <f t="shared" si="5"/>
        <v>2</v>
      </c>
      <c r="AR24" s="43" t="s">
        <v>379</v>
      </c>
      <c r="AS24" s="38">
        <v>16</v>
      </c>
      <c r="AT24" s="39">
        <f t="shared" si="6"/>
        <v>0.125</v>
      </c>
    </row>
    <row r="25" s="105" customFormat="1" ht="20.15" hidden="1" customHeight="1" spans="1:46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113"/>
      <c r="AL25" s="151">
        <f t="shared" si="0"/>
        <v>0</v>
      </c>
      <c r="AM25" s="35">
        <f t="shared" si="1"/>
        <v>0</v>
      </c>
      <c r="AN25" s="35">
        <f t="shared" si="2"/>
        <v>0</v>
      </c>
      <c r="AO25" s="47">
        <f t="shared" si="3"/>
        <v>0</v>
      </c>
      <c r="AP25" s="36">
        <f t="shared" si="4"/>
        <v>0</v>
      </c>
      <c r="AQ25" s="37">
        <f t="shared" si="5"/>
        <v>0</v>
      </c>
      <c r="AR25" s="38" t="s">
        <v>168</v>
      </c>
      <c r="AS25" s="38">
        <v>16</v>
      </c>
      <c r="AT25" s="39">
        <f t="shared" si="6"/>
        <v>0</v>
      </c>
    </row>
    <row r="26" s="105" customFormat="1" ht="20.15" hidden="1" customHeight="1" spans="1:46">
      <c r="A26" s="68">
        <v>15</v>
      </c>
      <c r="B26" s="154" t="s">
        <v>33</v>
      </c>
      <c r="C26" s="150" t="s">
        <v>16</v>
      </c>
      <c r="D26" s="149" t="s">
        <v>163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113"/>
      <c r="AL26" s="151">
        <f t="shared" si="0"/>
        <v>0</v>
      </c>
      <c r="AM26" s="35">
        <f t="shared" si="1"/>
        <v>0</v>
      </c>
      <c r="AN26" s="36">
        <f t="shared" si="2"/>
        <v>0</v>
      </c>
      <c r="AO26" s="36">
        <f t="shared" si="3"/>
        <v>0</v>
      </c>
      <c r="AP26" s="36">
        <f t="shared" si="4"/>
        <v>0</v>
      </c>
      <c r="AQ26" s="37">
        <f t="shared" si="5"/>
        <v>0</v>
      </c>
      <c r="AR26" s="37" t="s">
        <v>337</v>
      </c>
      <c r="AS26" s="38">
        <v>16</v>
      </c>
      <c r="AT26" s="39">
        <f t="shared" si="6"/>
        <v>0</v>
      </c>
    </row>
    <row r="27" s="105" customFormat="1" ht="20.15" hidden="1" customHeight="1" spans="1:46">
      <c r="A27" s="68">
        <v>16</v>
      </c>
      <c r="B27" s="154" t="s">
        <v>34</v>
      </c>
      <c r="C27" s="150" t="s">
        <v>16</v>
      </c>
      <c r="D27" s="152" t="s">
        <v>217</v>
      </c>
      <c r="E27" s="62"/>
      <c r="F27" s="62"/>
      <c r="G27" s="62"/>
      <c r="H27" s="62"/>
      <c r="I27" s="62"/>
      <c r="J27" s="62"/>
      <c r="K27" s="62"/>
      <c r="L27" s="62"/>
      <c r="M27" s="172"/>
      <c r="N27" s="172" t="s">
        <v>12</v>
      </c>
      <c r="O27" s="172"/>
      <c r="P27" s="172"/>
      <c r="Q27" s="172"/>
      <c r="R27" s="62" t="s">
        <v>11</v>
      </c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113"/>
      <c r="AL27" s="151">
        <f t="shared" si="0"/>
        <v>0</v>
      </c>
      <c r="AM27" s="131">
        <f t="shared" si="1"/>
        <v>1</v>
      </c>
      <c r="AN27" s="103">
        <f t="shared" si="2"/>
        <v>1</v>
      </c>
      <c r="AO27" s="103">
        <f t="shared" si="3"/>
        <v>0</v>
      </c>
      <c r="AP27" s="103">
        <f t="shared" si="4"/>
        <v>0</v>
      </c>
      <c r="AQ27" s="128">
        <f t="shared" si="5"/>
        <v>2</v>
      </c>
      <c r="AR27" s="156" t="s">
        <v>380</v>
      </c>
      <c r="AS27" s="38">
        <v>16</v>
      </c>
      <c r="AT27" s="39">
        <f t="shared" si="6"/>
        <v>0.125</v>
      </c>
    </row>
    <row r="28" s="105" customFormat="1" ht="20.15" hidden="1" customHeight="1" spans="1:46">
      <c r="A28" s="68">
        <v>17</v>
      </c>
      <c r="B28" s="154" t="s">
        <v>35</v>
      </c>
      <c r="C28" s="150" t="s">
        <v>16</v>
      </c>
      <c r="D28" s="152" t="s">
        <v>153</v>
      </c>
      <c r="E28" s="62"/>
      <c r="F28" s="62"/>
      <c r="G28" s="62"/>
      <c r="H28" s="62"/>
      <c r="I28" s="62"/>
      <c r="J28" s="62"/>
      <c r="K28" s="62"/>
      <c r="L28" s="236"/>
      <c r="M28" s="236"/>
      <c r="N28" s="236" t="s">
        <v>11</v>
      </c>
      <c r="O28" s="236"/>
      <c r="P28" s="180"/>
      <c r="Q28" s="180"/>
      <c r="R28" s="237"/>
      <c r="S28" s="62"/>
      <c r="T28" s="62"/>
      <c r="U28" s="62" t="s">
        <v>12</v>
      </c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113"/>
      <c r="AL28" s="151">
        <f t="shared" si="0"/>
        <v>0</v>
      </c>
      <c r="AM28" s="43">
        <f t="shared" si="1"/>
        <v>1</v>
      </c>
      <c r="AN28" s="66">
        <f t="shared" si="2"/>
        <v>1</v>
      </c>
      <c r="AO28" s="66">
        <f t="shared" si="3"/>
        <v>0</v>
      </c>
      <c r="AP28" s="66">
        <f t="shared" si="4"/>
        <v>0</v>
      </c>
      <c r="AQ28" s="43">
        <f t="shared" si="5"/>
        <v>2</v>
      </c>
      <c r="AR28" s="43" t="s">
        <v>337</v>
      </c>
      <c r="AS28" s="68">
        <v>16</v>
      </c>
      <c r="AT28" s="39">
        <f t="shared" si="6"/>
        <v>0.125</v>
      </c>
    </row>
    <row r="29" s="105" customFormat="1" ht="20.15" hidden="1" customHeight="1" spans="1:46">
      <c r="A29" s="68">
        <v>18</v>
      </c>
      <c r="B29" s="149" t="s">
        <v>36</v>
      </c>
      <c r="C29" s="150" t="s">
        <v>20</v>
      </c>
      <c r="D29" s="149" t="s">
        <v>242</v>
      </c>
      <c r="E29" s="62"/>
      <c r="F29" s="62"/>
      <c r="G29" s="62"/>
      <c r="H29" s="62"/>
      <c r="I29" s="62"/>
      <c r="J29" s="62"/>
      <c r="K29" s="62"/>
      <c r="L29" s="62"/>
      <c r="M29" s="238"/>
      <c r="N29" s="238"/>
      <c r="O29" s="238"/>
      <c r="P29" s="238"/>
      <c r="Q29" s="238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113"/>
      <c r="AL29" s="151">
        <f t="shared" si="0"/>
        <v>0</v>
      </c>
      <c r="AM29" s="35">
        <f t="shared" si="1"/>
        <v>0</v>
      </c>
      <c r="AN29" s="35">
        <f t="shared" si="2"/>
        <v>0</v>
      </c>
      <c r="AO29" s="47">
        <f t="shared" si="3"/>
        <v>0</v>
      </c>
      <c r="AP29" s="36">
        <f t="shared" si="4"/>
        <v>0</v>
      </c>
      <c r="AQ29" s="35">
        <f t="shared" si="5"/>
        <v>0</v>
      </c>
      <c r="AR29" s="35" t="s">
        <v>305</v>
      </c>
      <c r="AS29" s="38">
        <v>16</v>
      </c>
      <c r="AT29" s="39">
        <f t="shared" si="6"/>
        <v>0</v>
      </c>
    </row>
    <row r="30" s="105" customFormat="1" ht="20.15" hidden="1" customHeight="1" spans="1:46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113"/>
      <c r="AL30" s="151">
        <f t="shared" si="0"/>
        <v>0</v>
      </c>
      <c r="AM30" s="35">
        <f t="shared" si="1"/>
        <v>0</v>
      </c>
      <c r="AN30" s="35">
        <f t="shared" si="2"/>
        <v>0</v>
      </c>
      <c r="AO30" s="35">
        <f t="shared" si="3"/>
        <v>0</v>
      </c>
      <c r="AP30" s="36">
        <f t="shared" si="4"/>
        <v>0</v>
      </c>
      <c r="AQ30" s="37">
        <f t="shared" si="5"/>
        <v>0</v>
      </c>
      <c r="AR30" s="52" t="s">
        <v>208</v>
      </c>
      <c r="AS30" s="38">
        <v>16</v>
      </c>
      <c r="AT30" s="39">
        <f t="shared" si="6"/>
        <v>0</v>
      </c>
    </row>
    <row r="31" s="105" customFormat="1" ht="20.15" hidden="1" customHeight="1" spans="1:46">
      <c r="A31" s="68">
        <v>20</v>
      </c>
      <c r="B31" s="154" t="s">
        <v>39</v>
      </c>
      <c r="C31" s="150" t="s">
        <v>16</v>
      </c>
      <c r="D31" s="152" t="s">
        <v>381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 t="s">
        <v>11</v>
      </c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113"/>
      <c r="AL31" s="151">
        <f t="shared" si="0"/>
        <v>0</v>
      </c>
      <c r="AM31" s="35">
        <f t="shared" si="1"/>
        <v>1</v>
      </c>
      <c r="AN31" s="36">
        <f t="shared" si="2"/>
        <v>0</v>
      </c>
      <c r="AO31" s="36">
        <f t="shared" si="3"/>
        <v>0</v>
      </c>
      <c r="AP31" s="36">
        <f t="shared" si="4"/>
        <v>0</v>
      </c>
      <c r="AQ31" s="37">
        <f t="shared" si="5"/>
        <v>1</v>
      </c>
      <c r="AR31" s="156" t="s">
        <v>239</v>
      </c>
      <c r="AS31" s="38">
        <v>16</v>
      </c>
      <c r="AT31" s="39">
        <f t="shared" si="6"/>
        <v>0.0625</v>
      </c>
    </row>
    <row r="32" s="105" customFormat="1" ht="20.15" hidden="1" customHeight="1" spans="1:46">
      <c r="A32" s="68">
        <v>21</v>
      </c>
      <c r="B32" s="154" t="s">
        <v>41</v>
      </c>
      <c r="C32" s="150" t="s">
        <v>16</v>
      </c>
      <c r="D32" s="152" t="s">
        <v>163</v>
      </c>
      <c r="E32" s="62"/>
      <c r="F32" s="62"/>
      <c r="G32" s="62"/>
      <c r="H32" s="62"/>
      <c r="I32" s="62" t="s">
        <v>13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 t="s">
        <v>11</v>
      </c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113"/>
      <c r="AL32" s="151">
        <f t="shared" si="0"/>
        <v>0</v>
      </c>
      <c r="AM32" s="35">
        <f t="shared" si="1"/>
        <v>1</v>
      </c>
      <c r="AN32" s="35">
        <f t="shared" si="2"/>
        <v>0</v>
      </c>
      <c r="AO32" s="36">
        <f t="shared" si="3"/>
        <v>1</v>
      </c>
      <c r="AP32" s="36">
        <f t="shared" si="4"/>
        <v>0</v>
      </c>
      <c r="AQ32" s="37">
        <f t="shared" si="5"/>
        <v>2</v>
      </c>
      <c r="AR32" s="128" t="s">
        <v>336</v>
      </c>
      <c r="AS32" s="38">
        <v>16</v>
      </c>
      <c r="AT32" s="39">
        <f t="shared" si="6"/>
        <v>0.125</v>
      </c>
    </row>
    <row r="33" s="105" customFormat="1" ht="20.15" hidden="1" customHeight="1" spans="1:46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 t="s">
        <v>11</v>
      </c>
      <c r="AC33" s="62"/>
      <c r="AD33" s="62"/>
      <c r="AE33" s="62"/>
      <c r="AF33" s="62"/>
      <c r="AG33" s="62"/>
      <c r="AH33" s="62"/>
      <c r="AI33" s="62"/>
      <c r="AJ33" s="62"/>
      <c r="AK33" s="113"/>
      <c r="AL33" s="151">
        <f t="shared" si="0"/>
        <v>0</v>
      </c>
      <c r="AM33" s="35">
        <f t="shared" si="1"/>
        <v>1</v>
      </c>
      <c r="AN33" s="36">
        <f t="shared" si="2"/>
        <v>0</v>
      </c>
      <c r="AO33" s="36">
        <f t="shared" si="3"/>
        <v>0</v>
      </c>
      <c r="AP33" s="36">
        <f t="shared" si="4"/>
        <v>0</v>
      </c>
      <c r="AQ33" s="37">
        <f t="shared" si="5"/>
        <v>1</v>
      </c>
      <c r="AR33" s="43" t="s">
        <v>382</v>
      </c>
      <c r="AS33" s="38">
        <v>16</v>
      </c>
      <c r="AT33" s="39">
        <f t="shared" si="6"/>
        <v>0.0625</v>
      </c>
    </row>
    <row r="34" s="105" customFormat="1" ht="20.15" hidden="1" customHeight="1" spans="1:46">
      <c r="A34" s="68">
        <v>23</v>
      </c>
      <c r="B34" s="157" t="s">
        <v>44</v>
      </c>
      <c r="C34" s="150" t="s">
        <v>16</v>
      </c>
      <c r="D34" s="149" t="s">
        <v>268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113"/>
      <c r="AL34" s="151">
        <f t="shared" si="0"/>
        <v>0</v>
      </c>
      <c r="AM34" s="35">
        <f t="shared" si="1"/>
        <v>0</v>
      </c>
      <c r="AN34" s="35">
        <f t="shared" si="2"/>
        <v>0</v>
      </c>
      <c r="AO34" s="36">
        <f t="shared" si="3"/>
        <v>0</v>
      </c>
      <c r="AP34" s="36">
        <f t="shared" si="4"/>
        <v>0</v>
      </c>
      <c r="AQ34" s="37">
        <f t="shared" si="5"/>
        <v>0</v>
      </c>
      <c r="AR34" s="37"/>
      <c r="AS34" s="38">
        <v>16</v>
      </c>
      <c r="AT34" s="39">
        <f t="shared" si="6"/>
        <v>0</v>
      </c>
    </row>
    <row r="35" s="105" customFormat="1" ht="20.15" hidden="1" customHeight="1" spans="1:46">
      <c r="A35" s="68">
        <v>24</v>
      </c>
      <c r="B35" s="249" t="s">
        <v>117</v>
      </c>
      <c r="C35" s="150" t="s">
        <v>16</v>
      </c>
      <c r="D35" s="152" t="s">
        <v>306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 t="s">
        <v>11</v>
      </c>
      <c r="AK35" s="113"/>
      <c r="AL35" s="151">
        <f t="shared" si="0"/>
        <v>0</v>
      </c>
      <c r="AM35" s="35">
        <f t="shared" si="1"/>
        <v>1</v>
      </c>
      <c r="AN35" s="36">
        <f t="shared" si="2"/>
        <v>0</v>
      </c>
      <c r="AO35" s="35">
        <f t="shared" si="3"/>
        <v>0</v>
      </c>
      <c r="AP35" s="36">
        <f t="shared" si="4"/>
        <v>0</v>
      </c>
      <c r="AQ35" s="37">
        <f t="shared" si="5"/>
        <v>1</v>
      </c>
      <c r="AR35" s="43" t="s">
        <v>193</v>
      </c>
      <c r="AS35" s="38">
        <v>16</v>
      </c>
      <c r="AT35" s="39">
        <f t="shared" si="6"/>
        <v>0.0625</v>
      </c>
    </row>
    <row r="36" s="105" customFormat="1" ht="20.15" hidden="1" customHeight="1" spans="1:46">
      <c r="A36" s="68">
        <v>25</v>
      </c>
      <c r="B36" s="167" t="s">
        <v>46</v>
      </c>
      <c r="C36" s="150" t="s">
        <v>16</v>
      </c>
      <c r="D36" s="152" t="s">
        <v>153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113"/>
      <c r="AL36" s="151">
        <f t="shared" si="0"/>
        <v>0</v>
      </c>
      <c r="AM36" s="35">
        <f t="shared" si="1"/>
        <v>0</v>
      </c>
      <c r="AN36" s="35">
        <f t="shared" si="2"/>
        <v>0</v>
      </c>
      <c r="AO36" s="35">
        <f t="shared" si="3"/>
        <v>0</v>
      </c>
      <c r="AP36" s="36">
        <f t="shared" si="4"/>
        <v>0</v>
      </c>
      <c r="AQ36" s="37">
        <f t="shared" si="5"/>
        <v>0</v>
      </c>
      <c r="AR36" s="156" t="s">
        <v>171</v>
      </c>
      <c r="AS36" s="38">
        <v>16</v>
      </c>
      <c r="AT36" s="39">
        <f t="shared" si="6"/>
        <v>0</v>
      </c>
    </row>
    <row r="37" s="105" customFormat="1" ht="20.15" hidden="1" customHeight="1" spans="1:46">
      <c r="A37" s="68">
        <v>26</v>
      </c>
      <c r="B37" s="149" t="s">
        <v>47</v>
      </c>
      <c r="C37" s="150" t="s">
        <v>211</v>
      </c>
      <c r="D37" s="152" t="s">
        <v>212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113"/>
      <c r="AL37" s="151">
        <f t="shared" si="0"/>
        <v>0</v>
      </c>
      <c r="AM37" s="35">
        <f t="shared" si="1"/>
        <v>0</v>
      </c>
      <c r="AN37" s="36">
        <f t="shared" si="2"/>
        <v>0</v>
      </c>
      <c r="AO37" s="36">
        <f t="shared" si="3"/>
        <v>0</v>
      </c>
      <c r="AP37" s="36">
        <f t="shared" si="4"/>
        <v>0</v>
      </c>
      <c r="AQ37" s="37">
        <f t="shared" si="5"/>
        <v>0</v>
      </c>
      <c r="AR37" s="156" t="s">
        <v>201</v>
      </c>
      <c r="AS37" s="38">
        <v>16</v>
      </c>
      <c r="AT37" s="39">
        <f t="shared" si="6"/>
        <v>0</v>
      </c>
    </row>
    <row r="38" s="105" customFormat="1" ht="20.15" hidden="1" customHeight="1" spans="1:46">
      <c r="A38" s="68">
        <v>27</v>
      </c>
      <c r="B38" s="149" t="s">
        <v>48</v>
      </c>
      <c r="C38" s="150" t="s">
        <v>16</v>
      </c>
      <c r="D38" s="149" t="s">
        <v>217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 t="s">
        <v>11</v>
      </c>
      <c r="AD38" s="62"/>
      <c r="AE38" s="62"/>
      <c r="AF38" s="62"/>
      <c r="AG38" s="62"/>
      <c r="AH38" s="62"/>
      <c r="AI38" s="62"/>
      <c r="AJ38" s="62"/>
      <c r="AK38" s="113"/>
      <c r="AL38" s="151">
        <f t="shared" si="0"/>
        <v>0</v>
      </c>
      <c r="AM38" s="35">
        <f t="shared" si="1"/>
        <v>1</v>
      </c>
      <c r="AN38" s="35">
        <f t="shared" si="2"/>
        <v>0</v>
      </c>
      <c r="AO38" s="35">
        <f t="shared" si="3"/>
        <v>0</v>
      </c>
      <c r="AP38" s="36">
        <f t="shared" si="4"/>
        <v>0</v>
      </c>
      <c r="AQ38" s="37">
        <f t="shared" si="5"/>
        <v>1</v>
      </c>
      <c r="AR38" s="43" t="s">
        <v>336</v>
      </c>
      <c r="AS38" s="38">
        <v>16</v>
      </c>
      <c r="AT38" s="39">
        <f t="shared" si="6"/>
        <v>0.0625</v>
      </c>
    </row>
    <row r="39" s="105" customFormat="1" ht="20.15" hidden="1" customHeight="1" spans="1:46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113"/>
      <c r="AL39" s="151">
        <f t="shared" si="0"/>
        <v>0</v>
      </c>
      <c r="AM39" s="35">
        <f t="shared" si="1"/>
        <v>0</v>
      </c>
      <c r="AN39" s="36">
        <f t="shared" si="2"/>
        <v>0</v>
      </c>
      <c r="AO39" s="35">
        <f t="shared" si="3"/>
        <v>0</v>
      </c>
      <c r="AP39" s="36">
        <f t="shared" si="4"/>
        <v>0</v>
      </c>
      <c r="AQ39" s="37">
        <f t="shared" si="5"/>
        <v>0</v>
      </c>
      <c r="AR39" s="49" t="s">
        <v>118</v>
      </c>
      <c r="AS39" s="38">
        <v>16</v>
      </c>
      <c r="AT39" s="39">
        <f t="shared" si="6"/>
        <v>0</v>
      </c>
    </row>
    <row r="40" s="105" customFormat="1" ht="20.15" hidden="1" customHeight="1" spans="1:46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 t="s">
        <v>11</v>
      </c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113"/>
      <c r="AL40" s="151">
        <f t="shared" si="0"/>
        <v>0</v>
      </c>
      <c r="AM40" s="35">
        <f t="shared" si="1"/>
        <v>1</v>
      </c>
      <c r="AN40" s="36">
        <f t="shared" si="2"/>
        <v>0</v>
      </c>
      <c r="AO40" s="36">
        <f t="shared" si="3"/>
        <v>0</v>
      </c>
      <c r="AP40" s="36">
        <f t="shared" si="4"/>
        <v>0</v>
      </c>
      <c r="AQ40" s="128">
        <f t="shared" si="5"/>
        <v>1</v>
      </c>
      <c r="AR40" s="128" t="s">
        <v>336</v>
      </c>
      <c r="AS40" s="38">
        <v>16</v>
      </c>
      <c r="AT40" s="72">
        <f t="shared" si="6"/>
        <v>0.0625</v>
      </c>
    </row>
    <row r="41" s="105" customFormat="1" ht="20.15" hidden="1" customHeight="1" spans="1:46">
      <c r="A41" s="68">
        <v>30</v>
      </c>
      <c r="B41" s="154" t="s">
        <v>51</v>
      </c>
      <c r="C41" s="150" t="s">
        <v>16</v>
      </c>
      <c r="D41" s="149" t="s">
        <v>217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 t="s">
        <v>11</v>
      </c>
      <c r="AB41" s="62"/>
      <c r="AC41" s="62"/>
      <c r="AD41" s="62"/>
      <c r="AE41" s="62"/>
      <c r="AF41" s="62"/>
      <c r="AG41" s="62"/>
      <c r="AH41" s="62"/>
      <c r="AI41" s="62"/>
      <c r="AJ41" s="62"/>
      <c r="AK41" s="113"/>
      <c r="AL41" s="151">
        <f t="shared" si="0"/>
        <v>0</v>
      </c>
      <c r="AM41" s="35">
        <f t="shared" si="1"/>
        <v>1</v>
      </c>
      <c r="AN41" s="36">
        <f t="shared" si="2"/>
        <v>0</v>
      </c>
      <c r="AO41" s="36">
        <f t="shared" si="3"/>
        <v>0</v>
      </c>
      <c r="AP41" s="36">
        <f t="shared" si="4"/>
        <v>0</v>
      </c>
      <c r="AQ41" s="37">
        <f t="shared" si="5"/>
        <v>1</v>
      </c>
      <c r="AR41" s="43" t="s">
        <v>382</v>
      </c>
      <c r="AS41" s="38">
        <v>26</v>
      </c>
      <c r="AT41" s="39">
        <f t="shared" si="6"/>
        <v>0.0384615384615385</v>
      </c>
    </row>
    <row r="42" s="105" customFormat="1" ht="20.15" hidden="1" customHeight="1" spans="1:46">
      <c r="A42" s="68">
        <v>31</v>
      </c>
      <c r="B42" s="154" t="s">
        <v>52</v>
      </c>
      <c r="C42" s="150" t="s">
        <v>339</v>
      </c>
      <c r="D42" s="149" t="s">
        <v>355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 t="s">
        <v>11</v>
      </c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 t="s">
        <v>11</v>
      </c>
      <c r="AI42" s="62"/>
      <c r="AJ42" s="62"/>
      <c r="AK42" s="113"/>
      <c r="AL42" s="151">
        <f t="shared" si="0"/>
        <v>0</v>
      </c>
      <c r="AM42" s="35">
        <f t="shared" si="1"/>
        <v>2</v>
      </c>
      <c r="AN42" s="36">
        <f t="shared" si="2"/>
        <v>0</v>
      </c>
      <c r="AO42" s="36">
        <f t="shared" si="3"/>
        <v>0</v>
      </c>
      <c r="AP42" s="36">
        <f t="shared" si="4"/>
        <v>0</v>
      </c>
      <c r="AQ42" s="37">
        <f t="shared" si="5"/>
        <v>2</v>
      </c>
      <c r="AR42" s="128" t="s">
        <v>351</v>
      </c>
      <c r="AS42" s="38">
        <v>26</v>
      </c>
      <c r="AT42" s="39">
        <f t="shared" si="6"/>
        <v>0.0769230769230769</v>
      </c>
    </row>
    <row r="43" s="105" customFormat="1" ht="20.15" hidden="1" customHeight="1" spans="1:46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142"/>
      <c r="AL43" s="151">
        <f t="shared" si="0"/>
        <v>0</v>
      </c>
      <c r="AM43" s="35">
        <f t="shared" si="1"/>
        <v>0</v>
      </c>
      <c r="AN43" s="36">
        <f t="shared" si="2"/>
        <v>0</v>
      </c>
      <c r="AO43" s="36">
        <f t="shared" si="3"/>
        <v>0</v>
      </c>
      <c r="AP43" s="36">
        <f t="shared" si="4"/>
        <v>0</v>
      </c>
      <c r="AQ43" s="37">
        <f t="shared" si="5"/>
        <v>0</v>
      </c>
      <c r="AR43" s="37" t="s">
        <v>25</v>
      </c>
      <c r="AS43" s="38">
        <v>26</v>
      </c>
      <c r="AT43" s="39">
        <f t="shared" si="6"/>
        <v>0</v>
      </c>
    </row>
    <row r="44" s="105" customFormat="1" ht="20.15" hidden="1" customHeight="1" spans="1:46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113"/>
      <c r="AL44" s="151">
        <f t="shared" si="0"/>
        <v>0</v>
      </c>
      <c r="AM44" s="35">
        <f t="shared" si="1"/>
        <v>0</v>
      </c>
      <c r="AN44" s="36">
        <f t="shared" si="2"/>
        <v>0</v>
      </c>
      <c r="AO44" s="36">
        <f t="shared" si="3"/>
        <v>0</v>
      </c>
      <c r="AP44" s="36">
        <f t="shared" si="4"/>
        <v>0</v>
      </c>
      <c r="AQ44" s="37">
        <f t="shared" si="5"/>
        <v>0</v>
      </c>
      <c r="AR44" s="37" t="s">
        <v>25</v>
      </c>
      <c r="AS44" s="38">
        <v>26</v>
      </c>
      <c r="AT44" s="39">
        <f t="shared" si="6"/>
        <v>0</v>
      </c>
    </row>
    <row r="45" s="105" customFormat="1" ht="20.15" hidden="1" customHeight="1" spans="1:46">
      <c r="A45" s="68">
        <v>34</v>
      </c>
      <c r="B45" s="158" t="s">
        <v>383</v>
      </c>
      <c r="C45" s="150" t="s">
        <v>16</v>
      </c>
      <c r="D45" s="149" t="s">
        <v>178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 t="s">
        <v>12</v>
      </c>
      <c r="AI45" s="62"/>
      <c r="AJ45" s="62"/>
      <c r="AK45" s="113"/>
      <c r="AL45" s="151">
        <f t="shared" si="0"/>
        <v>0</v>
      </c>
      <c r="AM45" s="35">
        <f t="shared" si="1"/>
        <v>0</v>
      </c>
      <c r="AN45" s="36">
        <f t="shared" si="2"/>
        <v>1</v>
      </c>
      <c r="AO45" s="36">
        <f t="shared" si="3"/>
        <v>0</v>
      </c>
      <c r="AP45" s="36">
        <f t="shared" si="4"/>
        <v>0</v>
      </c>
      <c r="AQ45" s="37">
        <f t="shared" si="5"/>
        <v>1</v>
      </c>
      <c r="AR45" s="37" t="s">
        <v>384</v>
      </c>
      <c r="AS45" s="38">
        <v>26</v>
      </c>
      <c r="AT45" s="39">
        <f t="shared" si="6"/>
        <v>0.0384615384615385</v>
      </c>
    </row>
    <row r="46" s="105" customFormat="1" ht="20.15" hidden="1" customHeight="1" spans="1:46">
      <c r="A46" s="68">
        <v>35</v>
      </c>
      <c r="B46" s="154" t="s">
        <v>56</v>
      </c>
      <c r="C46" s="150" t="s">
        <v>16</v>
      </c>
      <c r="D46" s="149" t="s">
        <v>231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113"/>
      <c r="AL46" s="151">
        <f t="shared" si="0"/>
        <v>0</v>
      </c>
      <c r="AM46" s="35">
        <f t="shared" si="1"/>
        <v>0</v>
      </c>
      <c r="AN46" s="36">
        <f t="shared" si="2"/>
        <v>0</v>
      </c>
      <c r="AO46" s="35">
        <f t="shared" si="3"/>
        <v>0</v>
      </c>
      <c r="AP46" s="36">
        <f t="shared" si="4"/>
        <v>0</v>
      </c>
      <c r="AQ46" s="37">
        <f t="shared" si="5"/>
        <v>0</v>
      </c>
      <c r="AR46" s="37" t="s">
        <v>228</v>
      </c>
      <c r="AS46" s="38">
        <v>26</v>
      </c>
      <c r="AT46" s="39">
        <f t="shared" si="6"/>
        <v>0</v>
      </c>
    </row>
    <row r="47" s="105" customFormat="1" ht="20.15" customHeight="1" spans="1:46">
      <c r="A47" s="68">
        <v>36</v>
      </c>
      <c r="B47" s="159" t="s">
        <v>57</v>
      </c>
      <c r="C47" s="150" t="s">
        <v>16</v>
      </c>
      <c r="D47" s="149" t="s">
        <v>153</v>
      </c>
      <c r="E47" s="62"/>
      <c r="F47" s="62"/>
      <c r="G47" s="62"/>
      <c r="H47" s="62"/>
      <c r="I47" s="62"/>
      <c r="J47" s="62"/>
      <c r="K47" s="62" t="s">
        <v>11</v>
      </c>
      <c r="L47" s="62" t="s">
        <v>11</v>
      </c>
      <c r="M47" s="62"/>
      <c r="N47" s="62"/>
      <c r="O47" s="62"/>
      <c r="P47" s="62"/>
      <c r="Q47" s="62"/>
      <c r="R47" s="62"/>
      <c r="S47" s="62"/>
      <c r="T47" s="62" t="s">
        <v>12</v>
      </c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 t="s">
        <v>11</v>
      </c>
      <c r="AJ47" s="62"/>
      <c r="AK47" s="113"/>
      <c r="AL47" s="151">
        <f t="shared" si="0"/>
        <v>0</v>
      </c>
      <c r="AM47" s="35">
        <f t="shared" si="1"/>
        <v>3</v>
      </c>
      <c r="AN47" s="36">
        <f t="shared" si="2"/>
        <v>1</v>
      </c>
      <c r="AO47" s="36">
        <f t="shared" si="3"/>
        <v>0</v>
      </c>
      <c r="AP47" s="36">
        <f t="shared" si="4"/>
        <v>0</v>
      </c>
      <c r="AQ47" s="37">
        <f t="shared" si="5"/>
        <v>4</v>
      </c>
      <c r="AR47" s="43" t="s">
        <v>193</v>
      </c>
      <c r="AS47" s="38">
        <v>26</v>
      </c>
      <c r="AT47" s="39">
        <f t="shared" si="6"/>
        <v>0.153846153846154</v>
      </c>
    </row>
    <row r="48" s="105" customFormat="1" ht="19.5" hidden="1" customHeight="1" spans="1:46">
      <c r="A48" s="68">
        <v>37</v>
      </c>
      <c r="B48" s="149" t="s">
        <v>58</v>
      </c>
      <c r="C48" s="150" t="s">
        <v>59</v>
      </c>
      <c r="D48" s="149" t="s">
        <v>341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 t="s">
        <v>12</v>
      </c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 t="s">
        <v>11</v>
      </c>
      <c r="AD48" s="62"/>
      <c r="AE48" s="62"/>
      <c r="AF48" s="62"/>
      <c r="AG48" s="62"/>
      <c r="AH48" s="62"/>
      <c r="AI48" s="62"/>
      <c r="AJ48" s="62"/>
      <c r="AK48" s="113"/>
      <c r="AL48" s="151">
        <f t="shared" si="0"/>
        <v>0</v>
      </c>
      <c r="AM48" s="35">
        <f t="shared" si="1"/>
        <v>1</v>
      </c>
      <c r="AN48" s="36">
        <f t="shared" si="2"/>
        <v>1</v>
      </c>
      <c r="AO48" s="35">
        <f t="shared" si="3"/>
        <v>0</v>
      </c>
      <c r="AP48" s="36">
        <f t="shared" si="4"/>
        <v>0</v>
      </c>
      <c r="AQ48" s="37">
        <f t="shared" si="5"/>
        <v>2</v>
      </c>
      <c r="AR48" s="156" t="s">
        <v>246</v>
      </c>
      <c r="AS48" s="38">
        <v>26</v>
      </c>
      <c r="AT48" s="39">
        <f t="shared" si="6"/>
        <v>0.0769230769230769</v>
      </c>
    </row>
    <row r="49" s="105" customFormat="1" ht="19.5" hidden="1" customHeight="1" spans="1:46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113"/>
      <c r="AL49" s="151">
        <f t="shared" si="0"/>
        <v>0</v>
      </c>
      <c r="AM49" s="36">
        <f t="shared" si="1"/>
        <v>0</v>
      </c>
      <c r="AN49" s="36">
        <f t="shared" si="2"/>
        <v>0</v>
      </c>
      <c r="AO49" s="36">
        <f t="shared" si="3"/>
        <v>0</v>
      </c>
      <c r="AP49" s="36">
        <f t="shared" si="4"/>
        <v>0</v>
      </c>
      <c r="AQ49" s="37">
        <f t="shared" si="5"/>
        <v>0</v>
      </c>
      <c r="AR49" s="37"/>
      <c r="AS49" s="38">
        <v>26</v>
      </c>
      <c r="AT49" s="39">
        <f t="shared" si="6"/>
        <v>0</v>
      </c>
    </row>
    <row r="50" s="105" customFormat="1" ht="19.5" hidden="1" customHeight="1" spans="1:46">
      <c r="A50" s="68">
        <v>39</v>
      </c>
      <c r="B50" s="161" t="s">
        <v>62</v>
      </c>
      <c r="C50" s="150" t="s">
        <v>59</v>
      </c>
      <c r="D50" s="149" t="s">
        <v>342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113"/>
      <c r="AL50" s="151">
        <f t="shared" si="0"/>
        <v>0</v>
      </c>
      <c r="AM50" s="35">
        <f t="shared" si="1"/>
        <v>0</v>
      </c>
      <c r="AN50" s="36">
        <f t="shared" si="2"/>
        <v>0</v>
      </c>
      <c r="AO50" s="36">
        <f t="shared" si="3"/>
        <v>0</v>
      </c>
      <c r="AP50" s="36">
        <f t="shared" si="4"/>
        <v>0</v>
      </c>
      <c r="AQ50" s="37">
        <f t="shared" si="5"/>
        <v>0</v>
      </c>
      <c r="AR50" s="156" t="s">
        <v>275</v>
      </c>
      <c r="AS50" s="38">
        <v>26</v>
      </c>
      <c r="AT50" s="39">
        <f t="shared" si="6"/>
        <v>0</v>
      </c>
    </row>
    <row r="51" s="105" customFormat="1" ht="19.5" hidden="1" customHeight="1" spans="1:46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113"/>
      <c r="AL51" s="151">
        <f t="shared" si="0"/>
        <v>0</v>
      </c>
      <c r="AM51" s="35">
        <f t="shared" si="1"/>
        <v>0</v>
      </c>
      <c r="AN51" s="35">
        <f t="shared" si="2"/>
        <v>0</v>
      </c>
      <c r="AO51" s="36">
        <f t="shared" si="3"/>
        <v>0</v>
      </c>
      <c r="AP51" s="36">
        <f t="shared" si="4"/>
        <v>0</v>
      </c>
      <c r="AQ51" s="37">
        <f t="shared" si="5"/>
        <v>0</v>
      </c>
      <c r="AR51" s="37"/>
      <c r="AS51" s="38">
        <v>26</v>
      </c>
      <c r="AT51" s="39">
        <f t="shared" si="6"/>
        <v>0</v>
      </c>
    </row>
    <row r="52" s="105" customFormat="1" ht="19.5" hidden="1" customHeight="1" spans="1:46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113"/>
      <c r="AL52" s="151">
        <f t="shared" si="0"/>
        <v>0</v>
      </c>
      <c r="AM52" s="35">
        <f t="shared" si="1"/>
        <v>0</v>
      </c>
      <c r="AN52" s="36">
        <f t="shared" si="2"/>
        <v>0</v>
      </c>
      <c r="AO52" s="36">
        <f t="shared" si="3"/>
        <v>0</v>
      </c>
      <c r="AP52" s="36">
        <f t="shared" si="4"/>
        <v>0</v>
      </c>
      <c r="AQ52" s="37">
        <f t="shared" si="5"/>
        <v>0</v>
      </c>
      <c r="AR52" s="37"/>
      <c r="AS52" s="38">
        <v>26</v>
      </c>
      <c r="AT52" s="39">
        <f t="shared" si="6"/>
        <v>0</v>
      </c>
    </row>
    <row r="53" s="105" customFormat="1" ht="19.5" hidden="1" customHeight="1" spans="1:46">
      <c r="A53" s="68">
        <v>42</v>
      </c>
      <c r="B53" s="154" t="s">
        <v>65</v>
      </c>
      <c r="C53" s="150" t="s">
        <v>16</v>
      </c>
      <c r="D53" s="149" t="s">
        <v>236</v>
      </c>
      <c r="E53" s="62"/>
      <c r="F53" s="62"/>
      <c r="G53" s="62"/>
      <c r="H53" s="62"/>
      <c r="I53" s="62" t="s">
        <v>103</v>
      </c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113"/>
      <c r="AL53" s="151">
        <f t="shared" si="0"/>
        <v>0</v>
      </c>
      <c r="AM53" s="35">
        <f t="shared" si="1"/>
        <v>0</v>
      </c>
      <c r="AN53" s="36">
        <f t="shared" si="2"/>
        <v>1</v>
      </c>
      <c r="AO53" s="36">
        <f t="shared" si="3"/>
        <v>0</v>
      </c>
      <c r="AP53" s="36">
        <f t="shared" si="4"/>
        <v>0</v>
      </c>
      <c r="AQ53" s="37">
        <f t="shared" si="5"/>
        <v>1</v>
      </c>
      <c r="AR53" s="37"/>
      <c r="AS53" s="38">
        <v>26</v>
      </c>
      <c r="AT53" s="39">
        <f t="shared" si="6"/>
        <v>0.0384615384615385</v>
      </c>
    </row>
    <row r="54" s="105" customFormat="1" ht="19.5" hidden="1" customHeight="1" spans="1:46">
      <c r="A54" s="68">
        <v>43</v>
      </c>
      <c r="B54" s="154" t="s">
        <v>66</v>
      </c>
      <c r="C54" s="150" t="s">
        <v>16</v>
      </c>
      <c r="D54" s="149" t="s">
        <v>153</v>
      </c>
      <c r="E54" s="62"/>
      <c r="F54" s="62"/>
      <c r="G54" s="62"/>
      <c r="H54" s="62"/>
      <c r="I54" s="62"/>
      <c r="J54" s="62" t="s">
        <v>11</v>
      </c>
      <c r="K54" s="62"/>
      <c r="L54" s="62"/>
      <c r="M54" s="62" t="s">
        <v>11</v>
      </c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 t="s">
        <v>11</v>
      </c>
      <c r="AB54" s="62"/>
      <c r="AC54" s="62"/>
      <c r="AD54" s="62"/>
      <c r="AE54" s="62"/>
      <c r="AF54" s="62"/>
      <c r="AG54" s="62"/>
      <c r="AH54" s="62"/>
      <c r="AI54" s="62"/>
      <c r="AJ54" s="62"/>
      <c r="AK54" s="113"/>
      <c r="AL54" s="151">
        <f t="shared" si="0"/>
        <v>0</v>
      </c>
      <c r="AM54" s="35">
        <f t="shared" si="1"/>
        <v>3</v>
      </c>
      <c r="AN54" s="35">
        <f t="shared" si="2"/>
        <v>0</v>
      </c>
      <c r="AO54" s="47">
        <f t="shared" si="3"/>
        <v>0</v>
      </c>
      <c r="AP54" s="36">
        <f t="shared" si="4"/>
        <v>0</v>
      </c>
      <c r="AQ54" s="37">
        <f t="shared" si="5"/>
        <v>3</v>
      </c>
      <c r="AR54" s="43" t="s">
        <v>382</v>
      </c>
      <c r="AS54" s="38">
        <v>26</v>
      </c>
      <c r="AT54" s="39">
        <f t="shared" si="6"/>
        <v>0.115384615384615</v>
      </c>
    </row>
    <row r="55" s="105" customFormat="1" ht="19.5" hidden="1" customHeight="1" spans="1:46">
      <c r="A55" s="68">
        <v>44</v>
      </c>
      <c r="B55" s="154" t="s">
        <v>385</v>
      </c>
      <c r="C55" s="150" t="s">
        <v>16</v>
      </c>
      <c r="D55" s="162" t="s">
        <v>178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 t="s">
        <v>11</v>
      </c>
      <c r="AE55" s="62"/>
      <c r="AF55" s="62"/>
      <c r="AG55" s="62"/>
      <c r="AH55" s="62"/>
      <c r="AI55" s="62"/>
      <c r="AJ55" s="62"/>
      <c r="AK55" s="113"/>
      <c r="AL55" s="151">
        <f t="shared" si="0"/>
        <v>0</v>
      </c>
      <c r="AM55" s="35">
        <f t="shared" si="1"/>
        <v>1</v>
      </c>
      <c r="AN55" s="36">
        <f t="shared" si="2"/>
        <v>0</v>
      </c>
      <c r="AO55" s="36">
        <f t="shared" si="3"/>
        <v>0</v>
      </c>
      <c r="AP55" s="36">
        <f t="shared" si="4"/>
        <v>0</v>
      </c>
      <c r="AQ55" s="37">
        <f t="shared" si="5"/>
        <v>1</v>
      </c>
      <c r="AR55" s="43" t="s">
        <v>382</v>
      </c>
      <c r="AS55" s="38">
        <v>26</v>
      </c>
      <c r="AT55" s="39">
        <f t="shared" si="6"/>
        <v>0.0384615384615385</v>
      </c>
    </row>
    <row r="56" s="105" customFormat="1" ht="19.5" hidden="1" customHeight="1" spans="1:46">
      <c r="A56" s="68">
        <v>45</v>
      </c>
      <c r="B56" s="154" t="s">
        <v>68</v>
      </c>
      <c r="C56" s="150" t="s">
        <v>16</v>
      </c>
      <c r="D56" s="152" t="s">
        <v>205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113"/>
      <c r="AL56" s="151">
        <f t="shared" si="0"/>
        <v>0</v>
      </c>
      <c r="AM56" s="35">
        <f t="shared" si="1"/>
        <v>0</v>
      </c>
      <c r="AN56" s="36">
        <f t="shared" si="2"/>
        <v>0</v>
      </c>
      <c r="AO56" s="35">
        <f t="shared" si="3"/>
        <v>0</v>
      </c>
      <c r="AP56" s="36">
        <f t="shared" si="4"/>
        <v>0</v>
      </c>
      <c r="AQ56" s="37">
        <f t="shared" si="5"/>
        <v>0</v>
      </c>
      <c r="AR56" s="37" t="s">
        <v>272</v>
      </c>
      <c r="AS56" s="38">
        <v>26</v>
      </c>
      <c r="AT56" s="39">
        <f t="shared" si="6"/>
        <v>0</v>
      </c>
    </row>
    <row r="57" s="105" customFormat="1" ht="19.5" hidden="1" customHeight="1" spans="1:46">
      <c r="A57" s="68">
        <v>46</v>
      </c>
      <c r="B57" s="154" t="s">
        <v>69</v>
      </c>
      <c r="C57" s="150" t="s">
        <v>16</v>
      </c>
      <c r="D57" s="149" t="s">
        <v>344</v>
      </c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 t="s">
        <v>11</v>
      </c>
      <c r="Q57" s="62" t="s">
        <v>11</v>
      </c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113"/>
      <c r="AL57" s="151">
        <f t="shared" si="0"/>
        <v>0</v>
      </c>
      <c r="AM57" s="35">
        <f t="shared" si="1"/>
        <v>2</v>
      </c>
      <c r="AN57" s="36">
        <f t="shared" si="2"/>
        <v>0</v>
      </c>
      <c r="AO57" s="36">
        <f t="shared" si="3"/>
        <v>0</v>
      </c>
      <c r="AP57" s="36">
        <f t="shared" si="4"/>
        <v>0</v>
      </c>
      <c r="AQ57" s="37">
        <f t="shared" si="5"/>
        <v>2</v>
      </c>
      <c r="AR57" s="156" t="s">
        <v>386</v>
      </c>
      <c r="AS57" s="38">
        <v>26</v>
      </c>
      <c r="AT57" s="39">
        <f t="shared" si="6"/>
        <v>0.0769230769230769</v>
      </c>
    </row>
    <row r="58" s="105" customFormat="1" ht="19.5" hidden="1" customHeight="1" spans="1:46">
      <c r="A58" s="68">
        <v>47</v>
      </c>
      <c r="B58" s="154" t="s">
        <v>70</v>
      </c>
      <c r="C58" s="150" t="s">
        <v>59</v>
      </c>
      <c r="D58" s="152" t="s">
        <v>273</v>
      </c>
      <c r="E58" s="62"/>
      <c r="F58" s="62"/>
      <c r="G58" s="62"/>
      <c r="H58" s="62"/>
      <c r="I58" s="62"/>
      <c r="J58" s="62"/>
      <c r="K58" s="62"/>
      <c r="L58" s="62"/>
      <c r="M58" s="62" t="s">
        <v>11</v>
      </c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113"/>
      <c r="AL58" s="151">
        <f t="shared" si="0"/>
        <v>0</v>
      </c>
      <c r="AM58" s="35">
        <f t="shared" si="1"/>
        <v>1</v>
      </c>
      <c r="AN58" s="36">
        <f t="shared" si="2"/>
        <v>0</v>
      </c>
      <c r="AO58" s="36">
        <f t="shared" si="3"/>
        <v>0</v>
      </c>
      <c r="AP58" s="36">
        <f t="shared" si="4"/>
        <v>0</v>
      </c>
      <c r="AQ58" s="37">
        <f t="shared" si="5"/>
        <v>1</v>
      </c>
      <c r="AR58" s="43" t="s">
        <v>336</v>
      </c>
      <c r="AS58" s="38">
        <v>26</v>
      </c>
      <c r="AT58" s="39">
        <f t="shared" si="6"/>
        <v>0.0384615384615385</v>
      </c>
    </row>
    <row r="59" s="105" customFormat="1" ht="19.5" hidden="1" customHeight="1" spans="1:46">
      <c r="A59" s="68">
        <v>48</v>
      </c>
      <c r="B59" s="154" t="s">
        <v>71</v>
      </c>
      <c r="C59" s="150" t="s">
        <v>59</v>
      </c>
      <c r="D59" s="149" t="str">
        <f>VLOOKUP(B59,'[1]MASTER DATA 2025'!$C$3:$E$279,3,0)</f>
        <v>0Tahun5 Bulan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 t="s">
        <v>11</v>
      </c>
      <c r="AD59" s="62"/>
      <c r="AE59" s="62"/>
      <c r="AF59" s="62"/>
      <c r="AG59" s="62"/>
      <c r="AH59" s="62"/>
      <c r="AI59" s="62"/>
      <c r="AJ59" s="62"/>
      <c r="AK59" s="113"/>
      <c r="AL59" s="151">
        <f t="shared" si="0"/>
        <v>0</v>
      </c>
      <c r="AM59" s="35">
        <f t="shared" si="1"/>
        <v>1</v>
      </c>
      <c r="AN59" s="36">
        <f t="shared" si="2"/>
        <v>0</v>
      </c>
      <c r="AO59" s="36">
        <f t="shared" si="3"/>
        <v>0</v>
      </c>
      <c r="AP59" s="36">
        <f t="shared" si="4"/>
        <v>0</v>
      </c>
      <c r="AQ59" s="37">
        <f t="shared" si="5"/>
        <v>1</v>
      </c>
      <c r="AR59" s="37" t="s">
        <v>25</v>
      </c>
      <c r="AS59" s="38">
        <v>26</v>
      </c>
      <c r="AT59" s="39">
        <f t="shared" si="6"/>
        <v>0.0384615384615385</v>
      </c>
    </row>
    <row r="60" s="105" customFormat="1" ht="19.5" hidden="1" customHeight="1" spans="1:46">
      <c r="A60" s="68">
        <v>49</v>
      </c>
      <c r="B60" s="154" t="s">
        <v>72</v>
      </c>
      <c r="C60" s="163" t="s">
        <v>16</v>
      </c>
      <c r="D60" s="149" t="s">
        <v>153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 t="s">
        <v>11</v>
      </c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113"/>
      <c r="AL60" s="151">
        <f t="shared" si="0"/>
        <v>0</v>
      </c>
      <c r="AM60" s="35">
        <f t="shared" si="1"/>
        <v>1</v>
      </c>
      <c r="AN60" s="36">
        <f t="shared" si="2"/>
        <v>0</v>
      </c>
      <c r="AO60" s="35">
        <f t="shared" si="3"/>
        <v>0</v>
      </c>
      <c r="AP60" s="36">
        <f t="shared" si="4"/>
        <v>0</v>
      </c>
      <c r="AQ60" s="37">
        <f t="shared" si="5"/>
        <v>1</v>
      </c>
      <c r="AR60" s="43" t="s">
        <v>382</v>
      </c>
      <c r="AS60" s="38">
        <v>26</v>
      </c>
      <c r="AT60" s="39">
        <f t="shared" si="6"/>
        <v>0.0384615384615385</v>
      </c>
    </row>
    <row r="61" s="105" customFormat="1" ht="19.5" customHeight="1" spans="1:46">
      <c r="A61" s="68">
        <v>50</v>
      </c>
      <c r="B61" s="154" t="s">
        <v>73</v>
      </c>
      <c r="C61" s="150" t="s">
        <v>16</v>
      </c>
      <c r="D61" s="152" t="s">
        <v>268</v>
      </c>
      <c r="E61" s="62"/>
      <c r="F61" s="62"/>
      <c r="G61" s="62"/>
      <c r="H61" s="62"/>
      <c r="I61" s="62"/>
      <c r="J61" s="62"/>
      <c r="K61" s="62"/>
      <c r="L61" s="62"/>
      <c r="M61" s="62" t="s">
        <v>11</v>
      </c>
      <c r="N61" s="62"/>
      <c r="O61" s="62"/>
      <c r="P61" s="62" t="s">
        <v>13</v>
      </c>
      <c r="Q61" s="62"/>
      <c r="R61" s="62"/>
      <c r="S61" s="62"/>
      <c r="T61" s="62"/>
      <c r="U61" s="62" t="s">
        <v>11</v>
      </c>
      <c r="V61" s="62"/>
      <c r="W61" s="62"/>
      <c r="X61" s="62"/>
      <c r="Y61" s="62"/>
      <c r="Z61" s="62"/>
      <c r="AA61" s="62"/>
      <c r="AB61" s="62"/>
      <c r="AC61" s="62" t="s">
        <v>13</v>
      </c>
      <c r="AD61" s="62"/>
      <c r="AE61" s="62"/>
      <c r="AF61" s="62"/>
      <c r="AG61" s="62"/>
      <c r="AH61" s="62"/>
      <c r="AI61" s="62"/>
      <c r="AJ61" s="62"/>
      <c r="AK61" s="113"/>
      <c r="AL61" s="151">
        <f t="shared" si="0"/>
        <v>0</v>
      </c>
      <c r="AM61" s="35">
        <f t="shared" si="1"/>
        <v>2</v>
      </c>
      <c r="AN61" s="36">
        <f t="shared" si="2"/>
        <v>0</v>
      </c>
      <c r="AO61" s="35">
        <f t="shared" si="3"/>
        <v>2</v>
      </c>
      <c r="AP61" s="36">
        <f t="shared" si="4"/>
        <v>0</v>
      </c>
      <c r="AQ61" s="37">
        <f t="shared" si="5"/>
        <v>4</v>
      </c>
      <c r="AR61" s="43" t="s">
        <v>193</v>
      </c>
      <c r="AS61" s="38">
        <v>26</v>
      </c>
      <c r="AT61" s="39">
        <f t="shared" si="6"/>
        <v>0.153846153846154</v>
      </c>
    </row>
    <row r="62" s="105" customFormat="1" ht="19.5" customHeight="1" spans="1:46">
      <c r="A62" s="68">
        <v>51</v>
      </c>
      <c r="B62" s="154" t="s">
        <v>74</v>
      </c>
      <c r="C62" s="150" t="s">
        <v>16</v>
      </c>
      <c r="D62" s="149" t="s">
        <v>267</v>
      </c>
      <c r="E62" s="62"/>
      <c r="F62" s="62"/>
      <c r="G62" s="62"/>
      <c r="H62" s="62"/>
      <c r="I62" s="62" t="s">
        <v>103</v>
      </c>
      <c r="J62" s="62" t="s">
        <v>103</v>
      </c>
      <c r="K62" s="62"/>
      <c r="L62" s="62" t="s">
        <v>11</v>
      </c>
      <c r="M62" s="172"/>
      <c r="N62" s="172"/>
      <c r="O62" s="172"/>
      <c r="P62" s="172" t="s">
        <v>11</v>
      </c>
      <c r="Q62" s="17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 t="s">
        <v>11</v>
      </c>
      <c r="AK62" s="113"/>
      <c r="AL62" s="151">
        <f t="shared" si="0"/>
        <v>0</v>
      </c>
      <c r="AM62" s="131">
        <f t="shared" si="1"/>
        <v>3</v>
      </c>
      <c r="AN62" s="103">
        <f t="shared" si="2"/>
        <v>2</v>
      </c>
      <c r="AO62" s="103">
        <f t="shared" si="3"/>
        <v>0</v>
      </c>
      <c r="AP62" s="103">
        <f t="shared" si="4"/>
        <v>0</v>
      </c>
      <c r="AQ62" s="128">
        <f t="shared" si="5"/>
        <v>5</v>
      </c>
      <c r="AR62" s="43" t="s">
        <v>387</v>
      </c>
      <c r="AS62" s="38">
        <v>26</v>
      </c>
      <c r="AT62" s="39">
        <f t="shared" si="6"/>
        <v>0.192307692307692</v>
      </c>
    </row>
    <row r="63" s="105" customFormat="1" ht="19.5" hidden="1" customHeight="1" spans="1:46">
      <c r="A63" s="68">
        <v>52</v>
      </c>
      <c r="B63" s="154" t="s">
        <v>75</v>
      </c>
      <c r="C63" s="150" t="s">
        <v>16</v>
      </c>
      <c r="D63" s="149" t="s">
        <v>219</v>
      </c>
      <c r="E63" s="62"/>
      <c r="F63" s="62"/>
      <c r="G63" s="62"/>
      <c r="H63" s="62"/>
      <c r="I63" s="62"/>
      <c r="J63" s="62"/>
      <c r="K63" s="62"/>
      <c r="L63" s="236"/>
      <c r="M63" s="236"/>
      <c r="N63" s="236" t="s">
        <v>12</v>
      </c>
      <c r="O63" s="236"/>
      <c r="P63" s="180"/>
      <c r="Q63" s="180"/>
      <c r="R63" s="237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113"/>
      <c r="AL63" s="151">
        <f t="shared" si="0"/>
        <v>0</v>
      </c>
      <c r="AM63" s="43">
        <f t="shared" si="1"/>
        <v>0</v>
      </c>
      <c r="AN63" s="43">
        <f t="shared" si="2"/>
        <v>1</v>
      </c>
      <c r="AO63" s="66">
        <f t="shared" si="3"/>
        <v>0</v>
      </c>
      <c r="AP63" s="66">
        <f t="shared" si="4"/>
        <v>0</v>
      </c>
      <c r="AQ63" s="43">
        <f t="shared" si="5"/>
        <v>1</v>
      </c>
      <c r="AR63" s="43" t="s">
        <v>336</v>
      </c>
      <c r="AS63" s="68">
        <v>26</v>
      </c>
      <c r="AT63" s="39">
        <f t="shared" si="6"/>
        <v>0.0384615384615385</v>
      </c>
    </row>
    <row r="64" s="105" customFormat="1" ht="19.5" hidden="1" customHeight="1" spans="1:46">
      <c r="A64" s="68">
        <v>53</v>
      </c>
      <c r="B64" s="154" t="s">
        <v>76</v>
      </c>
      <c r="C64" s="150" t="s">
        <v>59</v>
      </c>
      <c r="D64" s="152" t="s">
        <v>266</v>
      </c>
      <c r="E64" s="62"/>
      <c r="F64" s="62"/>
      <c r="G64" s="62"/>
      <c r="H64" s="62"/>
      <c r="I64" s="62"/>
      <c r="J64" s="62"/>
      <c r="K64" s="62"/>
      <c r="L64" s="62"/>
      <c r="M64" s="238"/>
      <c r="N64" s="238"/>
      <c r="O64" s="238"/>
      <c r="P64" s="238"/>
      <c r="Q64" s="238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113"/>
      <c r="AL64" s="151">
        <f t="shared" si="0"/>
        <v>0</v>
      </c>
      <c r="AM64" s="35">
        <f t="shared" si="1"/>
        <v>0</v>
      </c>
      <c r="AN64" s="36">
        <f t="shared" si="2"/>
        <v>0</v>
      </c>
      <c r="AO64" s="36">
        <f t="shared" si="3"/>
        <v>0</v>
      </c>
      <c r="AP64" s="36">
        <f t="shared" si="4"/>
        <v>0</v>
      </c>
      <c r="AQ64" s="35">
        <f t="shared" si="5"/>
        <v>0</v>
      </c>
      <c r="AR64" s="43" t="s">
        <v>336</v>
      </c>
      <c r="AS64" s="38">
        <v>26</v>
      </c>
      <c r="AT64" s="39">
        <f t="shared" si="6"/>
        <v>0</v>
      </c>
    </row>
    <row r="65" s="105" customFormat="1" ht="19.5" hidden="1" customHeight="1" spans="1:46">
      <c r="A65" s="68">
        <v>54</v>
      </c>
      <c r="B65" s="154" t="s">
        <v>77</v>
      </c>
      <c r="C65" s="150" t="s">
        <v>16</v>
      </c>
      <c r="D65" s="152" t="s">
        <v>338</v>
      </c>
      <c r="E65" s="62"/>
      <c r="F65" s="62"/>
      <c r="G65" s="62"/>
      <c r="H65" s="62"/>
      <c r="I65" s="62"/>
      <c r="J65" s="62"/>
      <c r="K65" s="62"/>
      <c r="L65" s="62"/>
      <c r="M65" s="62"/>
      <c r="N65" s="62" t="s">
        <v>13</v>
      </c>
      <c r="O65" s="62"/>
      <c r="P65" s="62"/>
      <c r="Q65" s="62"/>
      <c r="R65" s="62"/>
      <c r="S65" s="62"/>
      <c r="T65" s="62"/>
      <c r="U65" s="62" t="s">
        <v>11</v>
      </c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113"/>
      <c r="AL65" s="151">
        <f t="shared" si="0"/>
        <v>0</v>
      </c>
      <c r="AM65" s="35">
        <f t="shared" si="1"/>
        <v>1</v>
      </c>
      <c r="AN65" s="36">
        <f t="shared" si="2"/>
        <v>0</v>
      </c>
      <c r="AO65" s="36">
        <f t="shared" si="3"/>
        <v>1</v>
      </c>
      <c r="AP65" s="36">
        <f t="shared" si="4"/>
        <v>0</v>
      </c>
      <c r="AQ65" s="37">
        <f t="shared" si="5"/>
        <v>2</v>
      </c>
      <c r="AR65" s="128" t="s">
        <v>336</v>
      </c>
      <c r="AS65" s="38">
        <v>26</v>
      </c>
      <c r="AT65" s="39">
        <f t="shared" si="6"/>
        <v>0.0769230769230769</v>
      </c>
    </row>
    <row r="66" s="105" customFormat="1" ht="19.5" hidden="1" customHeight="1" spans="1:46">
      <c r="A66" s="68">
        <v>55</v>
      </c>
      <c r="B66" s="154" t="s">
        <v>78</v>
      </c>
      <c r="C66" s="150" t="s">
        <v>16</v>
      </c>
      <c r="D66" s="152" t="s">
        <v>274</v>
      </c>
      <c r="E66" s="62"/>
      <c r="F66" s="62"/>
      <c r="G66" s="62"/>
      <c r="H66" s="62"/>
      <c r="I66" s="62"/>
      <c r="J66" s="62"/>
      <c r="K66" s="62"/>
      <c r="L66" s="62"/>
      <c r="M66" s="62"/>
      <c r="N66" s="62" t="s">
        <v>11</v>
      </c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113"/>
      <c r="AL66" s="151">
        <f t="shared" si="0"/>
        <v>0</v>
      </c>
      <c r="AM66" s="35">
        <f t="shared" si="1"/>
        <v>1</v>
      </c>
      <c r="AN66" s="36">
        <f t="shared" si="2"/>
        <v>0</v>
      </c>
      <c r="AO66" s="36">
        <f t="shared" si="3"/>
        <v>0</v>
      </c>
      <c r="AP66" s="36">
        <f t="shared" si="4"/>
        <v>0</v>
      </c>
      <c r="AQ66" s="37">
        <f t="shared" si="5"/>
        <v>1</v>
      </c>
      <c r="AR66" s="43" t="s">
        <v>336</v>
      </c>
      <c r="AS66" s="38">
        <v>26</v>
      </c>
      <c r="AT66" s="39">
        <f t="shared" si="6"/>
        <v>0.0384615384615385</v>
      </c>
    </row>
    <row r="67" s="105" customFormat="1" ht="19.5" hidden="1" customHeight="1" spans="1:46">
      <c r="A67" s="68">
        <v>56</v>
      </c>
      <c r="B67" s="154" t="s">
        <v>79</v>
      </c>
      <c r="C67" s="150" t="s">
        <v>16</v>
      </c>
      <c r="D67" s="152" t="s">
        <v>277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 t="s">
        <v>11</v>
      </c>
      <c r="R67" s="62"/>
      <c r="S67" s="62"/>
      <c r="T67" s="62" t="s">
        <v>11</v>
      </c>
      <c r="U67" s="62"/>
      <c r="V67" s="62"/>
      <c r="W67" s="62" t="s">
        <v>11</v>
      </c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113"/>
      <c r="AL67" s="151">
        <f t="shared" si="0"/>
        <v>0</v>
      </c>
      <c r="AM67" s="35">
        <f t="shared" si="1"/>
        <v>3</v>
      </c>
      <c r="AN67" s="36">
        <f t="shared" si="2"/>
        <v>0</v>
      </c>
      <c r="AO67" s="36">
        <f t="shared" si="3"/>
        <v>0</v>
      </c>
      <c r="AP67" s="36">
        <f t="shared" si="4"/>
        <v>0</v>
      </c>
      <c r="AQ67" s="37">
        <f t="shared" si="5"/>
        <v>3</v>
      </c>
      <c r="AR67" s="160" t="s">
        <v>388</v>
      </c>
      <c r="AS67" s="38">
        <v>26</v>
      </c>
      <c r="AT67" s="39">
        <f t="shared" si="6"/>
        <v>0.115384615384615</v>
      </c>
    </row>
    <row r="68" s="105" customFormat="1" ht="19.5" hidden="1" customHeight="1" spans="1:46">
      <c r="A68" s="68">
        <v>57</v>
      </c>
      <c r="B68" s="154" t="s">
        <v>80</v>
      </c>
      <c r="C68" s="150" t="s">
        <v>16</v>
      </c>
      <c r="D68" s="149" t="str">
        <f>VLOOKUP(B68,'[1]MASTER DATA 2025'!$C$3:$E$279,3,0)</f>
        <v>0Tahun7 Bulan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113"/>
      <c r="AL68" s="151">
        <f t="shared" si="0"/>
        <v>0</v>
      </c>
      <c r="AM68" s="35">
        <f t="shared" si="1"/>
        <v>0</v>
      </c>
      <c r="AN68" s="35">
        <f t="shared" si="2"/>
        <v>0</v>
      </c>
      <c r="AO68" s="47">
        <f t="shared" si="3"/>
        <v>0</v>
      </c>
      <c r="AP68" s="36">
        <f t="shared" si="4"/>
        <v>0</v>
      </c>
      <c r="AQ68" s="37">
        <f t="shared" si="5"/>
        <v>0</v>
      </c>
      <c r="AR68" s="49">
        <v>45967</v>
      </c>
      <c r="AS68" s="38">
        <v>26</v>
      </c>
      <c r="AT68" s="39">
        <f t="shared" si="6"/>
        <v>0</v>
      </c>
    </row>
    <row r="69" s="105" customFormat="1" ht="19.5" hidden="1" customHeight="1" spans="1:46">
      <c r="A69" s="68">
        <v>58</v>
      </c>
      <c r="B69" s="154" t="s">
        <v>81</v>
      </c>
      <c r="C69" s="150" t="s">
        <v>16</v>
      </c>
      <c r="D69" s="152" t="s">
        <v>308</v>
      </c>
      <c r="E69" s="62"/>
      <c r="F69" s="62"/>
      <c r="G69" s="62"/>
      <c r="H69" s="62"/>
      <c r="I69" s="62"/>
      <c r="J69" s="62"/>
      <c r="K69" s="62"/>
      <c r="L69" s="62"/>
      <c r="M69" s="62" t="s">
        <v>11</v>
      </c>
      <c r="N69" s="62" t="s">
        <v>11</v>
      </c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113"/>
      <c r="AL69" s="151">
        <f t="shared" si="0"/>
        <v>0</v>
      </c>
      <c r="AM69" s="35">
        <f t="shared" si="1"/>
        <v>2</v>
      </c>
      <c r="AN69" s="36">
        <f t="shared" si="2"/>
        <v>0</v>
      </c>
      <c r="AO69" s="36">
        <f t="shared" si="3"/>
        <v>0</v>
      </c>
      <c r="AP69" s="36">
        <f t="shared" si="4"/>
        <v>0</v>
      </c>
      <c r="AQ69" s="37">
        <f t="shared" si="5"/>
        <v>2</v>
      </c>
      <c r="AR69" s="43" t="s">
        <v>336</v>
      </c>
      <c r="AS69" s="38">
        <v>26</v>
      </c>
      <c r="AT69" s="39">
        <f t="shared" si="6"/>
        <v>0.0769230769230769</v>
      </c>
    </row>
    <row r="70" s="105" customFormat="1" ht="19.5" hidden="1" customHeight="1" spans="1:46">
      <c r="A70" s="68">
        <v>59</v>
      </c>
      <c r="B70" s="154" t="s">
        <v>82</v>
      </c>
      <c r="C70" s="150" t="s">
        <v>16</v>
      </c>
      <c r="D70" s="149" t="str">
        <f>VLOOKUP(B70,'[1]MASTER DATA 2025'!$C$3:$E$279,3,0)</f>
        <v>0Tahun1 Bulan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113"/>
      <c r="AL70" s="151">
        <f t="shared" si="0"/>
        <v>0</v>
      </c>
      <c r="AM70" s="35">
        <f t="shared" si="1"/>
        <v>0</v>
      </c>
      <c r="AN70" s="35">
        <f t="shared" si="2"/>
        <v>0</v>
      </c>
      <c r="AO70" s="47">
        <f t="shared" si="3"/>
        <v>0</v>
      </c>
      <c r="AP70" s="36">
        <f t="shared" si="4"/>
        <v>0</v>
      </c>
      <c r="AQ70" s="37">
        <f t="shared" si="5"/>
        <v>0</v>
      </c>
      <c r="AR70" s="37" t="s">
        <v>25</v>
      </c>
      <c r="AS70" s="38">
        <v>26</v>
      </c>
      <c r="AT70" s="39">
        <f t="shared" si="6"/>
        <v>0</v>
      </c>
    </row>
    <row r="71" s="105" customFormat="1" ht="19.5" hidden="1" customHeight="1" spans="1:46">
      <c r="A71" s="68">
        <v>60</v>
      </c>
      <c r="B71" s="154" t="s">
        <v>83</v>
      </c>
      <c r="C71" s="150" t="s">
        <v>16</v>
      </c>
      <c r="D71" s="149" t="str">
        <f>VLOOKUP(B71,'[1]MASTER DATA 2025'!$C$3:$E$279,3,0)</f>
        <v>2Tahun1 Bulan</v>
      </c>
      <c r="E71" s="62"/>
      <c r="F71" s="62"/>
      <c r="G71" s="62"/>
      <c r="H71" s="62"/>
      <c r="I71" s="62"/>
      <c r="J71" s="62"/>
      <c r="K71" s="62"/>
      <c r="L71" s="62"/>
      <c r="M71" s="172"/>
      <c r="N71" s="172"/>
      <c r="O71" s="172"/>
      <c r="P71" s="172"/>
      <c r="Q71" s="17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113"/>
      <c r="AL71" s="151">
        <f t="shared" si="0"/>
        <v>0</v>
      </c>
      <c r="AM71" s="131">
        <f t="shared" si="1"/>
        <v>0</v>
      </c>
      <c r="AN71" s="103">
        <f t="shared" si="2"/>
        <v>0</v>
      </c>
      <c r="AO71" s="103">
        <f t="shared" si="3"/>
        <v>0</v>
      </c>
      <c r="AP71" s="103">
        <f t="shared" si="4"/>
        <v>0</v>
      </c>
      <c r="AQ71" s="128">
        <f t="shared" si="5"/>
        <v>0</v>
      </c>
      <c r="AR71" s="128"/>
      <c r="AS71" s="38">
        <v>26</v>
      </c>
      <c r="AT71" s="39">
        <f t="shared" si="6"/>
        <v>0</v>
      </c>
    </row>
    <row r="72" s="105" customFormat="1" ht="19.5" hidden="1" customHeight="1" spans="1:46">
      <c r="A72" s="68">
        <v>61</v>
      </c>
      <c r="B72" s="154" t="s">
        <v>84</v>
      </c>
      <c r="C72" s="150" t="s">
        <v>59</v>
      </c>
      <c r="D72" s="149" t="s">
        <v>196</v>
      </c>
      <c r="E72" s="62"/>
      <c r="F72" s="62"/>
      <c r="G72" s="62"/>
      <c r="H72" s="62"/>
      <c r="I72" s="62"/>
      <c r="J72" s="62"/>
      <c r="K72" s="62"/>
      <c r="L72" s="236"/>
      <c r="M72" s="236"/>
      <c r="N72" s="236" t="s">
        <v>11</v>
      </c>
      <c r="O72" s="236"/>
      <c r="P72" s="180"/>
      <c r="Q72" s="180"/>
      <c r="R72" s="237"/>
      <c r="S72" s="62"/>
      <c r="T72" s="62"/>
      <c r="U72" s="62" t="s">
        <v>11</v>
      </c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113"/>
      <c r="AL72" s="151">
        <f t="shared" si="0"/>
        <v>0</v>
      </c>
      <c r="AM72" s="43">
        <f t="shared" si="1"/>
        <v>2</v>
      </c>
      <c r="AN72" s="66">
        <f t="shared" si="2"/>
        <v>0</v>
      </c>
      <c r="AO72" s="66">
        <f t="shared" si="3"/>
        <v>0</v>
      </c>
      <c r="AP72" s="66">
        <f t="shared" si="4"/>
        <v>0</v>
      </c>
      <c r="AQ72" s="43">
        <f t="shared" si="5"/>
        <v>2</v>
      </c>
      <c r="AR72" s="43" t="s">
        <v>336</v>
      </c>
      <c r="AS72" s="68">
        <v>26</v>
      </c>
      <c r="AT72" s="39">
        <f t="shared" si="6"/>
        <v>0.0769230769230769</v>
      </c>
    </row>
    <row r="73" s="105" customFormat="1" ht="19.5" hidden="1" customHeight="1" spans="1:46">
      <c r="A73" s="68">
        <v>62</v>
      </c>
      <c r="B73" s="154" t="s">
        <v>85</v>
      </c>
      <c r="C73" s="150" t="s">
        <v>59</v>
      </c>
      <c r="D73" s="149" t="str">
        <f>VLOOKUP(B73,'[1]MASTER DATA 2025'!$C$3:$E$279,3,0)</f>
        <v>1Tahun3 Bulan</v>
      </c>
      <c r="E73" s="62"/>
      <c r="F73" s="62"/>
      <c r="G73" s="62"/>
      <c r="H73" s="62"/>
      <c r="I73" s="62"/>
      <c r="J73" s="62"/>
      <c r="K73" s="62"/>
      <c r="L73" s="62"/>
      <c r="M73" s="238"/>
      <c r="N73" s="238"/>
      <c r="O73" s="238"/>
      <c r="P73" s="238"/>
      <c r="Q73" s="238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113"/>
      <c r="AL73" s="151">
        <f t="shared" si="0"/>
        <v>0</v>
      </c>
      <c r="AM73" s="35">
        <f t="shared" si="1"/>
        <v>0</v>
      </c>
      <c r="AN73" s="35">
        <f t="shared" si="2"/>
        <v>0</v>
      </c>
      <c r="AO73" s="47">
        <f t="shared" si="3"/>
        <v>0</v>
      </c>
      <c r="AP73" s="36">
        <f t="shared" si="4"/>
        <v>0</v>
      </c>
      <c r="AQ73" s="35">
        <f t="shared" si="5"/>
        <v>0</v>
      </c>
      <c r="AR73" s="43" t="s">
        <v>336</v>
      </c>
      <c r="AS73" s="38">
        <v>26</v>
      </c>
      <c r="AT73" s="39">
        <f t="shared" si="6"/>
        <v>0</v>
      </c>
    </row>
    <row r="74" s="105" customFormat="1" ht="19.5" hidden="1" customHeight="1" spans="1:46">
      <c r="A74" s="68">
        <v>63</v>
      </c>
      <c r="B74" s="154" t="s">
        <v>86</v>
      </c>
      <c r="C74" s="150" t="s">
        <v>59</v>
      </c>
      <c r="D74" s="149" t="s">
        <v>349</v>
      </c>
      <c r="E74" s="62"/>
      <c r="F74" s="62"/>
      <c r="G74" s="62"/>
      <c r="H74" s="62"/>
      <c r="I74" s="62"/>
      <c r="J74" s="62"/>
      <c r="K74" s="62" t="s">
        <v>11</v>
      </c>
      <c r="L74" s="62"/>
      <c r="M74" s="62"/>
      <c r="N74" s="62"/>
      <c r="O74" s="62"/>
      <c r="P74" s="62"/>
      <c r="Q74" s="62"/>
      <c r="R74" s="62"/>
      <c r="S74" s="62" t="s">
        <v>12</v>
      </c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 t="s">
        <v>11</v>
      </c>
      <c r="AJ74" s="62"/>
      <c r="AK74" s="113"/>
      <c r="AL74" s="151">
        <f t="shared" si="0"/>
        <v>0</v>
      </c>
      <c r="AM74" s="35">
        <f t="shared" si="1"/>
        <v>2</v>
      </c>
      <c r="AN74" s="35">
        <f t="shared" si="2"/>
        <v>1</v>
      </c>
      <c r="AO74" s="36">
        <f t="shared" si="3"/>
        <v>0</v>
      </c>
      <c r="AP74" s="36">
        <f t="shared" si="4"/>
        <v>0</v>
      </c>
      <c r="AQ74" s="37">
        <f t="shared" si="5"/>
        <v>3</v>
      </c>
      <c r="AR74" s="43" t="s">
        <v>389</v>
      </c>
      <c r="AS74" s="38">
        <v>26</v>
      </c>
      <c r="AT74" s="39">
        <f t="shared" si="6"/>
        <v>0.115384615384615</v>
      </c>
    </row>
    <row r="75" s="105" customFormat="1" ht="19.5" hidden="1" customHeight="1" spans="1:46">
      <c r="A75" s="68">
        <v>65</v>
      </c>
      <c r="B75" s="154" t="s">
        <v>88</v>
      </c>
      <c r="C75" s="150" t="s">
        <v>16</v>
      </c>
      <c r="D75" s="152" t="s">
        <v>250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 t="s">
        <v>12</v>
      </c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113"/>
      <c r="AL75" s="151">
        <f t="shared" si="0"/>
        <v>0</v>
      </c>
      <c r="AM75" s="35">
        <f t="shared" si="1"/>
        <v>0</v>
      </c>
      <c r="AN75" s="36">
        <f t="shared" si="2"/>
        <v>1</v>
      </c>
      <c r="AO75" s="35">
        <f t="shared" si="3"/>
        <v>0</v>
      </c>
      <c r="AP75" s="36">
        <f t="shared" si="4"/>
        <v>0</v>
      </c>
      <c r="AQ75" s="37">
        <f t="shared" si="5"/>
        <v>1</v>
      </c>
      <c r="AR75" s="37" t="s">
        <v>390</v>
      </c>
      <c r="AS75" s="38">
        <v>26</v>
      </c>
      <c r="AT75" s="39">
        <f t="shared" si="6"/>
        <v>0.0384615384615385</v>
      </c>
    </row>
    <row r="76" s="105" customFormat="1" ht="19.5" hidden="1" customHeight="1" spans="1:46">
      <c r="A76" s="68">
        <v>66</v>
      </c>
      <c r="B76" s="154" t="s">
        <v>89</v>
      </c>
      <c r="C76" s="150" t="s">
        <v>16</v>
      </c>
      <c r="D76" s="149" t="str">
        <f>VLOOKUP(B76,'[1]MASTER DATA 2025'!$C$3:$E$279,3,0)</f>
        <v>0Tahun2 Bulan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113"/>
      <c r="AL76" s="151">
        <f t="shared" ref="AL76:AL139" si="7">COUNTIF(E76:AJ76,"H")</f>
        <v>0</v>
      </c>
      <c r="AM76" s="35">
        <f t="shared" ref="AM76:AM139" si="8">COUNTIF(E76:AJ76,"S")</f>
        <v>0</v>
      </c>
      <c r="AN76" s="36">
        <f t="shared" ref="AN76:AN139" si="9">COUNTIF(E76:AJ76,"I")</f>
        <v>0</v>
      </c>
      <c r="AO76" s="35">
        <f t="shared" ref="AO76:AO139" si="10">COUNTIF(E76:AJ76,"A")</f>
        <v>0</v>
      </c>
      <c r="AP76" s="36">
        <f t="shared" ref="AP76:AP129" si="11">COUNTIF(E76:AJ76,"OFF")</f>
        <v>0</v>
      </c>
      <c r="AQ76" s="37">
        <f t="shared" ref="AQ76:AQ139" si="12">SUM(AL76:AO76)</f>
        <v>0</v>
      </c>
      <c r="AR76" s="37" t="s">
        <v>228</v>
      </c>
      <c r="AS76" s="38">
        <v>26</v>
      </c>
      <c r="AT76" s="39">
        <f t="shared" ref="AT76:AT90" si="13">AQ76/AS76</f>
        <v>0</v>
      </c>
    </row>
    <row r="77" s="105" customFormat="1" ht="19.5" hidden="1" customHeight="1" spans="1:46">
      <c r="A77" s="68">
        <v>67</v>
      </c>
      <c r="B77" s="154" t="s">
        <v>90</v>
      </c>
      <c r="C77" s="150" t="s">
        <v>16</v>
      </c>
      <c r="D77" s="149" t="s">
        <v>217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 t="s">
        <v>11</v>
      </c>
      <c r="AI77" s="62"/>
      <c r="AJ77" s="62"/>
      <c r="AK77" s="113"/>
      <c r="AL77" s="151">
        <f t="shared" si="7"/>
        <v>0</v>
      </c>
      <c r="AM77" s="35">
        <f t="shared" si="8"/>
        <v>1</v>
      </c>
      <c r="AN77" s="36">
        <f t="shared" si="9"/>
        <v>0</v>
      </c>
      <c r="AO77" s="36">
        <f t="shared" si="10"/>
        <v>0</v>
      </c>
      <c r="AP77" s="36">
        <f t="shared" si="11"/>
        <v>0</v>
      </c>
      <c r="AQ77" s="37">
        <f t="shared" si="12"/>
        <v>1</v>
      </c>
      <c r="AR77" s="37" t="s">
        <v>193</v>
      </c>
      <c r="AS77" s="38">
        <v>26</v>
      </c>
      <c r="AT77" s="39">
        <f t="shared" si="13"/>
        <v>0.0384615384615385</v>
      </c>
    </row>
    <row r="78" s="105" customFormat="1" ht="19.5" hidden="1" customHeight="1" spans="1:46">
      <c r="A78" s="68">
        <v>68</v>
      </c>
      <c r="B78" s="154" t="s">
        <v>91</v>
      </c>
      <c r="C78" s="150" t="s">
        <v>16</v>
      </c>
      <c r="D78" s="152" t="s">
        <v>310</v>
      </c>
      <c r="E78" s="62"/>
      <c r="F78" s="62"/>
      <c r="G78" s="62"/>
      <c r="H78" s="62"/>
      <c r="I78" s="62"/>
      <c r="J78" s="62"/>
      <c r="K78" s="62" t="s">
        <v>11</v>
      </c>
      <c r="L78" s="62"/>
      <c r="M78" s="62"/>
      <c r="N78" s="62" t="s">
        <v>13</v>
      </c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113"/>
      <c r="AL78" s="151">
        <f t="shared" si="7"/>
        <v>0</v>
      </c>
      <c r="AM78" s="35">
        <f t="shared" si="8"/>
        <v>1</v>
      </c>
      <c r="AN78" s="36">
        <f t="shared" si="9"/>
        <v>0</v>
      </c>
      <c r="AO78" s="36">
        <f t="shared" si="10"/>
        <v>1</v>
      </c>
      <c r="AP78" s="36">
        <f t="shared" si="11"/>
        <v>0</v>
      </c>
      <c r="AQ78" s="37">
        <f t="shared" si="12"/>
        <v>2</v>
      </c>
      <c r="AR78" s="37" t="s">
        <v>171</v>
      </c>
      <c r="AS78" s="38">
        <v>26</v>
      </c>
      <c r="AT78" s="39">
        <f t="shared" si="13"/>
        <v>0.0769230769230769</v>
      </c>
    </row>
    <row r="79" s="105" customFormat="1" ht="19.5" hidden="1" customHeight="1" spans="1:46">
      <c r="A79" s="68">
        <v>69</v>
      </c>
      <c r="B79" s="154" t="s">
        <v>92</v>
      </c>
      <c r="C79" s="150" t="s">
        <v>16</v>
      </c>
      <c r="D79" s="152" t="s">
        <v>219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113"/>
      <c r="AL79" s="151">
        <f t="shared" si="7"/>
        <v>0</v>
      </c>
      <c r="AM79" s="35">
        <f t="shared" si="8"/>
        <v>0</v>
      </c>
      <c r="AN79" s="36">
        <f t="shared" si="9"/>
        <v>0</v>
      </c>
      <c r="AO79" s="35">
        <f t="shared" si="10"/>
        <v>0</v>
      </c>
      <c r="AP79" s="36">
        <f t="shared" si="11"/>
        <v>0</v>
      </c>
      <c r="AQ79" s="37">
        <f t="shared" si="12"/>
        <v>0</v>
      </c>
      <c r="AR79" s="37" t="s">
        <v>228</v>
      </c>
      <c r="AS79" s="38">
        <v>26</v>
      </c>
      <c r="AT79" s="39">
        <f t="shared" si="13"/>
        <v>0</v>
      </c>
    </row>
    <row r="80" s="105" customFormat="1" ht="19.5" hidden="1" customHeight="1" spans="1:46">
      <c r="A80" s="68">
        <v>70</v>
      </c>
      <c r="B80" s="154" t="s">
        <v>93</v>
      </c>
      <c r="C80" s="150" t="s">
        <v>16</v>
      </c>
      <c r="D80" s="149" t="str">
        <f>VLOOKUP(B80,'[1]MASTER DATA 2025'!$C$3:$E$279,3,0)</f>
        <v>0Tahun2 Bulan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113"/>
      <c r="AL80" s="151">
        <f t="shared" si="7"/>
        <v>0</v>
      </c>
      <c r="AM80" s="35">
        <f t="shared" si="8"/>
        <v>0</v>
      </c>
      <c r="AN80" s="36">
        <f t="shared" si="9"/>
        <v>0</v>
      </c>
      <c r="AO80" s="35">
        <f t="shared" si="10"/>
        <v>0</v>
      </c>
      <c r="AP80" s="36">
        <f t="shared" si="11"/>
        <v>0</v>
      </c>
      <c r="AQ80" s="37">
        <f t="shared" si="12"/>
        <v>0</v>
      </c>
      <c r="AR80" s="37"/>
      <c r="AS80" s="38">
        <v>26</v>
      </c>
      <c r="AT80" s="39">
        <f t="shared" si="13"/>
        <v>0</v>
      </c>
    </row>
    <row r="81" s="105" customFormat="1" ht="19.5" hidden="1" customHeight="1" spans="1:46">
      <c r="A81" s="68">
        <v>71</v>
      </c>
      <c r="B81" s="154" t="s">
        <v>94</v>
      </c>
      <c r="C81" s="150" t="s">
        <v>16</v>
      </c>
      <c r="D81" s="149" t="str">
        <f>VLOOKUP(B81,'[1]MASTER DATA 2025'!$C$3:$E$279,3,0)</f>
        <v>0Tahun2 Bulan</v>
      </c>
      <c r="E81" s="62"/>
      <c r="F81" s="62"/>
      <c r="G81" s="62"/>
      <c r="H81" s="62"/>
      <c r="I81" s="62"/>
      <c r="J81" s="62"/>
      <c r="K81" s="62"/>
      <c r="L81" s="62"/>
      <c r="M81" s="172"/>
      <c r="N81" s="172"/>
      <c r="O81" s="172"/>
      <c r="P81" s="172"/>
      <c r="Q81" s="17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113"/>
      <c r="AL81" s="151">
        <f t="shared" si="7"/>
        <v>0</v>
      </c>
      <c r="AM81" s="131">
        <f t="shared" si="8"/>
        <v>0</v>
      </c>
      <c r="AN81" s="103">
        <f t="shared" si="9"/>
        <v>0</v>
      </c>
      <c r="AO81" s="103">
        <f t="shared" si="10"/>
        <v>0</v>
      </c>
      <c r="AP81" s="103">
        <f t="shared" si="11"/>
        <v>0</v>
      </c>
      <c r="AQ81" s="128">
        <f t="shared" si="12"/>
        <v>0</v>
      </c>
      <c r="AR81" s="128" t="s">
        <v>25</v>
      </c>
      <c r="AS81" s="38">
        <v>26</v>
      </c>
      <c r="AT81" s="39">
        <f t="shared" si="13"/>
        <v>0</v>
      </c>
    </row>
    <row r="82" s="105" customFormat="1" ht="19.5" hidden="1" customHeight="1" spans="1:46">
      <c r="A82" s="68">
        <v>72</v>
      </c>
      <c r="B82" s="154" t="s">
        <v>95</v>
      </c>
      <c r="C82" s="150" t="s">
        <v>59</v>
      </c>
      <c r="D82" s="152" t="s">
        <v>350</v>
      </c>
      <c r="E82" s="62"/>
      <c r="F82" s="62"/>
      <c r="G82" s="62"/>
      <c r="H82" s="62"/>
      <c r="I82" s="62"/>
      <c r="J82" s="62"/>
      <c r="K82" s="62"/>
      <c r="L82" s="236"/>
      <c r="M82" s="236"/>
      <c r="N82" s="236"/>
      <c r="O82" s="236"/>
      <c r="P82" s="180"/>
      <c r="Q82" s="180"/>
      <c r="R82" s="237"/>
      <c r="S82" s="62"/>
      <c r="T82" s="62"/>
      <c r="U82" s="62"/>
      <c r="V82" s="62"/>
      <c r="W82" s="62"/>
      <c r="X82" s="62"/>
      <c r="Y82" s="62"/>
      <c r="Z82" s="62"/>
      <c r="AA82" s="62"/>
      <c r="AB82" s="62" t="s">
        <v>11</v>
      </c>
      <c r="AC82" s="62"/>
      <c r="AD82" s="62"/>
      <c r="AE82" s="62"/>
      <c r="AF82" s="62"/>
      <c r="AG82" s="62"/>
      <c r="AH82" s="62"/>
      <c r="AI82" s="62" t="s">
        <v>11</v>
      </c>
      <c r="AJ82" s="62"/>
      <c r="AK82" s="113"/>
      <c r="AL82" s="151">
        <f t="shared" si="7"/>
        <v>0</v>
      </c>
      <c r="AM82" s="43">
        <f t="shared" si="8"/>
        <v>2</v>
      </c>
      <c r="AN82" s="66">
        <f t="shared" si="9"/>
        <v>0</v>
      </c>
      <c r="AO82" s="66">
        <f t="shared" si="10"/>
        <v>0</v>
      </c>
      <c r="AP82" s="66">
        <f t="shared" si="11"/>
        <v>0</v>
      </c>
      <c r="AQ82" s="43">
        <f t="shared" si="12"/>
        <v>2</v>
      </c>
      <c r="AR82" s="43" t="s">
        <v>391</v>
      </c>
      <c r="AS82" s="68">
        <v>26</v>
      </c>
      <c r="AT82" s="39">
        <f t="shared" si="13"/>
        <v>0.0769230769230769</v>
      </c>
    </row>
    <row r="83" s="105" customFormat="1" ht="19.5" hidden="1" customHeight="1" spans="1:46">
      <c r="A83" s="68">
        <v>73</v>
      </c>
      <c r="B83" s="154" t="s">
        <v>96</v>
      </c>
      <c r="C83" s="150" t="s">
        <v>59</v>
      </c>
      <c r="D83" s="152" t="s">
        <v>392</v>
      </c>
      <c r="E83" s="62"/>
      <c r="F83" s="62"/>
      <c r="G83" s="62"/>
      <c r="H83" s="62"/>
      <c r="I83" s="62"/>
      <c r="J83" s="62"/>
      <c r="K83" s="62"/>
      <c r="L83" s="62"/>
      <c r="M83" s="238"/>
      <c r="N83" s="238" t="s">
        <v>11</v>
      </c>
      <c r="O83" s="238"/>
      <c r="P83" s="238"/>
      <c r="Q83" s="238"/>
      <c r="R83" s="62"/>
      <c r="S83" s="62"/>
      <c r="T83" s="62"/>
      <c r="U83" s="62"/>
      <c r="V83" s="62"/>
      <c r="W83" s="62"/>
      <c r="X83" s="62"/>
      <c r="Y83" s="62"/>
      <c r="Z83" s="62"/>
      <c r="AA83" s="62" t="s">
        <v>11</v>
      </c>
      <c r="AB83" s="62"/>
      <c r="AC83" s="62"/>
      <c r="AD83" s="62"/>
      <c r="AE83" s="62"/>
      <c r="AF83" s="62"/>
      <c r="AG83" s="62"/>
      <c r="AH83" s="62"/>
      <c r="AI83" s="62"/>
      <c r="AJ83" s="62"/>
      <c r="AK83" s="113"/>
      <c r="AL83" s="151">
        <f t="shared" si="7"/>
        <v>0</v>
      </c>
      <c r="AM83" s="35">
        <f t="shared" si="8"/>
        <v>2</v>
      </c>
      <c r="AN83" s="35">
        <f t="shared" si="9"/>
        <v>0</v>
      </c>
      <c r="AO83" s="47">
        <f t="shared" si="10"/>
        <v>0</v>
      </c>
      <c r="AP83" s="36">
        <f t="shared" si="11"/>
        <v>0</v>
      </c>
      <c r="AQ83" s="35">
        <f t="shared" si="12"/>
        <v>2</v>
      </c>
      <c r="AR83" s="43" t="s">
        <v>382</v>
      </c>
      <c r="AS83" s="38">
        <v>26</v>
      </c>
      <c r="AT83" s="39">
        <f t="shared" si="13"/>
        <v>0.0769230769230769</v>
      </c>
    </row>
    <row r="84" s="105" customFormat="1" ht="19.5" hidden="1" customHeight="1" spans="1:46">
      <c r="A84" s="68">
        <v>74</v>
      </c>
      <c r="B84" s="154" t="s">
        <v>97</v>
      </c>
      <c r="C84" s="150" t="s">
        <v>59</v>
      </c>
      <c r="D84" s="152" t="s">
        <v>277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113"/>
      <c r="AL84" s="151">
        <f t="shared" si="7"/>
        <v>0</v>
      </c>
      <c r="AM84" s="35">
        <f t="shared" si="8"/>
        <v>0</v>
      </c>
      <c r="AN84" s="35">
        <f t="shared" si="9"/>
        <v>0</v>
      </c>
      <c r="AO84" s="47">
        <f t="shared" si="10"/>
        <v>0</v>
      </c>
      <c r="AP84" s="36">
        <f t="shared" si="11"/>
        <v>0</v>
      </c>
      <c r="AQ84" s="37">
        <f t="shared" si="12"/>
        <v>0</v>
      </c>
      <c r="AR84" s="37" t="s">
        <v>278</v>
      </c>
      <c r="AS84" s="38">
        <v>26</v>
      </c>
      <c r="AT84" s="39">
        <f t="shared" si="13"/>
        <v>0</v>
      </c>
    </row>
    <row r="85" s="105" customFormat="1" ht="19.5" hidden="1" customHeight="1" spans="1:46">
      <c r="A85" s="68">
        <v>75</v>
      </c>
      <c r="B85" s="154" t="s">
        <v>98</v>
      </c>
      <c r="C85" s="150" t="s">
        <v>59</v>
      </c>
      <c r="D85" s="152" t="s">
        <v>352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113"/>
      <c r="AL85" s="151">
        <f t="shared" si="7"/>
        <v>0</v>
      </c>
      <c r="AM85" s="35">
        <f t="shared" si="8"/>
        <v>0</v>
      </c>
      <c r="AN85" s="36">
        <f t="shared" si="9"/>
        <v>0</v>
      </c>
      <c r="AO85" s="36">
        <f t="shared" si="10"/>
        <v>0</v>
      </c>
      <c r="AP85" s="36">
        <f t="shared" si="11"/>
        <v>0</v>
      </c>
      <c r="AQ85" s="37">
        <f t="shared" si="12"/>
        <v>0</v>
      </c>
      <c r="AR85" s="156" t="s">
        <v>275</v>
      </c>
      <c r="AS85" s="38">
        <v>26</v>
      </c>
      <c r="AT85" s="39">
        <f t="shared" si="13"/>
        <v>0</v>
      </c>
    </row>
    <row r="86" s="105" customFormat="1" ht="19.5" hidden="1" customHeight="1" spans="1:46">
      <c r="A86" s="68">
        <v>76</v>
      </c>
      <c r="B86" s="154" t="s">
        <v>99</v>
      </c>
      <c r="C86" s="150" t="s">
        <v>16</v>
      </c>
      <c r="D86" s="149" t="s">
        <v>350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113"/>
      <c r="AL86" s="151">
        <f t="shared" si="7"/>
        <v>0</v>
      </c>
      <c r="AM86" s="35">
        <f t="shared" si="8"/>
        <v>0</v>
      </c>
      <c r="AN86" s="36">
        <f t="shared" si="9"/>
        <v>0</v>
      </c>
      <c r="AO86" s="36">
        <f t="shared" si="10"/>
        <v>0</v>
      </c>
      <c r="AP86" s="36">
        <f t="shared" si="11"/>
        <v>0</v>
      </c>
      <c r="AQ86" s="37">
        <f t="shared" si="12"/>
        <v>0</v>
      </c>
      <c r="AR86" s="43" t="s">
        <v>336</v>
      </c>
      <c r="AS86" s="38">
        <v>26</v>
      </c>
      <c r="AT86" s="39">
        <f t="shared" si="13"/>
        <v>0</v>
      </c>
    </row>
    <row r="87" s="105" customFormat="1" ht="19.5" hidden="1" customHeight="1" spans="1:46">
      <c r="A87" s="68">
        <v>77</v>
      </c>
      <c r="B87" s="154" t="s">
        <v>100</v>
      </c>
      <c r="C87" s="150" t="s">
        <v>101</v>
      </c>
      <c r="D87" s="149" t="s">
        <v>231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113"/>
      <c r="AL87" s="151">
        <f t="shared" si="7"/>
        <v>0</v>
      </c>
      <c r="AM87" s="35">
        <f t="shared" si="8"/>
        <v>0</v>
      </c>
      <c r="AN87" s="35">
        <f t="shared" si="9"/>
        <v>0</v>
      </c>
      <c r="AO87" s="47">
        <f t="shared" si="10"/>
        <v>0</v>
      </c>
      <c r="AP87" s="36">
        <f t="shared" si="11"/>
        <v>0</v>
      </c>
      <c r="AQ87" s="37">
        <f t="shared" si="12"/>
        <v>0</v>
      </c>
      <c r="AR87" s="37" t="s">
        <v>216</v>
      </c>
      <c r="AS87" s="38">
        <v>26</v>
      </c>
      <c r="AT87" s="39">
        <f t="shared" si="13"/>
        <v>0</v>
      </c>
    </row>
    <row r="88" s="105" customFormat="1" ht="19.5" hidden="1" customHeight="1" spans="1:46">
      <c r="A88" s="68">
        <v>79</v>
      </c>
      <c r="B88" s="154" t="s">
        <v>104</v>
      </c>
      <c r="C88" s="150" t="s">
        <v>16</v>
      </c>
      <c r="D88" s="149" t="str">
        <f>VLOOKUP(B88,'[1]MASTER DATA 2025'!$C$3:$E$279,3,0)</f>
        <v>2Tahun10 Bulan</v>
      </c>
      <c r="E88" s="62"/>
      <c r="F88" s="62"/>
      <c r="G88" s="62"/>
      <c r="H88" s="62"/>
      <c r="I88" s="62"/>
      <c r="J88" s="62"/>
      <c r="K88" s="62"/>
      <c r="L88" s="62"/>
      <c r="M88" s="62" t="s">
        <v>11</v>
      </c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113"/>
      <c r="AL88" s="151">
        <f t="shared" si="7"/>
        <v>0</v>
      </c>
      <c r="AM88" s="35">
        <f t="shared" si="8"/>
        <v>1</v>
      </c>
      <c r="AN88" s="36">
        <f t="shared" si="9"/>
        <v>0</v>
      </c>
      <c r="AO88" s="36">
        <f t="shared" si="10"/>
        <v>0</v>
      </c>
      <c r="AP88" s="36">
        <f t="shared" si="11"/>
        <v>0</v>
      </c>
      <c r="AQ88" s="37">
        <f t="shared" si="12"/>
        <v>1</v>
      </c>
      <c r="AR88" s="37" t="s">
        <v>25</v>
      </c>
      <c r="AS88" s="38">
        <v>26</v>
      </c>
      <c r="AT88" s="39">
        <f t="shared" si="13"/>
        <v>0.0384615384615385</v>
      </c>
    </row>
    <row r="89" s="105" customFormat="1" ht="19.5" hidden="1" customHeight="1" spans="1:46">
      <c r="A89" s="68">
        <v>80</v>
      </c>
      <c r="B89" s="154" t="s">
        <v>121</v>
      </c>
      <c r="C89" s="150" t="s">
        <v>16</v>
      </c>
      <c r="D89" s="149" t="str">
        <f>VLOOKUP(B89,'[1]MASTER DATA 2025'!$C$3:$E$279,3,0)</f>
        <v>0Tahun5 Bulan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113"/>
      <c r="AL89" s="151">
        <f t="shared" si="7"/>
        <v>0</v>
      </c>
      <c r="AM89" s="35">
        <f t="shared" si="8"/>
        <v>0</v>
      </c>
      <c r="AN89" s="36">
        <f t="shared" si="9"/>
        <v>0</v>
      </c>
      <c r="AO89" s="35">
        <f t="shared" si="10"/>
        <v>0</v>
      </c>
      <c r="AP89" s="36">
        <f t="shared" si="11"/>
        <v>0</v>
      </c>
      <c r="AQ89" s="37">
        <f t="shared" si="12"/>
        <v>0</v>
      </c>
      <c r="AR89" s="37" t="s">
        <v>25</v>
      </c>
      <c r="AS89" s="38">
        <v>26</v>
      </c>
      <c r="AT89" s="39">
        <f t="shared" si="13"/>
        <v>0</v>
      </c>
    </row>
    <row r="90" s="105" customFormat="1" ht="19.5" hidden="1" customHeight="1" spans="1:46">
      <c r="A90" s="68">
        <v>81</v>
      </c>
      <c r="B90" s="154" t="s">
        <v>106</v>
      </c>
      <c r="C90" s="150" t="s">
        <v>59</v>
      </c>
      <c r="D90" s="149" t="str">
        <f>VLOOKUP(B90,'[1]MASTER DATA 2025'!$C$3:$E$279,3,0)</f>
        <v>0Tahun8 Bulan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113"/>
      <c r="AL90" s="151">
        <f t="shared" si="7"/>
        <v>0</v>
      </c>
      <c r="AM90" s="35">
        <f t="shared" si="8"/>
        <v>0</v>
      </c>
      <c r="AN90" s="36">
        <f t="shared" si="9"/>
        <v>0</v>
      </c>
      <c r="AO90" s="35">
        <f t="shared" si="10"/>
        <v>0</v>
      </c>
      <c r="AP90" s="36">
        <f t="shared" si="11"/>
        <v>0</v>
      </c>
      <c r="AQ90" s="37">
        <f t="shared" si="12"/>
        <v>0</v>
      </c>
      <c r="AR90" s="49" t="s">
        <v>120</v>
      </c>
      <c r="AS90" s="38">
        <v>26</v>
      </c>
      <c r="AT90" s="39">
        <f t="shared" si="13"/>
        <v>0</v>
      </c>
    </row>
    <row r="91" s="105" customFormat="1" ht="19.5" customHeight="1" spans="1:46">
      <c r="A91" s="68">
        <v>82</v>
      </c>
      <c r="B91" s="154" t="s">
        <v>107</v>
      </c>
      <c r="C91" s="150" t="s">
        <v>108</v>
      </c>
      <c r="D91" s="149" t="s">
        <v>350</v>
      </c>
      <c r="E91" s="62"/>
      <c r="F91" s="62"/>
      <c r="G91" s="62"/>
      <c r="H91" s="62"/>
      <c r="I91" s="62" t="s">
        <v>11</v>
      </c>
      <c r="J91" s="62" t="s">
        <v>11</v>
      </c>
      <c r="K91" s="62"/>
      <c r="L91" s="62"/>
      <c r="M91" s="172"/>
      <c r="N91" s="172"/>
      <c r="O91" s="172"/>
      <c r="P91" s="172"/>
      <c r="Q91" s="172"/>
      <c r="R91" s="62"/>
      <c r="S91" s="62" t="s">
        <v>11</v>
      </c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 t="s">
        <v>11</v>
      </c>
      <c r="AJ91" s="62"/>
      <c r="AK91" s="113"/>
      <c r="AL91" s="151">
        <f t="shared" si="7"/>
        <v>0</v>
      </c>
      <c r="AM91" s="250">
        <f t="shared" si="8"/>
        <v>4</v>
      </c>
      <c r="AN91" s="103">
        <f t="shared" si="9"/>
        <v>0</v>
      </c>
      <c r="AO91" s="131">
        <f t="shared" si="10"/>
        <v>0</v>
      </c>
      <c r="AP91" s="103">
        <f t="shared" si="11"/>
        <v>0</v>
      </c>
      <c r="AQ91" s="128">
        <f t="shared" si="12"/>
        <v>4</v>
      </c>
      <c r="AR91" s="43" t="s">
        <v>336</v>
      </c>
      <c r="AS91" s="38"/>
      <c r="AT91" s="39"/>
    </row>
    <row r="92" s="105" customFormat="1" ht="19.5" hidden="1" customHeight="1" spans="1:46">
      <c r="A92" s="68">
        <v>83</v>
      </c>
      <c r="B92" s="154" t="s">
        <v>109</v>
      </c>
      <c r="C92" s="150" t="s">
        <v>16</v>
      </c>
      <c r="D92" s="149" t="s">
        <v>163</v>
      </c>
      <c r="E92" s="62"/>
      <c r="F92" s="62"/>
      <c r="G92" s="62"/>
      <c r="H92" s="62"/>
      <c r="I92" s="62"/>
      <c r="J92" s="62"/>
      <c r="K92" s="62"/>
      <c r="L92" s="236" t="s">
        <v>11</v>
      </c>
      <c r="M92" s="236"/>
      <c r="N92" s="236"/>
      <c r="O92" s="236"/>
      <c r="P92" s="180"/>
      <c r="Q92" s="180"/>
      <c r="R92" s="237"/>
      <c r="S92" s="62"/>
      <c r="T92" s="62"/>
      <c r="U92" s="62" t="s">
        <v>11</v>
      </c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113"/>
      <c r="AL92" s="151">
        <f t="shared" si="7"/>
        <v>0</v>
      </c>
      <c r="AM92" s="43">
        <f t="shared" si="8"/>
        <v>2</v>
      </c>
      <c r="AN92" s="43">
        <f t="shared" si="9"/>
        <v>0</v>
      </c>
      <c r="AO92" s="43">
        <f t="shared" si="10"/>
        <v>0</v>
      </c>
      <c r="AP92" s="66">
        <f t="shared" si="11"/>
        <v>0</v>
      </c>
      <c r="AQ92" s="43">
        <f t="shared" si="12"/>
        <v>2</v>
      </c>
      <c r="AR92" s="43" t="s">
        <v>336</v>
      </c>
      <c r="AS92" s="68"/>
      <c r="AT92" s="39"/>
    </row>
    <row r="93" s="105" customFormat="1" ht="19.5" hidden="1" customHeight="1" spans="1:46">
      <c r="A93" s="68">
        <v>84</v>
      </c>
      <c r="B93" s="154" t="s">
        <v>110</v>
      </c>
      <c r="C93" s="164" t="s">
        <v>111</v>
      </c>
      <c r="D93" s="149" t="s">
        <v>205</v>
      </c>
      <c r="E93" s="62"/>
      <c r="F93" s="62"/>
      <c r="G93" s="62"/>
      <c r="H93" s="62"/>
      <c r="I93" s="62"/>
      <c r="J93" s="62"/>
      <c r="K93" s="62"/>
      <c r="L93" s="180"/>
      <c r="M93" s="238"/>
      <c r="N93" s="238"/>
      <c r="O93" s="238"/>
      <c r="P93" s="238"/>
      <c r="Q93" s="238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 t="s">
        <v>11</v>
      </c>
      <c r="AC93" s="62"/>
      <c r="AD93" s="62"/>
      <c r="AE93" s="62"/>
      <c r="AF93" s="62"/>
      <c r="AG93" s="62"/>
      <c r="AH93" s="62"/>
      <c r="AI93" s="62"/>
      <c r="AJ93" s="62"/>
      <c r="AK93" s="113"/>
      <c r="AL93" s="151">
        <f t="shared" si="7"/>
        <v>0</v>
      </c>
      <c r="AM93" s="35">
        <f t="shared" si="8"/>
        <v>1</v>
      </c>
      <c r="AN93" s="36">
        <f t="shared" si="9"/>
        <v>0</v>
      </c>
      <c r="AO93" s="36">
        <f t="shared" si="10"/>
        <v>0</v>
      </c>
      <c r="AP93" s="36">
        <f t="shared" si="11"/>
        <v>0</v>
      </c>
      <c r="AQ93" s="35">
        <f t="shared" si="12"/>
        <v>1</v>
      </c>
      <c r="AR93" s="43" t="s">
        <v>382</v>
      </c>
      <c r="AS93" s="38"/>
      <c r="AT93" s="39"/>
    </row>
    <row r="94" s="105" customFormat="1" ht="19.5" hidden="1" customHeight="1" spans="1:46">
      <c r="A94" s="68">
        <v>85</v>
      </c>
      <c r="B94" s="154" t="s">
        <v>113</v>
      </c>
      <c r="C94" s="164" t="s">
        <v>16</v>
      </c>
      <c r="D94" s="149" t="s">
        <v>163</v>
      </c>
      <c r="E94" s="62"/>
      <c r="F94" s="62"/>
      <c r="G94" s="62"/>
      <c r="H94" s="62"/>
      <c r="I94" s="62" t="s">
        <v>103</v>
      </c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 t="s">
        <v>11</v>
      </c>
      <c r="AK94" s="113"/>
      <c r="AL94" s="151">
        <f t="shared" si="7"/>
        <v>0</v>
      </c>
      <c r="AM94" s="35">
        <f t="shared" si="8"/>
        <v>1</v>
      </c>
      <c r="AN94" s="35">
        <f t="shared" si="9"/>
        <v>1</v>
      </c>
      <c r="AO94" s="35">
        <f t="shared" si="10"/>
        <v>0</v>
      </c>
      <c r="AP94" s="36">
        <f t="shared" si="11"/>
        <v>0</v>
      </c>
      <c r="AQ94" s="37">
        <f t="shared" si="12"/>
        <v>2</v>
      </c>
      <c r="AR94" s="43" t="s">
        <v>391</v>
      </c>
      <c r="AS94" s="38">
        <v>26</v>
      </c>
      <c r="AT94" s="39">
        <f t="shared" ref="AT94:AT100" si="14">AQ94/AS94</f>
        <v>0.0769230769230769</v>
      </c>
    </row>
    <row r="95" s="105" customFormat="1" ht="19.5" customHeight="1" spans="1:46">
      <c r="A95" s="68">
        <v>86</v>
      </c>
      <c r="B95" s="154" t="s">
        <v>114</v>
      </c>
      <c r="C95" s="164" t="s">
        <v>16</v>
      </c>
      <c r="D95" s="149" t="s">
        <v>163</v>
      </c>
      <c r="E95" s="62"/>
      <c r="F95" s="62"/>
      <c r="G95" s="62"/>
      <c r="H95" s="62"/>
      <c r="I95" s="62" t="s">
        <v>12</v>
      </c>
      <c r="J95" s="62"/>
      <c r="K95" s="62"/>
      <c r="L95" s="62"/>
      <c r="M95" s="62"/>
      <c r="N95" s="62"/>
      <c r="O95" s="62"/>
      <c r="P95" s="62"/>
      <c r="Q95" s="62"/>
      <c r="R95" s="62"/>
      <c r="S95" s="62" t="s">
        <v>11</v>
      </c>
      <c r="T95" s="62"/>
      <c r="U95" s="62"/>
      <c r="V95" s="62"/>
      <c r="W95" s="62"/>
      <c r="X95" s="62"/>
      <c r="Y95" s="62" t="s">
        <v>11</v>
      </c>
      <c r="Z95" s="62" t="s">
        <v>11</v>
      </c>
      <c r="AA95" s="62"/>
      <c r="AB95" s="62" t="s">
        <v>11</v>
      </c>
      <c r="AC95" s="62"/>
      <c r="AD95" s="62"/>
      <c r="AE95" s="62"/>
      <c r="AF95" s="62"/>
      <c r="AG95" s="62"/>
      <c r="AH95" s="62" t="s">
        <v>11</v>
      </c>
      <c r="AI95" s="62"/>
      <c r="AJ95" s="62"/>
      <c r="AK95" s="113"/>
      <c r="AL95" s="151">
        <f t="shared" si="7"/>
        <v>0</v>
      </c>
      <c r="AM95" s="35">
        <f t="shared" si="8"/>
        <v>5</v>
      </c>
      <c r="AN95" s="36">
        <f t="shared" si="9"/>
        <v>1</v>
      </c>
      <c r="AO95" s="36">
        <f t="shared" si="10"/>
        <v>0</v>
      </c>
      <c r="AP95" s="36">
        <f t="shared" si="11"/>
        <v>0</v>
      </c>
      <c r="AQ95" s="37">
        <f t="shared" si="12"/>
        <v>6</v>
      </c>
      <c r="AR95" s="43" t="s">
        <v>393</v>
      </c>
      <c r="AS95" s="38">
        <v>26</v>
      </c>
      <c r="AT95" s="39">
        <f t="shared" si="14"/>
        <v>0.230769230769231</v>
      </c>
    </row>
    <row r="96" s="105" customFormat="1" ht="19.5" hidden="1" customHeight="1" spans="1:46">
      <c r="A96" s="68">
        <v>87</v>
      </c>
      <c r="B96" s="154" t="s">
        <v>115</v>
      </c>
      <c r="C96" s="164" t="s">
        <v>16</v>
      </c>
      <c r="D96" s="149" t="str">
        <f>VLOOKUP(B96,'[1]MASTER DATA 2025'!$C$3:$E$279,3,0)</f>
        <v>0Tahun1 Bulan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113"/>
      <c r="AL96" s="151">
        <f t="shared" si="7"/>
        <v>0</v>
      </c>
      <c r="AM96" s="35">
        <f t="shared" si="8"/>
        <v>0</v>
      </c>
      <c r="AN96" s="36">
        <f t="shared" si="9"/>
        <v>0</v>
      </c>
      <c r="AO96" s="36">
        <f t="shared" si="10"/>
        <v>0</v>
      </c>
      <c r="AP96" s="36">
        <f t="shared" si="11"/>
        <v>0</v>
      </c>
      <c r="AQ96" s="37">
        <f t="shared" si="12"/>
        <v>0</v>
      </c>
      <c r="AR96" s="37" t="s">
        <v>228</v>
      </c>
      <c r="AS96" s="38">
        <v>26</v>
      </c>
      <c r="AT96" s="39">
        <f t="shared" si="14"/>
        <v>0</v>
      </c>
    </row>
    <row r="97" s="105" customFormat="1" ht="19.5" hidden="1" customHeight="1" spans="1:46">
      <c r="A97" s="68">
        <v>88</v>
      </c>
      <c r="B97" s="154" t="s">
        <v>122</v>
      </c>
      <c r="C97" s="164" t="s">
        <v>20</v>
      </c>
      <c r="D97" s="149" t="str">
        <f>VLOOKUP(B97,'[1]MASTER DATA 2025'!$C$3:$E$279,3,0)</f>
        <v>0Tahun2 Bulan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113"/>
      <c r="AL97" s="151">
        <f t="shared" si="7"/>
        <v>0</v>
      </c>
      <c r="AM97" s="35">
        <f t="shared" si="8"/>
        <v>0</v>
      </c>
      <c r="AN97" s="35">
        <f t="shared" si="9"/>
        <v>0</v>
      </c>
      <c r="AO97" s="47">
        <f t="shared" si="10"/>
        <v>0</v>
      </c>
      <c r="AP97" s="36">
        <f t="shared" si="11"/>
        <v>0</v>
      </c>
      <c r="AQ97" s="48">
        <f t="shared" si="12"/>
        <v>0</v>
      </c>
      <c r="AR97" s="37" t="s">
        <v>228</v>
      </c>
      <c r="AS97" s="38">
        <v>26</v>
      </c>
      <c r="AT97" s="39">
        <f t="shared" si="14"/>
        <v>0</v>
      </c>
    </row>
    <row r="98" s="105" customFormat="1" ht="19.5" hidden="1" customHeight="1" spans="1:46">
      <c r="A98" s="68">
        <v>89</v>
      </c>
      <c r="B98" s="154" t="s">
        <v>123</v>
      </c>
      <c r="C98" s="164" t="s">
        <v>124</v>
      </c>
      <c r="D98" s="149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113"/>
      <c r="AL98" s="151">
        <f t="shared" si="7"/>
        <v>0</v>
      </c>
      <c r="AM98" s="47">
        <f t="shared" si="8"/>
        <v>0</v>
      </c>
      <c r="AN98" s="35">
        <f t="shared" si="9"/>
        <v>0</v>
      </c>
      <c r="AO98" s="35">
        <f t="shared" si="10"/>
        <v>0</v>
      </c>
      <c r="AP98" s="36">
        <f t="shared" si="11"/>
        <v>0</v>
      </c>
      <c r="AQ98" s="48">
        <f t="shared" si="12"/>
        <v>0</v>
      </c>
      <c r="AR98" s="49" t="s">
        <v>125</v>
      </c>
      <c r="AS98" s="38">
        <v>26</v>
      </c>
      <c r="AT98" s="39">
        <f t="shared" si="14"/>
        <v>0</v>
      </c>
    </row>
    <row r="99" s="105" customFormat="1" ht="19.5" hidden="1" customHeight="1" spans="1:46">
      <c r="A99" s="68">
        <v>90</v>
      </c>
      <c r="B99" s="154" t="s">
        <v>126</v>
      </c>
      <c r="C99" s="164" t="s">
        <v>16</v>
      </c>
      <c r="D99" s="149" t="str">
        <f>VLOOKUP(B99,'[1]MASTER DATA 2025'!$C$3:$E$279,3,0)</f>
        <v>0Tahun7 Bulan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113"/>
      <c r="AL99" s="151">
        <f t="shared" si="7"/>
        <v>0</v>
      </c>
      <c r="AM99" s="35">
        <f t="shared" si="8"/>
        <v>0</v>
      </c>
      <c r="AN99" s="35">
        <f t="shared" si="9"/>
        <v>0</v>
      </c>
      <c r="AO99" s="47">
        <f t="shared" si="10"/>
        <v>0</v>
      </c>
      <c r="AP99" s="36">
        <f t="shared" si="11"/>
        <v>0</v>
      </c>
      <c r="AQ99" s="37">
        <f t="shared" si="12"/>
        <v>0</v>
      </c>
      <c r="AR99" s="49">
        <v>45946</v>
      </c>
      <c r="AS99" s="38">
        <v>26</v>
      </c>
      <c r="AT99" s="39">
        <f t="shared" si="14"/>
        <v>0</v>
      </c>
    </row>
    <row r="100" s="105" customFormat="1" ht="19.5" hidden="1" customHeight="1" spans="1:46">
      <c r="A100" s="68">
        <v>91</v>
      </c>
      <c r="B100" s="154" t="s">
        <v>127</v>
      </c>
      <c r="C100" s="164" t="s">
        <v>61</v>
      </c>
      <c r="D100" s="149" t="str">
        <f>VLOOKUP(B100,'[1]MASTER DATA 2025'!$C$3:$E$279,3,0)</f>
        <v>0Tahun8 Bulan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113"/>
      <c r="AL100" s="151">
        <f t="shared" si="7"/>
        <v>0</v>
      </c>
      <c r="AM100" s="47">
        <f t="shared" si="8"/>
        <v>0</v>
      </c>
      <c r="AN100" s="35">
        <f t="shared" si="9"/>
        <v>0</v>
      </c>
      <c r="AO100" s="35">
        <f t="shared" si="10"/>
        <v>0</v>
      </c>
      <c r="AP100" s="36">
        <f t="shared" si="11"/>
        <v>0</v>
      </c>
      <c r="AQ100" s="48">
        <f t="shared" si="12"/>
        <v>0</v>
      </c>
      <c r="AR100" s="81" t="s">
        <v>128</v>
      </c>
      <c r="AS100" s="38">
        <v>26</v>
      </c>
      <c r="AT100" s="39">
        <f t="shared" si="14"/>
        <v>0</v>
      </c>
    </row>
    <row r="101" s="105" customFormat="1" ht="19.5" hidden="1" customHeight="1" spans="1:46">
      <c r="A101" s="68">
        <v>92</v>
      </c>
      <c r="B101" s="154" t="s">
        <v>129</v>
      </c>
      <c r="C101" s="164" t="s">
        <v>235</v>
      </c>
      <c r="D101" s="149" t="s">
        <v>236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113"/>
      <c r="AL101" s="151">
        <f t="shared" si="7"/>
        <v>0</v>
      </c>
      <c r="AM101" s="35">
        <f t="shared" si="8"/>
        <v>0</v>
      </c>
      <c r="AN101" s="36">
        <f t="shared" si="9"/>
        <v>0</v>
      </c>
      <c r="AO101" s="35">
        <f t="shared" si="10"/>
        <v>0</v>
      </c>
      <c r="AP101" s="36">
        <f t="shared" si="11"/>
        <v>0</v>
      </c>
      <c r="AQ101" s="37">
        <f t="shared" si="12"/>
        <v>0</v>
      </c>
      <c r="AR101" s="37" t="s">
        <v>228</v>
      </c>
      <c r="AS101" s="38"/>
      <c r="AT101" s="39"/>
    </row>
    <row r="102" s="105" customFormat="1" ht="19.5" hidden="1" customHeight="1" spans="1:46">
      <c r="A102" s="68">
        <v>93</v>
      </c>
      <c r="B102" s="154" t="s">
        <v>130</v>
      </c>
      <c r="C102" s="164" t="s">
        <v>131</v>
      </c>
      <c r="D102" s="149" t="str">
        <f>VLOOKUP(B102,'[1]MASTER DATA 2025'!$C$3:$E$279,3,0)</f>
        <v>3Tahun1 Bulan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113"/>
      <c r="AL102" s="151">
        <f t="shared" si="7"/>
        <v>0</v>
      </c>
      <c r="AM102" s="35">
        <f t="shared" si="8"/>
        <v>0</v>
      </c>
      <c r="AN102" s="35">
        <f t="shared" si="9"/>
        <v>0</v>
      </c>
      <c r="AO102" s="35">
        <f t="shared" si="10"/>
        <v>0</v>
      </c>
      <c r="AP102" s="36">
        <f t="shared" si="11"/>
        <v>0</v>
      </c>
      <c r="AQ102" s="37">
        <f t="shared" si="12"/>
        <v>0</v>
      </c>
      <c r="AR102" s="37"/>
      <c r="AS102" s="38"/>
      <c r="AT102" s="39"/>
    </row>
    <row r="103" s="105" customFormat="1" ht="19.5" hidden="1" customHeight="1" spans="1:46">
      <c r="A103" s="68">
        <v>94</v>
      </c>
      <c r="B103" s="154" t="s">
        <v>132</v>
      </c>
      <c r="C103" s="164" t="s">
        <v>16</v>
      </c>
      <c r="D103" s="149" t="str">
        <f>VLOOKUP(B103,'[1]MASTER DATA 2025'!$C$3:$E$279,3,0)</f>
        <v>0Tahun1 Bulan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113"/>
      <c r="AL103" s="151">
        <f t="shared" si="7"/>
        <v>0</v>
      </c>
      <c r="AM103" s="35">
        <f t="shared" si="8"/>
        <v>0</v>
      </c>
      <c r="AN103" s="36">
        <f t="shared" si="9"/>
        <v>0</v>
      </c>
      <c r="AO103" s="35">
        <f t="shared" si="10"/>
        <v>0</v>
      </c>
      <c r="AP103" s="36">
        <f t="shared" si="11"/>
        <v>0</v>
      </c>
      <c r="AQ103" s="37">
        <f t="shared" si="12"/>
        <v>0</v>
      </c>
      <c r="AR103" s="37" t="s">
        <v>25</v>
      </c>
      <c r="AS103" s="38">
        <v>26</v>
      </c>
      <c r="AT103" s="39">
        <f t="shared" ref="AT103:AT108" si="15">AQ103/AS103</f>
        <v>0</v>
      </c>
    </row>
    <row r="104" s="105" customFormat="1" ht="19.5" hidden="1" customHeight="1" spans="1:46">
      <c r="A104" s="68">
        <v>95</v>
      </c>
      <c r="B104" s="154" t="s">
        <v>133</v>
      </c>
      <c r="C104" s="164" t="s">
        <v>16</v>
      </c>
      <c r="D104" s="149" t="s">
        <v>267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V104" s="62" t="s">
        <v>11</v>
      </c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 t="s">
        <v>11</v>
      </c>
      <c r="AI104" s="62"/>
      <c r="AJ104" s="62"/>
      <c r="AK104" s="113"/>
      <c r="AL104" s="151">
        <f t="shared" si="7"/>
        <v>0</v>
      </c>
      <c r="AM104" s="35">
        <f t="shared" si="8"/>
        <v>2</v>
      </c>
      <c r="AN104" s="36">
        <f t="shared" si="9"/>
        <v>0</v>
      </c>
      <c r="AO104" s="36">
        <f t="shared" si="10"/>
        <v>0</v>
      </c>
      <c r="AP104" s="36">
        <f t="shared" si="11"/>
        <v>0</v>
      </c>
      <c r="AQ104" s="37">
        <f t="shared" si="12"/>
        <v>2</v>
      </c>
      <c r="AR104" s="43" t="s">
        <v>193</v>
      </c>
      <c r="AS104" s="38">
        <v>26</v>
      </c>
      <c r="AT104" s="39">
        <f t="shared" si="15"/>
        <v>0.0769230769230769</v>
      </c>
    </row>
    <row r="105" s="105" customFormat="1" ht="19.5" hidden="1" customHeight="1" spans="1:46">
      <c r="A105" s="68">
        <v>96</v>
      </c>
      <c r="B105" s="154" t="s">
        <v>134</v>
      </c>
      <c r="C105" s="164" t="s">
        <v>16</v>
      </c>
      <c r="D105" s="152" t="s">
        <v>238</v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113"/>
      <c r="AL105" s="151">
        <f t="shared" si="7"/>
        <v>0</v>
      </c>
      <c r="AM105" s="35">
        <f t="shared" si="8"/>
        <v>0</v>
      </c>
      <c r="AN105" s="36">
        <f t="shared" si="9"/>
        <v>0</v>
      </c>
      <c r="AO105" s="36">
        <f t="shared" si="10"/>
        <v>0</v>
      </c>
      <c r="AP105" s="36">
        <f t="shared" si="11"/>
        <v>0</v>
      </c>
      <c r="AQ105" s="37">
        <f t="shared" si="12"/>
        <v>0</v>
      </c>
      <c r="AR105" s="43" t="s">
        <v>336</v>
      </c>
      <c r="AS105" s="38">
        <v>26</v>
      </c>
      <c r="AT105" s="39">
        <f t="shared" si="15"/>
        <v>0</v>
      </c>
    </row>
    <row r="106" s="105" customFormat="1" ht="19.5" hidden="1" customHeight="1" spans="1:46">
      <c r="A106" s="68">
        <v>97</v>
      </c>
      <c r="B106" s="154" t="s">
        <v>135</v>
      </c>
      <c r="C106" s="164" t="s">
        <v>16</v>
      </c>
      <c r="D106" s="149" t="s">
        <v>394</v>
      </c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 t="s">
        <v>11</v>
      </c>
      <c r="AE106" s="62"/>
      <c r="AF106" s="62"/>
      <c r="AG106" s="62"/>
      <c r="AH106" s="62"/>
      <c r="AI106" s="62"/>
      <c r="AJ106" s="62"/>
      <c r="AK106" s="113"/>
      <c r="AL106" s="151">
        <f t="shared" si="7"/>
        <v>0</v>
      </c>
      <c r="AM106" s="47">
        <f t="shared" si="8"/>
        <v>1</v>
      </c>
      <c r="AN106" s="35">
        <f t="shared" si="9"/>
        <v>0</v>
      </c>
      <c r="AO106" s="35">
        <f t="shared" si="10"/>
        <v>0</v>
      </c>
      <c r="AP106" s="36">
        <f t="shared" si="11"/>
        <v>0</v>
      </c>
      <c r="AQ106" s="37">
        <f t="shared" si="12"/>
        <v>1</v>
      </c>
      <c r="AR106" s="43" t="s">
        <v>382</v>
      </c>
      <c r="AS106" s="38">
        <v>26</v>
      </c>
      <c r="AT106" s="39">
        <f t="shared" si="15"/>
        <v>0.0384615384615385</v>
      </c>
    </row>
    <row r="107" s="105" customFormat="1" ht="19.5" hidden="1" customHeight="1" spans="1:46">
      <c r="A107" s="68">
        <v>98</v>
      </c>
      <c r="B107" s="154" t="s">
        <v>137</v>
      </c>
      <c r="C107" s="164" t="s">
        <v>16</v>
      </c>
      <c r="D107" s="149" t="str">
        <f>VLOOKUP(B107,'[1]MASTER DATA 2025'!$C$3:$E$279,3,0)</f>
        <v>1Tahun7 Bulan</v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113"/>
      <c r="AL107" s="151">
        <f t="shared" si="7"/>
        <v>0</v>
      </c>
      <c r="AM107" s="35">
        <f t="shared" si="8"/>
        <v>0</v>
      </c>
      <c r="AN107" s="35">
        <f t="shared" si="9"/>
        <v>0</v>
      </c>
      <c r="AO107" s="36">
        <f t="shared" si="10"/>
        <v>0</v>
      </c>
      <c r="AP107" s="36">
        <f t="shared" si="11"/>
        <v>0</v>
      </c>
      <c r="AQ107" s="37">
        <f t="shared" si="12"/>
        <v>0</v>
      </c>
      <c r="AR107" s="37"/>
      <c r="AS107" s="38">
        <v>26</v>
      </c>
      <c r="AT107" s="39">
        <f t="shared" si="15"/>
        <v>0</v>
      </c>
    </row>
    <row r="108" s="105" customFormat="1" ht="19.5" hidden="1" customHeight="1" spans="1:46">
      <c r="A108" s="68">
        <v>99</v>
      </c>
      <c r="B108" s="154" t="s">
        <v>138</v>
      </c>
      <c r="C108" s="150" t="s">
        <v>101</v>
      </c>
      <c r="D108" s="149" t="str">
        <f>VLOOKUP(B108,'[1]MASTER DATA 2025'!$C$3:$E$279,3,0)</f>
        <v>1Tahun1 Bulan</v>
      </c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113"/>
      <c r="AL108" s="151">
        <f t="shared" si="7"/>
        <v>0</v>
      </c>
      <c r="AM108" s="35">
        <f t="shared" si="8"/>
        <v>0</v>
      </c>
      <c r="AN108" s="36">
        <f t="shared" si="9"/>
        <v>0</v>
      </c>
      <c r="AO108" s="35">
        <f t="shared" si="10"/>
        <v>0</v>
      </c>
      <c r="AP108" s="36">
        <f t="shared" si="11"/>
        <v>0</v>
      </c>
      <c r="AQ108" s="37">
        <f t="shared" si="12"/>
        <v>0</v>
      </c>
      <c r="AR108" s="37" t="s">
        <v>228</v>
      </c>
      <c r="AS108" s="38">
        <v>26</v>
      </c>
      <c r="AT108" s="39">
        <f t="shared" si="15"/>
        <v>0</v>
      </c>
    </row>
    <row r="109" s="105" customFormat="1" ht="19.5" hidden="1" customHeight="1" spans="1:46">
      <c r="A109" s="68">
        <v>100</v>
      </c>
      <c r="B109" s="154" t="s">
        <v>139</v>
      </c>
      <c r="C109" s="164" t="s">
        <v>16</v>
      </c>
      <c r="D109" s="152" t="s">
        <v>356</v>
      </c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113"/>
      <c r="AL109" s="151">
        <f t="shared" si="7"/>
        <v>0</v>
      </c>
      <c r="AM109" s="35">
        <f t="shared" si="8"/>
        <v>0</v>
      </c>
      <c r="AN109" s="36">
        <f t="shared" si="9"/>
        <v>0</v>
      </c>
      <c r="AO109" s="35">
        <f t="shared" si="10"/>
        <v>0</v>
      </c>
      <c r="AP109" s="36">
        <f t="shared" si="11"/>
        <v>0</v>
      </c>
      <c r="AQ109" s="37">
        <f t="shared" si="12"/>
        <v>0</v>
      </c>
      <c r="AR109" s="156" t="s">
        <v>275</v>
      </c>
      <c r="AS109" s="38"/>
      <c r="AT109" s="39"/>
    </row>
    <row r="110" s="105" customFormat="1" ht="19.5" hidden="1" customHeight="1" spans="1:46">
      <c r="A110" s="68">
        <v>101</v>
      </c>
      <c r="B110" s="154" t="s">
        <v>140</v>
      </c>
      <c r="C110" s="164" t="s">
        <v>16</v>
      </c>
      <c r="D110" s="149" t="str">
        <f>VLOOKUP(B110,'[1]MASTER DATA 2025'!$C$3:$E$279,3,0)</f>
        <v>2Tahun2 Bulan</v>
      </c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113"/>
      <c r="AL110" s="151">
        <f t="shared" si="7"/>
        <v>0</v>
      </c>
      <c r="AM110" s="35">
        <f t="shared" si="8"/>
        <v>0</v>
      </c>
      <c r="AN110" s="36">
        <f t="shared" si="9"/>
        <v>0</v>
      </c>
      <c r="AO110" s="35">
        <f t="shared" si="10"/>
        <v>0</v>
      </c>
      <c r="AP110" s="36">
        <f t="shared" si="11"/>
        <v>0</v>
      </c>
      <c r="AQ110" s="37">
        <f t="shared" si="12"/>
        <v>0</v>
      </c>
      <c r="AR110" s="37" t="s">
        <v>25</v>
      </c>
      <c r="AS110" s="38"/>
      <c r="AT110" s="39"/>
    </row>
    <row r="111" s="105" customFormat="1" ht="19.5" hidden="1" customHeight="1" spans="1:46">
      <c r="A111" s="68">
        <v>102</v>
      </c>
      <c r="B111" s="154" t="s">
        <v>141</v>
      </c>
      <c r="C111" s="164" t="s">
        <v>20</v>
      </c>
      <c r="D111" s="149" t="str">
        <f>VLOOKUP(B111,'[1]MASTER DATA 2025'!$C$3:$E$279,3,0)</f>
        <v>0Tahun1 Bulan</v>
      </c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113"/>
      <c r="AL111" s="151">
        <f t="shared" si="7"/>
        <v>0</v>
      </c>
      <c r="AM111" s="35">
        <f t="shared" si="8"/>
        <v>0</v>
      </c>
      <c r="AN111" s="36">
        <f t="shared" si="9"/>
        <v>0</v>
      </c>
      <c r="AO111" s="35">
        <f t="shared" si="10"/>
        <v>0</v>
      </c>
      <c r="AP111" s="36">
        <f t="shared" si="11"/>
        <v>0</v>
      </c>
      <c r="AQ111" s="37">
        <f t="shared" si="12"/>
        <v>0</v>
      </c>
      <c r="AR111" s="49">
        <v>45967</v>
      </c>
      <c r="AS111" s="38">
        <v>26</v>
      </c>
      <c r="AT111" s="39">
        <f t="shared" ref="AT111:AT116" si="16">AQ111/AS111</f>
        <v>0</v>
      </c>
    </row>
    <row r="112" s="105" customFormat="1" ht="19.5" hidden="1" customHeight="1" spans="1:46">
      <c r="A112" s="68">
        <v>103</v>
      </c>
      <c r="B112" s="154" t="s">
        <v>142</v>
      </c>
      <c r="C112" s="164" t="s">
        <v>20</v>
      </c>
      <c r="D112" s="149" t="str">
        <f>VLOOKUP(B112,'[1]MASTER DATA 2025'!$C$3:$E$279,3,0)</f>
        <v>0Tahun2 Bulan</v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113"/>
      <c r="AL112" s="151">
        <f t="shared" si="7"/>
        <v>0</v>
      </c>
      <c r="AM112" s="35">
        <f t="shared" si="8"/>
        <v>0</v>
      </c>
      <c r="AN112" s="35">
        <f t="shared" si="9"/>
        <v>0</v>
      </c>
      <c r="AO112" s="47">
        <f t="shared" si="10"/>
        <v>0</v>
      </c>
      <c r="AP112" s="36">
        <f t="shared" si="11"/>
        <v>0</v>
      </c>
      <c r="AQ112" s="37">
        <f t="shared" si="12"/>
        <v>0</v>
      </c>
      <c r="AR112" s="37" t="s">
        <v>173</v>
      </c>
      <c r="AS112" s="38">
        <v>26</v>
      </c>
      <c r="AT112" s="39">
        <f t="shared" si="16"/>
        <v>0</v>
      </c>
    </row>
    <row r="113" s="105" customFormat="1" ht="19.5" hidden="1" customHeight="1" spans="1:46">
      <c r="A113" s="68">
        <v>104</v>
      </c>
      <c r="B113" s="154" t="s">
        <v>143</v>
      </c>
      <c r="C113" s="164" t="s">
        <v>61</v>
      </c>
      <c r="D113" s="149" t="str">
        <f>VLOOKUP(B113,'[1]MASTER DATA 2025'!$C$3:$E$279,3,0)</f>
        <v>0Tahun9 Bulan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113"/>
      <c r="AL113" s="151">
        <f t="shared" si="7"/>
        <v>0</v>
      </c>
      <c r="AM113" s="47">
        <f t="shared" si="8"/>
        <v>0</v>
      </c>
      <c r="AN113" s="35">
        <f t="shared" si="9"/>
        <v>0</v>
      </c>
      <c r="AO113" s="35">
        <f t="shared" si="10"/>
        <v>0</v>
      </c>
      <c r="AP113" s="36">
        <f t="shared" si="11"/>
        <v>0</v>
      </c>
      <c r="AQ113" s="48">
        <f t="shared" si="12"/>
        <v>0</v>
      </c>
      <c r="AR113" s="156" t="s">
        <v>275</v>
      </c>
      <c r="AS113" s="38">
        <v>26</v>
      </c>
      <c r="AT113" s="39">
        <f t="shared" si="16"/>
        <v>0</v>
      </c>
    </row>
    <row r="114" s="105" customFormat="1" ht="19.5" hidden="1" customHeight="1" spans="1:46">
      <c r="A114" s="68">
        <v>105</v>
      </c>
      <c r="B114" s="154" t="s">
        <v>144</v>
      </c>
      <c r="C114" s="164" t="s">
        <v>357</v>
      </c>
      <c r="D114" s="149" t="s">
        <v>236</v>
      </c>
      <c r="E114" s="62"/>
      <c r="F114" s="62"/>
      <c r="G114" s="62"/>
      <c r="H114" s="62"/>
      <c r="I114" s="62"/>
      <c r="J114" s="62"/>
      <c r="K114" s="62"/>
      <c r="L114" s="62"/>
      <c r="M114" s="62"/>
      <c r="N114" s="62" t="s">
        <v>13</v>
      </c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113"/>
      <c r="AL114" s="151">
        <f t="shared" si="7"/>
        <v>0</v>
      </c>
      <c r="AM114" s="35">
        <f t="shared" si="8"/>
        <v>0</v>
      </c>
      <c r="AN114" s="35">
        <f t="shared" si="9"/>
        <v>0</v>
      </c>
      <c r="AO114" s="35">
        <f t="shared" si="10"/>
        <v>1</v>
      </c>
      <c r="AP114" s="36">
        <f t="shared" si="11"/>
        <v>0</v>
      </c>
      <c r="AQ114" s="37">
        <f t="shared" si="12"/>
        <v>1</v>
      </c>
      <c r="AR114" s="37" t="s">
        <v>171</v>
      </c>
      <c r="AS114" s="38">
        <v>26</v>
      </c>
      <c r="AT114" s="39">
        <f t="shared" si="16"/>
        <v>0.0384615384615385</v>
      </c>
    </row>
    <row r="115" s="105" customFormat="1" ht="19.5" hidden="1" customHeight="1" spans="1:46">
      <c r="A115" s="68">
        <v>106</v>
      </c>
      <c r="B115" s="154" t="s">
        <v>145</v>
      </c>
      <c r="C115" s="164" t="s">
        <v>16</v>
      </c>
      <c r="D115" s="149" t="s">
        <v>267</v>
      </c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 t="s">
        <v>11</v>
      </c>
      <c r="V115" s="62"/>
      <c r="W115" s="62"/>
      <c r="X115" s="62"/>
      <c r="Y115" s="62"/>
      <c r="Z115" s="62" t="s">
        <v>11</v>
      </c>
      <c r="AA115" s="62" t="s">
        <v>13</v>
      </c>
      <c r="AB115" s="62"/>
      <c r="AC115" s="62"/>
      <c r="AD115" s="62"/>
      <c r="AE115" s="62"/>
      <c r="AF115" s="62"/>
      <c r="AG115" s="62"/>
      <c r="AH115" s="62"/>
      <c r="AI115" s="62"/>
      <c r="AJ115" s="62"/>
      <c r="AK115" s="113"/>
      <c r="AL115" s="151">
        <f t="shared" si="7"/>
        <v>0</v>
      </c>
      <c r="AM115" s="35">
        <f t="shared" si="8"/>
        <v>2</v>
      </c>
      <c r="AN115" s="35">
        <f t="shared" si="9"/>
        <v>0</v>
      </c>
      <c r="AO115" s="35">
        <f t="shared" si="10"/>
        <v>1</v>
      </c>
      <c r="AP115" s="36">
        <f t="shared" si="11"/>
        <v>0</v>
      </c>
      <c r="AQ115" s="37">
        <f t="shared" si="12"/>
        <v>3</v>
      </c>
      <c r="AR115" s="43"/>
      <c r="AS115" s="38">
        <v>26</v>
      </c>
      <c r="AT115" s="39">
        <f t="shared" si="16"/>
        <v>0.115384615384615</v>
      </c>
    </row>
    <row r="116" s="105" customFormat="1" ht="19.5" hidden="1" customHeight="1" spans="1:46">
      <c r="A116" s="68">
        <v>107</v>
      </c>
      <c r="B116" s="154" t="s">
        <v>146</v>
      </c>
      <c r="C116" s="164" t="s">
        <v>16</v>
      </c>
      <c r="D116" s="149" t="str">
        <f>VLOOKUP(B116,'[1]MASTER DATA 2025'!$C$3:$E$279,3,0)</f>
        <v>1Tahun1 Bulan</v>
      </c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113"/>
      <c r="AL116" s="151">
        <f t="shared" si="7"/>
        <v>0</v>
      </c>
      <c r="AM116" s="47">
        <f t="shared" si="8"/>
        <v>0</v>
      </c>
      <c r="AN116" s="35">
        <f t="shared" si="9"/>
        <v>0</v>
      </c>
      <c r="AO116" s="35">
        <f t="shared" si="10"/>
        <v>0</v>
      </c>
      <c r="AP116" s="36">
        <f t="shared" si="11"/>
        <v>0</v>
      </c>
      <c r="AQ116" s="48">
        <f t="shared" si="12"/>
        <v>0</v>
      </c>
      <c r="AR116" s="37" t="s">
        <v>228</v>
      </c>
      <c r="AS116" s="38">
        <v>26</v>
      </c>
      <c r="AT116" s="39">
        <f t="shared" si="16"/>
        <v>0</v>
      </c>
    </row>
    <row r="117" s="105" customFormat="1" ht="19.5" hidden="1" customHeight="1" spans="1:46">
      <c r="A117" s="68">
        <v>108</v>
      </c>
      <c r="B117" s="154" t="s">
        <v>147</v>
      </c>
      <c r="C117" s="164" t="s">
        <v>240</v>
      </c>
      <c r="D117" s="149" t="s">
        <v>205</v>
      </c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113"/>
      <c r="AL117" s="151">
        <f t="shared" si="7"/>
        <v>0</v>
      </c>
      <c r="AM117" s="47">
        <f t="shared" si="8"/>
        <v>0</v>
      </c>
      <c r="AN117" s="35">
        <f t="shared" si="9"/>
        <v>0</v>
      </c>
      <c r="AO117" s="35">
        <f t="shared" si="10"/>
        <v>0</v>
      </c>
      <c r="AP117" s="36">
        <f t="shared" si="11"/>
        <v>0</v>
      </c>
      <c r="AQ117" s="48">
        <f t="shared" si="12"/>
        <v>0</v>
      </c>
      <c r="AR117" s="37" t="s">
        <v>228</v>
      </c>
      <c r="AS117" s="38"/>
      <c r="AT117" s="39"/>
    </row>
    <row r="118" s="105" customFormat="1" ht="19.5" hidden="1" customHeight="1" spans="1:46">
      <c r="A118" s="68">
        <v>109</v>
      </c>
      <c r="B118" s="154" t="s">
        <v>148</v>
      </c>
      <c r="C118" s="164" t="s">
        <v>16</v>
      </c>
      <c r="D118" s="152" t="s">
        <v>163</v>
      </c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 t="s">
        <v>11</v>
      </c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 t="s">
        <v>11</v>
      </c>
      <c r="AI118" s="62"/>
      <c r="AJ118" s="62"/>
      <c r="AK118" s="113"/>
      <c r="AL118" s="151">
        <f t="shared" si="7"/>
        <v>0</v>
      </c>
      <c r="AM118" s="35">
        <f t="shared" si="8"/>
        <v>2</v>
      </c>
      <c r="AN118" s="36">
        <f t="shared" si="9"/>
        <v>0</v>
      </c>
      <c r="AO118" s="35">
        <f t="shared" si="10"/>
        <v>0</v>
      </c>
      <c r="AP118" s="36">
        <f t="shared" si="11"/>
        <v>0</v>
      </c>
      <c r="AQ118" s="37">
        <f t="shared" si="12"/>
        <v>2</v>
      </c>
      <c r="AR118" s="43" t="s">
        <v>193</v>
      </c>
      <c r="AS118" s="38"/>
      <c r="AT118" s="39"/>
    </row>
    <row r="119" s="105" customFormat="1" ht="19.5" hidden="1" customHeight="1" spans="1:46">
      <c r="A119" s="68">
        <v>110</v>
      </c>
      <c r="B119" s="154" t="s">
        <v>149</v>
      </c>
      <c r="C119" s="164" t="s">
        <v>16</v>
      </c>
      <c r="D119" s="152" t="s">
        <v>219</v>
      </c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113"/>
      <c r="AL119" s="151">
        <f t="shared" si="7"/>
        <v>0</v>
      </c>
      <c r="AM119" s="35">
        <f t="shared" si="8"/>
        <v>0</v>
      </c>
      <c r="AN119" s="36">
        <f t="shared" si="9"/>
        <v>0</v>
      </c>
      <c r="AO119" s="35">
        <f t="shared" si="10"/>
        <v>0</v>
      </c>
      <c r="AP119" s="36">
        <f t="shared" si="11"/>
        <v>0</v>
      </c>
      <c r="AQ119" s="37">
        <f t="shared" si="12"/>
        <v>0</v>
      </c>
      <c r="AR119" s="43" t="s">
        <v>171</v>
      </c>
      <c r="AS119" s="38"/>
      <c r="AT119" s="39"/>
    </row>
    <row r="120" s="105" customFormat="1" ht="19.5" hidden="1" customHeight="1" spans="1:46">
      <c r="A120" s="68">
        <v>111</v>
      </c>
      <c r="B120" s="154" t="s">
        <v>150</v>
      </c>
      <c r="C120" s="164" t="s">
        <v>16</v>
      </c>
      <c r="D120" s="149" t="s">
        <v>395</v>
      </c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 t="s">
        <v>12</v>
      </c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113"/>
      <c r="AL120" s="151">
        <f t="shared" si="7"/>
        <v>0</v>
      </c>
      <c r="AM120" s="35">
        <f t="shared" si="8"/>
        <v>0</v>
      </c>
      <c r="AN120" s="36">
        <f t="shared" si="9"/>
        <v>1</v>
      </c>
      <c r="AO120" s="35">
        <f t="shared" si="10"/>
        <v>0</v>
      </c>
      <c r="AP120" s="36">
        <f t="shared" si="11"/>
        <v>0</v>
      </c>
      <c r="AQ120" s="37">
        <f t="shared" si="12"/>
        <v>1</v>
      </c>
      <c r="AR120" s="37"/>
      <c r="AS120" s="38"/>
      <c r="AT120" s="39"/>
    </row>
    <row r="121" s="105" customFormat="1" ht="21" hidden="1" customHeight="1" spans="1:46">
      <c r="A121" s="68">
        <v>112</v>
      </c>
      <c r="B121" s="154" t="s">
        <v>151</v>
      </c>
      <c r="C121" s="164" t="s">
        <v>241</v>
      </c>
      <c r="D121" s="152" t="s">
        <v>217</v>
      </c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113"/>
      <c r="AL121" s="151">
        <f t="shared" si="7"/>
        <v>0</v>
      </c>
      <c r="AM121" s="35">
        <f t="shared" si="8"/>
        <v>0</v>
      </c>
      <c r="AN121" s="36">
        <f t="shared" si="9"/>
        <v>0</v>
      </c>
      <c r="AO121" s="35">
        <f t="shared" si="10"/>
        <v>0</v>
      </c>
      <c r="AP121" s="36">
        <f t="shared" si="11"/>
        <v>0</v>
      </c>
      <c r="AQ121" s="37">
        <f t="shared" si="12"/>
        <v>0</v>
      </c>
      <c r="AR121" s="156" t="s">
        <v>275</v>
      </c>
      <c r="AS121" s="38"/>
      <c r="AT121" s="39"/>
    </row>
    <row r="122" s="105" customFormat="1" ht="19.5" hidden="1" customHeight="1" spans="1:46">
      <c r="A122" s="68">
        <v>113</v>
      </c>
      <c r="B122" s="154" t="s">
        <v>152</v>
      </c>
      <c r="C122" s="164" t="s">
        <v>20</v>
      </c>
      <c r="D122" s="152" t="s">
        <v>236</v>
      </c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 t="s">
        <v>13</v>
      </c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113"/>
      <c r="AL122" s="151">
        <f t="shared" si="7"/>
        <v>0</v>
      </c>
      <c r="AM122" s="47">
        <f t="shared" si="8"/>
        <v>0</v>
      </c>
      <c r="AN122" s="35">
        <f t="shared" si="9"/>
        <v>0</v>
      </c>
      <c r="AO122" s="35">
        <f t="shared" si="10"/>
        <v>1</v>
      </c>
      <c r="AP122" s="36">
        <f t="shared" si="11"/>
        <v>0</v>
      </c>
      <c r="AQ122" s="48">
        <f t="shared" si="12"/>
        <v>1</v>
      </c>
      <c r="AR122" s="37" t="s">
        <v>214</v>
      </c>
      <c r="AS122" s="38"/>
      <c r="AT122" s="39"/>
    </row>
    <row r="123" s="105" customFormat="1" ht="19.5" hidden="1" customHeight="1" spans="1:46">
      <c r="A123" s="68">
        <v>114</v>
      </c>
      <c r="B123" s="154" t="s">
        <v>154</v>
      </c>
      <c r="C123" s="164" t="s">
        <v>59</v>
      </c>
      <c r="D123" s="149" t="str">
        <f>VLOOKUP(B123,'[1]MASTER DATA 2025'!$C$3:$E$279,3,0)</f>
        <v>1Tahun2 Bulan</v>
      </c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113"/>
      <c r="AL123" s="151">
        <f t="shared" si="7"/>
        <v>0</v>
      </c>
      <c r="AM123" s="47">
        <f t="shared" si="8"/>
        <v>0</v>
      </c>
      <c r="AN123" s="35">
        <f t="shared" si="9"/>
        <v>0</v>
      </c>
      <c r="AO123" s="35">
        <f t="shared" si="10"/>
        <v>0</v>
      </c>
      <c r="AP123" s="36">
        <f t="shared" si="11"/>
        <v>0</v>
      </c>
      <c r="AQ123" s="48">
        <f t="shared" si="12"/>
        <v>0</v>
      </c>
      <c r="AR123" s="37" t="s">
        <v>25</v>
      </c>
      <c r="AS123" s="38">
        <v>26</v>
      </c>
      <c r="AT123" s="39">
        <f>AQ123/AS123</f>
        <v>0</v>
      </c>
    </row>
    <row r="124" s="105" customFormat="1" ht="19.5" hidden="1" customHeight="1" spans="1:46">
      <c r="A124" s="68">
        <v>115</v>
      </c>
      <c r="B124" s="154" t="s">
        <v>155</v>
      </c>
      <c r="C124" s="164" t="s">
        <v>59</v>
      </c>
      <c r="D124" s="149" t="s">
        <v>163</v>
      </c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 t="s">
        <v>12</v>
      </c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 t="s">
        <v>12</v>
      </c>
      <c r="AE124" s="62"/>
      <c r="AF124" s="62"/>
      <c r="AG124" s="62"/>
      <c r="AH124" s="62"/>
      <c r="AI124" s="62"/>
      <c r="AJ124" s="62"/>
      <c r="AK124" s="113"/>
      <c r="AL124" s="151">
        <f t="shared" si="7"/>
        <v>0</v>
      </c>
      <c r="AM124" s="35">
        <f t="shared" si="8"/>
        <v>0</v>
      </c>
      <c r="AN124" s="35">
        <f t="shared" si="9"/>
        <v>2</v>
      </c>
      <c r="AO124" s="35">
        <f t="shared" si="10"/>
        <v>0</v>
      </c>
      <c r="AP124" s="36">
        <f t="shared" si="11"/>
        <v>0</v>
      </c>
      <c r="AQ124" s="37">
        <f t="shared" si="12"/>
        <v>2</v>
      </c>
      <c r="AR124" s="37" t="s">
        <v>337</v>
      </c>
      <c r="AS124" s="38"/>
      <c r="AT124" s="39"/>
    </row>
    <row r="125" s="105" customFormat="1" ht="19.5" hidden="1" customHeight="1" spans="1:46">
      <c r="A125" s="68">
        <v>116</v>
      </c>
      <c r="B125" s="154" t="s">
        <v>157</v>
      </c>
      <c r="C125" s="164" t="s">
        <v>61</v>
      </c>
      <c r="D125" s="149" t="str">
        <f>VLOOKUP(B125,'[1]MASTER DATA 2025'!$C$3:$E$279,3,0)</f>
        <v>0Tahun1 Bulan</v>
      </c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113"/>
      <c r="AL125" s="151">
        <f t="shared" si="7"/>
        <v>0</v>
      </c>
      <c r="AM125" s="35">
        <f t="shared" si="8"/>
        <v>0</v>
      </c>
      <c r="AN125" s="35">
        <f t="shared" si="9"/>
        <v>0</v>
      </c>
      <c r="AO125" s="35">
        <f t="shared" si="10"/>
        <v>0</v>
      </c>
      <c r="AP125" s="36">
        <f t="shared" si="11"/>
        <v>0</v>
      </c>
      <c r="AQ125" s="37">
        <f t="shared" si="12"/>
        <v>0</v>
      </c>
      <c r="AR125" s="37" t="s">
        <v>228</v>
      </c>
      <c r="AS125" s="38"/>
      <c r="AT125" s="39"/>
    </row>
    <row r="126" s="105" customFormat="1" ht="19.5" hidden="1" customHeight="1" spans="1:46">
      <c r="A126" s="68">
        <v>117</v>
      </c>
      <c r="B126" s="154" t="s">
        <v>158</v>
      </c>
      <c r="C126" s="164" t="s">
        <v>20</v>
      </c>
      <c r="D126" s="149" t="str">
        <f>VLOOKUP(B126,'[1]MASTER DATA 2025'!$C$3:$E$279,3,0)</f>
        <v>0Tahun1 Bulan</v>
      </c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113"/>
      <c r="AL126" s="151">
        <f t="shared" si="7"/>
        <v>0</v>
      </c>
      <c r="AM126" s="35">
        <f t="shared" si="8"/>
        <v>0</v>
      </c>
      <c r="AN126" s="36">
        <f t="shared" si="9"/>
        <v>0</v>
      </c>
      <c r="AO126" s="35">
        <f t="shared" si="10"/>
        <v>0</v>
      </c>
      <c r="AP126" s="36">
        <f t="shared" si="11"/>
        <v>0</v>
      </c>
      <c r="AQ126" s="37">
        <f t="shared" si="12"/>
        <v>0</v>
      </c>
      <c r="AR126" s="37" t="s">
        <v>228</v>
      </c>
      <c r="AS126" s="38"/>
      <c r="AT126" s="39"/>
    </row>
    <row r="127" s="105" customFormat="1" ht="19.5" hidden="1" customHeight="1" spans="1:46">
      <c r="A127" s="68">
        <v>118</v>
      </c>
      <c r="B127" s="154" t="s">
        <v>159</v>
      </c>
      <c r="C127" s="164" t="s">
        <v>59</v>
      </c>
      <c r="D127" s="152" t="s">
        <v>153</v>
      </c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 t="s">
        <v>11</v>
      </c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 t="s">
        <v>13</v>
      </c>
      <c r="AE127" s="62"/>
      <c r="AF127" s="62"/>
      <c r="AG127" s="62"/>
      <c r="AH127" s="62"/>
      <c r="AI127" s="62"/>
      <c r="AJ127" s="62"/>
      <c r="AK127" s="113"/>
      <c r="AL127" s="151">
        <f t="shared" si="7"/>
        <v>0</v>
      </c>
      <c r="AM127" s="35">
        <f t="shared" si="8"/>
        <v>1</v>
      </c>
      <c r="AN127" s="36">
        <f t="shared" si="9"/>
        <v>0</v>
      </c>
      <c r="AO127" s="35">
        <f t="shared" si="10"/>
        <v>1</v>
      </c>
      <c r="AP127" s="36">
        <f t="shared" si="11"/>
        <v>0</v>
      </c>
      <c r="AQ127" s="37">
        <f t="shared" si="12"/>
        <v>2</v>
      </c>
      <c r="AR127" s="43" t="s">
        <v>171</v>
      </c>
      <c r="AS127" s="38"/>
      <c r="AT127" s="39"/>
    </row>
    <row r="128" s="105" customFormat="1" ht="19.5" hidden="1" customHeight="1" spans="1:46">
      <c r="A128" s="68">
        <v>119</v>
      </c>
      <c r="B128" s="154" t="s">
        <v>160</v>
      </c>
      <c r="C128" s="164" t="s">
        <v>20</v>
      </c>
      <c r="D128" s="149" t="str">
        <f>VLOOKUP(B128,'[1]MASTER DATA 2025'!$C$3:$E$279,3,0)</f>
        <v>0Tahun1 Bulan</v>
      </c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113"/>
      <c r="AL128" s="151">
        <f t="shared" si="7"/>
        <v>0</v>
      </c>
      <c r="AM128" s="47">
        <f t="shared" si="8"/>
        <v>0</v>
      </c>
      <c r="AN128" s="35">
        <f t="shared" si="9"/>
        <v>0</v>
      </c>
      <c r="AO128" s="35">
        <f t="shared" si="10"/>
        <v>0</v>
      </c>
      <c r="AP128" s="36">
        <f t="shared" si="11"/>
        <v>0</v>
      </c>
      <c r="AQ128" s="48">
        <f t="shared" si="12"/>
        <v>0</v>
      </c>
      <c r="AR128" s="37" t="s">
        <v>25</v>
      </c>
      <c r="AS128" s="38"/>
      <c r="AT128" s="39"/>
    </row>
    <row r="129" s="105" customFormat="1" ht="19.5" hidden="1" customHeight="1" spans="1:46">
      <c r="A129" s="68">
        <v>120</v>
      </c>
      <c r="B129" s="154" t="s">
        <v>161</v>
      </c>
      <c r="C129" s="164" t="s">
        <v>20</v>
      </c>
      <c r="D129" s="149" t="str">
        <f>VLOOKUP(B129,'[1]MASTER DATA 2025'!$C$3:$E$279,3,0)</f>
        <v>1Tahun2 Bulan</v>
      </c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113"/>
      <c r="AL129" s="151">
        <f t="shared" si="7"/>
        <v>0</v>
      </c>
      <c r="AM129" s="35">
        <f t="shared" si="8"/>
        <v>0</v>
      </c>
      <c r="AN129" s="35">
        <f t="shared" si="9"/>
        <v>0</v>
      </c>
      <c r="AO129" s="47">
        <f t="shared" si="10"/>
        <v>0</v>
      </c>
      <c r="AP129" s="36">
        <f t="shared" si="11"/>
        <v>0</v>
      </c>
      <c r="AQ129" s="48">
        <f t="shared" si="12"/>
        <v>0</v>
      </c>
      <c r="AR129" s="37" t="s">
        <v>175</v>
      </c>
      <c r="AS129" s="38"/>
      <c r="AT129" s="39"/>
    </row>
    <row r="130" s="105" customFormat="1" ht="19.5" hidden="1" customHeight="1" spans="1:46">
      <c r="A130" s="68">
        <v>121</v>
      </c>
      <c r="B130" s="154" t="s">
        <v>162</v>
      </c>
      <c r="C130" s="164" t="s">
        <v>20</v>
      </c>
      <c r="D130" s="149" t="s">
        <v>163</v>
      </c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113"/>
      <c r="AL130" s="151">
        <f t="shared" si="7"/>
        <v>0</v>
      </c>
      <c r="AM130" s="35">
        <f t="shared" si="8"/>
        <v>0</v>
      </c>
      <c r="AN130" s="35">
        <f t="shared" si="9"/>
        <v>0</v>
      </c>
      <c r="AO130" s="47">
        <f t="shared" si="10"/>
        <v>0</v>
      </c>
      <c r="AP130" s="36"/>
      <c r="AQ130" s="37">
        <f t="shared" si="12"/>
        <v>0</v>
      </c>
      <c r="AR130" s="38" t="s">
        <v>207</v>
      </c>
      <c r="AS130" s="38"/>
      <c r="AT130" s="39"/>
    </row>
    <row r="131" s="105" customFormat="1" ht="19.5" hidden="1" customHeight="1" spans="1:46">
      <c r="A131" s="68">
        <v>122</v>
      </c>
      <c r="B131" s="154" t="s">
        <v>164</v>
      </c>
      <c r="C131" s="164" t="s">
        <v>101</v>
      </c>
      <c r="D131" s="149" t="str">
        <f>VLOOKUP(B131,'[1]MASTER DATA 2025'!$C$3:$E$279,3,0)</f>
        <v>2Tahun0 Bulan</v>
      </c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113"/>
      <c r="AL131" s="151">
        <f t="shared" si="7"/>
        <v>0</v>
      </c>
      <c r="AM131" s="35">
        <f t="shared" si="8"/>
        <v>0</v>
      </c>
      <c r="AN131" s="35">
        <f t="shared" si="9"/>
        <v>0</v>
      </c>
      <c r="AO131" s="47">
        <f t="shared" si="10"/>
        <v>0</v>
      </c>
      <c r="AP131" s="36">
        <f t="shared" ref="AP131:AP186" si="17">COUNTIF(E131:AJ131,"OFF")</f>
        <v>0</v>
      </c>
      <c r="AQ131" s="48">
        <f t="shared" si="12"/>
        <v>0</v>
      </c>
      <c r="AR131" s="37" t="s">
        <v>25</v>
      </c>
      <c r="AS131" s="38"/>
      <c r="AT131" s="39"/>
    </row>
    <row r="132" s="105" customFormat="1" ht="19.5" hidden="1" customHeight="1" spans="1:46">
      <c r="A132" s="68">
        <v>123</v>
      </c>
      <c r="B132" s="154" t="s">
        <v>176</v>
      </c>
      <c r="C132" s="164" t="s">
        <v>20</v>
      </c>
      <c r="D132" s="149" t="str">
        <f>VLOOKUP(B132,'[1]MASTER DATA 2025'!$C$3:$E$279,3,0)</f>
        <v>0Tahun2 Bulan</v>
      </c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113"/>
      <c r="AL132" s="151">
        <f t="shared" si="7"/>
        <v>0</v>
      </c>
      <c r="AM132" s="35">
        <f t="shared" si="8"/>
        <v>0</v>
      </c>
      <c r="AN132" s="35">
        <f t="shared" si="9"/>
        <v>0</v>
      </c>
      <c r="AO132" s="47">
        <f t="shared" si="10"/>
        <v>0</v>
      </c>
      <c r="AP132" s="36">
        <f t="shared" si="17"/>
        <v>0</v>
      </c>
      <c r="AQ132" s="48">
        <f t="shared" si="12"/>
        <v>0</v>
      </c>
      <c r="AR132" s="37"/>
      <c r="AS132" s="38"/>
      <c r="AT132" s="39"/>
    </row>
    <row r="133" s="105" customFormat="1" ht="19.5" hidden="1" customHeight="1" spans="1:46">
      <c r="A133" s="68">
        <v>124</v>
      </c>
      <c r="B133" s="154" t="s">
        <v>177</v>
      </c>
      <c r="C133" s="164" t="s">
        <v>16</v>
      </c>
      <c r="D133" s="149" t="s">
        <v>178</v>
      </c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113"/>
      <c r="AL133" s="151">
        <f t="shared" si="7"/>
        <v>0</v>
      </c>
      <c r="AM133" s="35">
        <f t="shared" si="8"/>
        <v>0</v>
      </c>
      <c r="AN133" s="36">
        <f t="shared" si="9"/>
        <v>0</v>
      </c>
      <c r="AO133" s="35">
        <f t="shared" si="10"/>
        <v>0</v>
      </c>
      <c r="AP133" s="36">
        <f t="shared" si="17"/>
        <v>0</v>
      </c>
      <c r="AQ133" s="37">
        <f t="shared" si="12"/>
        <v>0</v>
      </c>
      <c r="AR133" s="37" t="s">
        <v>25</v>
      </c>
      <c r="AS133" s="38"/>
      <c r="AT133" s="39"/>
    </row>
    <row r="134" s="105" customFormat="1" ht="19.5" hidden="1" customHeight="1" spans="1:46">
      <c r="A134" s="68">
        <v>125</v>
      </c>
      <c r="B134" s="154" t="s">
        <v>179</v>
      </c>
      <c r="C134" s="164" t="s">
        <v>16</v>
      </c>
      <c r="D134" s="149" t="s">
        <v>112</v>
      </c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113"/>
      <c r="AL134" s="151">
        <f t="shared" si="7"/>
        <v>0</v>
      </c>
      <c r="AM134" s="35">
        <f t="shared" si="8"/>
        <v>0</v>
      </c>
      <c r="AN134" s="35">
        <f t="shared" si="9"/>
        <v>0</v>
      </c>
      <c r="AO134" s="47">
        <f t="shared" si="10"/>
        <v>0</v>
      </c>
      <c r="AP134" s="36">
        <f t="shared" si="17"/>
        <v>0</v>
      </c>
      <c r="AQ134" s="48">
        <f t="shared" si="12"/>
        <v>0</v>
      </c>
      <c r="AR134" s="37" t="s">
        <v>25</v>
      </c>
      <c r="AS134" s="38"/>
      <c r="AT134" s="39"/>
    </row>
    <row r="135" s="105" customFormat="1" ht="19.5" hidden="1" customHeight="1" spans="1:46">
      <c r="A135" s="68">
        <v>126</v>
      </c>
      <c r="B135" s="154" t="s">
        <v>158</v>
      </c>
      <c r="C135" s="164" t="s">
        <v>20</v>
      </c>
      <c r="D135" s="149" t="s">
        <v>180</v>
      </c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113"/>
      <c r="AL135" s="151">
        <f t="shared" si="7"/>
        <v>0</v>
      </c>
      <c r="AM135" s="35">
        <f t="shared" si="8"/>
        <v>0</v>
      </c>
      <c r="AN135" s="35">
        <f t="shared" si="9"/>
        <v>0</v>
      </c>
      <c r="AO135" s="47">
        <f t="shared" si="10"/>
        <v>0</v>
      </c>
      <c r="AP135" s="36">
        <f t="shared" si="17"/>
        <v>0</v>
      </c>
      <c r="AQ135" s="48">
        <f t="shared" si="12"/>
        <v>0</v>
      </c>
      <c r="AR135" s="37" t="s">
        <v>25</v>
      </c>
      <c r="AS135" s="38"/>
      <c r="AT135" s="39"/>
    </row>
    <row r="136" s="105" customFormat="1" ht="19.5" hidden="1" customHeight="1" spans="1:46">
      <c r="A136" s="68">
        <v>127</v>
      </c>
      <c r="B136" s="154" t="s">
        <v>181</v>
      </c>
      <c r="C136" s="165" t="s">
        <v>59</v>
      </c>
      <c r="D136" s="152" t="s">
        <v>308</v>
      </c>
      <c r="E136" s="62"/>
      <c r="F136" s="62"/>
      <c r="G136" s="62"/>
      <c r="H136" s="62"/>
      <c r="I136" s="62"/>
      <c r="J136" s="62"/>
      <c r="K136" s="62"/>
      <c r="L136" s="62"/>
      <c r="M136" s="62" t="s">
        <v>11</v>
      </c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 t="s">
        <v>12</v>
      </c>
      <c r="AC136" s="62"/>
      <c r="AD136" s="62"/>
      <c r="AE136" s="62"/>
      <c r="AF136" s="62"/>
      <c r="AG136" s="62"/>
      <c r="AH136" s="62"/>
      <c r="AI136" s="62"/>
      <c r="AJ136" s="62"/>
      <c r="AK136" s="113"/>
      <c r="AL136" s="151">
        <f t="shared" si="7"/>
        <v>0</v>
      </c>
      <c r="AM136" s="35">
        <f t="shared" si="8"/>
        <v>1</v>
      </c>
      <c r="AN136" s="36">
        <f t="shared" si="9"/>
        <v>1</v>
      </c>
      <c r="AO136" s="35">
        <f t="shared" si="10"/>
        <v>0</v>
      </c>
      <c r="AP136" s="36">
        <f t="shared" si="17"/>
        <v>0</v>
      </c>
      <c r="AQ136" s="37">
        <f t="shared" si="12"/>
        <v>2</v>
      </c>
      <c r="AR136" s="43" t="s">
        <v>336</v>
      </c>
      <c r="AS136" s="38"/>
      <c r="AT136" s="39"/>
    </row>
    <row r="137" s="105" customFormat="1" ht="19.5" hidden="1" customHeight="1" spans="1:46">
      <c r="A137" s="68">
        <v>128</v>
      </c>
      <c r="B137" s="154" t="s">
        <v>182</v>
      </c>
      <c r="C137" s="166" t="s">
        <v>59</v>
      </c>
      <c r="D137" s="152" t="s">
        <v>178</v>
      </c>
      <c r="E137" s="62"/>
      <c r="F137" s="62"/>
      <c r="G137" s="62"/>
      <c r="H137" s="62"/>
      <c r="I137" s="62"/>
      <c r="J137" s="62"/>
      <c r="K137" s="62"/>
      <c r="L137" s="62"/>
      <c r="M137" s="172"/>
      <c r="N137" s="172"/>
      <c r="O137" s="172"/>
      <c r="P137" s="172"/>
      <c r="Q137" s="17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113"/>
      <c r="AL137" s="151">
        <f t="shared" si="7"/>
        <v>0</v>
      </c>
      <c r="AM137" s="131">
        <f t="shared" si="8"/>
        <v>0</v>
      </c>
      <c r="AN137" s="103">
        <f t="shared" si="9"/>
        <v>0</v>
      </c>
      <c r="AO137" s="131">
        <f t="shared" si="10"/>
        <v>0</v>
      </c>
      <c r="AP137" s="103">
        <f t="shared" si="17"/>
        <v>0</v>
      </c>
      <c r="AQ137" s="128">
        <f t="shared" si="12"/>
        <v>0</v>
      </c>
      <c r="AR137" s="128" t="s">
        <v>25</v>
      </c>
      <c r="AS137" s="38"/>
      <c r="AT137" s="39"/>
    </row>
    <row r="138" s="105" customFormat="1" ht="19.5" hidden="1" customHeight="1" spans="1:46">
      <c r="A138" s="68">
        <v>129</v>
      </c>
      <c r="B138" s="154" t="s">
        <v>183</v>
      </c>
      <c r="C138" s="166" t="s">
        <v>16</v>
      </c>
      <c r="D138" s="149" t="s">
        <v>219</v>
      </c>
      <c r="E138" s="62"/>
      <c r="F138" s="62"/>
      <c r="G138" s="62"/>
      <c r="H138" s="62"/>
      <c r="I138" s="62"/>
      <c r="J138" s="62"/>
      <c r="K138" s="62"/>
      <c r="L138" s="236"/>
      <c r="M138" s="236"/>
      <c r="N138" s="236"/>
      <c r="O138" s="236"/>
      <c r="P138" s="180"/>
      <c r="Q138" s="180"/>
      <c r="R138" s="237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113"/>
      <c r="AL138" s="151">
        <f t="shared" si="7"/>
        <v>0</v>
      </c>
      <c r="AM138" s="43">
        <f t="shared" si="8"/>
        <v>0</v>
      </c>
      <c r="AN138" s="66">
        <f t="shared" si="9"/>
        <v>0</v>
      </c>
      <c r="AO138" s="43">
        <f t="shared" si="10"/>
        <v>0</v>
      </c>
      <c r="AP138" s="66">
        <f t="shared" si="17"/>
        <v>0</v>
      </c>
      <c r="AQ138" s="43">
        <f t="shared" si="12"/>
        <v>0</v>
      </c>
      <c r="AR138" s="43" t="s">
        <v>336</v>
      </c>
      <c r="AS138" s="68"/>
      <c r="AT138" s="39"/>
    </row>
    <row r="139" s="105" customFormat="1" ht="19.5" hidden="1" customHeight="1" spans="1:46">
      <c r="A139" s="68">
        <v>130</v>
      </c>
      <c r="B139" s="154" t="s">
        <v>184</v>
      </c>
      <c r="C139" s="166" t="s">
        <v>16</v>
      </c>
      <c r="D139" s="152" t="s">
        <v>180</v>
      </c>
      <c r="E139" s="62"/>
      <c r="F139" s="62"/>
      <c r="G139" s="62"/>
      <c r="H139" s="62"/>
      <c r="I139" s="62"/>
      <c r="J139" s="62"/>
      <c r="K139" s="62"/>
      <c r="L139" s="62"/>
      <c r="M139" s="238"/>
      <c r="N139" s="238"/>
      <c r="O139" s="238"/>
      <c r="P139" s="238"/>
      <c r="Q139" s="238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113"/>
      <c r="AL139" s="151">
        <f t="shared" si="7"/>
        <v>0</v>
      </c>
      <c r="AM139" s="35">
        <f t="shared" si="8"/>
        <v>0</v>
      </c>
      <c r="AN139" s="36">
        <f t="shared" si="9"/>
        <v>0</v>
      </c>
      <c r="AO139" s="35">
        <f t="shared" si="10"/>
        <v>0</v>
      </c>
      <c r="AP139" s="36">
        <f t="shared" si="17"/>
        <v>0</v>
      </c>
      <c r="AQ139" s="35">
        <f t="shared" si="12"/>
        <v>0</v>
      </c>
      <c r="AR139" s="35" t="s">
        <v>228</v>
      </c>
      <c r="AS139" s="38"/>
      <c r="AT139" s="39"/>
    </row>
    <row r="140" s="105" customFormat="1" ht="19.5" hidden="1" customHeight="1" spans="1:46">
      <c r="A140" s="68">
        <v>131</v>
      </c>
      <c r="B140" s="154" t="s">
        <v>185</v>
      </c>
      <c r="C140" s="166" t="s">
        <v>16</v>
      </c>
      <c r="D140" s="152" t="s">
        <v>205</v>
      </c>
      <c r="E140" s="62"/>
      <c r="F140" s="62"/>
      <c r="G140" s="62"/>
      <c r="H140" s="62"/>
      <c r="I140" s="62"/>
      <c r="J140" s="62"/>
      <c r="K140" s="62"/>
      <c r="L140" s="62" t="s">
        <v>11</v>
      </c>
      <c r="M140" s="62"/>
      <c r="N140" s="62"/>
      <c r="O140" s="62"/>
      <c r="P140" s="62"/>
      <c r="Q140" s="62"/>
      <c r="R140" s="62"/>
      <c r="S140" s="62"/>
      <c r="T140" s="62"/>
      <c r="U140" s="62" t="s">
        <v>11</v>
      </c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113"/>
      <c r="AL140" s="151">
        <f t="shared" ref="AL140:AL147" si="18">COUNTIF(E140:AJ140,"H")</f>
        <v>0</v>
      </c>
      <c r="AM140" s="35">
        <f t="shared" ref="AM140:AM186" si="19">COUNTIF(E140:AJ140,"S")</f>
        <v>2</v>
      </c>
      <c r="AN140" s="36">
        <f t="shared" ref="AN140:AN186" si="20">COUNTIF(E140:AJ140,"I")</f>
        <v>0</v>
      </c>
      <c r="AO140" s="35">
        <f t="shared" ref="AO140:AO186" si="21">COUNTIF(E140:AJ140,"A")</f>
        <v>0</v>
      </c>
      <c r="AP140" s="36">
        <f t="shared" si="17"/>
        <v>0</v>
      </c>
      <c r="AQ140" s="37">
        <f t="shared" ref="AQ140:AQ186" si="22">SUM(AL140:AO140)</f>
        <v>2</v>
      </c>
      <c r="AR140" s="43" t="s">
        <v>336</v>
      </c>
      <c r="AS140" s="38"/>
      <c r="AT140" s="39"/>
    </row>
    <row r="141" s="105" customFormat="1" ht="19.5" hidden="1" customHeight="1" spans="1:46">
      <c r="A141" s="68">
        <v>132</v>
      </c>
      <c r="B141" s="154" t="s">
        <v>186</v>
      </c>
      <c r="C141" s="166" t="s">
        <v>245</v>
      </c>
      <c r="D141" s="149" t="s">
        <v>112</v>
      </c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113"/>
      <c r="AL141" s="151">
        <f t="shared" si="18"/>
        <v>0</v>
      </c>
      <c r="AM141" s="35">
        <f t="shared" si="19"/>
        <v>0</v>
      </c>
      <c r="AN141" s="36">
        <f t="shared" si="20"/>
        <v>0</v>
      </c>
      <c r="AO141" s="35">
        <f t="shared" si="21"/>
        <v>0</v>
      </c>
      <c r="AP141" s="36">
        <f t="shared" si="17"/>
        <v>0</v>
      </c>
      <c r="AQ141" s="37">
        <f t="shared" si="22"/>
        <v>0</v>
      </c>
      <c r="AR141" s="37" t="s">
        <v>216</v>
      </c>
      <c r="AS141" s="38"/>
      <c r="AT141" s="39"/>
    </row>
    <row r="142" s="105" customFormat="1" ht="19.5" hidden="1" customHeight="1" spans="1:46">
      <c r="A142" s="68">
        <v>133</v>
      </c>
      <c r="B142" s="154" t="s">
        <v>187</v>
      </c>
      <c r="C142" s="166" t="s">
        <v>16</v>
      </c>
      <c r="D142" s="152" t="s">
        <v>163</v>
      </c>
      <c r="E142" s="62"/>
      <c r="F142" s="62"/>
      <c r="G142" s="62"/>
      <c r="H142" s="62"/>
      <c r="I142" s="62"/>
      <c r="J142" s="62"/>
      <c r="K142" s="62"/>
      <c r="L142" s="62"/>
      <c r="M142" s="62" t="s">
        <v>11</v>
      </c>
      <c r="N142" s="62"/>
      <c r="O142" s="62"/>
      <c r="P142" s="62"/>
      <c r="Q142" s="62"/>
      <c r="R142" s="62"/>
      <c r="S142" s="62"/>
      <c r="T142" s="62"/>
      <c r="U142" s="62" t="s">
        <v>13</v>
      </c>
      <c r="V142" s="62"/>
      <c r="W142" s="62"/>
      <c r="X142" s="62"/>
      <c r="Y142" s="62"/>
      <c r="Z142" s="62"/>
      <c r="AA142" s="62"/>
      <c r="AB142" s="62"/>
      <c r="AC142" s="62"/>
      <c r="AD142" s="62"/>
      <c r="AE142" s="62" t="s">
        <v>11</v>
      </c>
      <c r="AF142" s="62"/>
      <c r="AG142" s="62"/>
      <c r="AH142" s="62"/>
      <c r="AI142" s="62"/>
      <c r="AJ142" s="62"/>
      <c r="AK142" s="113"/>
      <c r="AL142" s="151">
        <f t="shared" si="18"/>
        <v>0</v>
      </c>
      <c r="AM142" s="35">
        <f t="shared" si="19"/>
        <v>2</v>
      </c>
      <c r="AN142" s="36">
        <f t="shared" si="20"/>
        <v>0</v>
      </c>
      <c r="AO142" s="35">
        <f t="shared" si="21"/>
        <v>1</v>
      </c>
      <c r="AP142" s="36">
        <f t="shared" si="17"/>
        <v>0</v>
      </c>
      <c r="AQ142" s="37">
        <f t="shared" si="22"/>
        <v>3</v>
      </c>
      <c r="AR142" s="43" t="s">
        <v>382</v>
      </c>
      <c r="AS142" s="38"/>
      <c r="AT142" s="39"/>
    </row>
    <row r="143" s="105" customFormat="1" ht="19.5" hidden="1" customHeight="1" spans="1:46">
      <c r="A143" s="68">
        <v>134</v>
      </c>
      <c r="B143" s="154" t="s">
        <v>188</v>
      </c>
      <c r="C143" s="166" t="s">
        <v>16</v>
      </c>
      <c r="D143" s="152" t="str">
        <f>VLOOKUP(B143,'[1]MASTER DATA 2025'!$C$3:$E$279,3,0)</f>
        <v>1Tahun5 Bulan</v>
      </c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113"/>
      <c r="AL143" s="151">
        <f t="shared" si="18"/>
        <v>0</v>
      </c>
      <c r="AM143" s="35">
        <f t="shared" si="19"/>
        <v>0</v>
      </c>
      <c r="AN143" s="36">
        <f t="shared" si="20"/>
        <v>0</v>
      </c>
      <c r="AO143" s="35">
        <f t="shared" si="21"/>
        <v>0</v>
      </c>
      <c r="AP143" s="36">
        <f t="shared" si="17"/>
        <v>0</v>
      </c>
      <c r="AQ143" s="37">
        <f t="shared" si="22"/>
        <v>0</v>
      </c>
      <c r="AR143" s="37"/>
      <c r="AS143" s="38"/>
      <c r="AT143" s="39"/>
    </row>
    <row r="144" s="105" customFormat="1" ht="19.5" hidden="1" customHeight="1" spans="1:46">
      <c r="A144" s="68">
        <v>135</v>
      </c>
      <c r="B144" s="154" t="s">
        <v>189</v>
      </c>
      <c r="C144" s="166" t="s">
        <v>16</v>
      </c>
      <c r="D144" s="152" t="s">
        <v>178</v>
      </c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113"/>
      <c r="AL144" s="151">
        <f t="shared" si="18"/>
        <v>0</v>
      </c>
      <c r="AM144" s="35">
        <f t="shared" si="19"/>
        <v>0</v>
      </c>
      <c r="AN144" s="36">
        <f t="shared" si="20"/>
        <v>0</v>
      </c>
      <c r="AO144" s="35">
        <f t="shared" si="21"/>
        <v>0</v>
      </c>
      <c r="AP144" s="36">
        <f t="shared" si="17"/>
        <v>0</v>
      </c>
      <c r="AQ144" s="37">
        <f t="shared" si="22"/>
        <v>0</v>
      </c>
      <c r="AR144" s="37" t="s">
        <v>25</v>
      </c>
      <c r="AS144" s="38"/>
      <c r="AT144" s="39"/>
    </row>
    <row r="145" s="105" customFormat="1" ht="19.5" hidden="1" customHeight="1" spans="1:46">
      <c r="A145" s="68">
        <v>136</v>
      </c>
      <c r="B145" s="154" t="s">
        <v>190</v>
      </c>
      <c r="C145" s="166" t="s">
        <v>16</v>
      </c>
      <c r="D145" s="152" t="s">
        <v>180</v>
      </c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113"/>
      <c r="AL145" s="151">
        <f t="shared" si="18"/>
        <v>0</v>
      </c>
      <c r="AM145" s="35">
        <f t="shared" si="19"/>
        <v>0</v>
      </c>
      <c r="AN145" s="36">
        <f t="shared" si="20"/>
        <v>0</v>
      </c>
      <c r="AO145" s="35">
        <f t="shared" si="21"/>
        <v>0</v>
      </c>
      <c r="AP145" s="36">
        <f t="shared" si="17"/>
        <v>0</v>
      </c>
      <c r="AQ145" s="37">
        <f t="shared" si="22"/>
        <v>0</v>
      </c>
      <c r="AR145" s="37" t="s">
        <v>214</v>
      </c>
      <c r="AS145" s="38"/>
      <c r="AT145" s="39"/>
    </row>
    <row r="146" s="105" customFormat="1" ht="19.5" hidden="1" customHeight="1" spans="1:46">
      <c r="A146" s="68">
        <v>137</v>
      </c>
      <c r="B146" s="154" t="s">
        <v>191</v>
      </c>
      <c r="C146" s="150" t="s">
        <v>16</v>
      </c>
      <c r="D146" s="152" t="s">
        <v>178</v>
      </c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113"/>
      <c r="AL146" s="151">
        <f t="shared" si="18"/>
        <v>0</v>
      </c>
      <c r="AM146" s="35">
        <f t="shared" si="19"/>
        <v>0</v>
      </c>
      <c r="AN146" s="35">
        <f t="shared" si="20"/>
        <v>0</v>
      </c>
      <c r="AO146" s="36">
        <f t="shared" si="21"/>
        <v>0</v>
      </c>
      <c r="AP146" s="36">
        <f t="shared" si="17"/>
        <v>0</v>
      </c>
      <c r="AQ146" s="37">
        <f t="shared" si="22"/>
        <v>0</v>
      </c>
      <c r="AR146" s="37" t="s">
        <v>192</v>
      </c>
      <c r="AS146" s="38">
        <v>16</v>
      </c>
      <c r="AT146" s="39">
        <f>AQ146/AS146</f>
        <v>0</v>
      </c>
    </row>
    <row r="147" s="105" customFormat="1" ht="19.5" hidden="1" customHeight="1" spans="1:46">
      <c r="A147" s="68"/>
      <c r="B147" s="154" t="s">
        <v>247</v>
      </c>
      <c r="C147" s="150" t="s">
        <v>16</v>
      </c>
      <c r="D147" s="149" t="s">
        <v>196</v>
      </c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 t="s">
        <v>11</v>
      </c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113"/>
      <c r="AL147" s="151">
        <f t="shared" si="18"/>
        <v>0</v>
      </c>
      <c r="AM147" s="35">
        <f t="shared" si="19"/>
        <v>1</v>
      </c>
      <c r="AN147" s="36">
        <f t="shared" si="20"/>
        <v>0</v>
      </c>
      <c r="AO147" s="35">
        <f t="shared" si="21"/>
        <v>0</v>
      </c>
      <c r="AP147" s="36">
        <f t="shared" si="17"/>
        <v>0</v>
      </c>
      <c r="AQ147" s="37">
        <f t="shared" si="22"/>
        <v>1</v>
      </c>
      <c r="AR147" s="43" t="s">
        <v>336</v>
      </c>
      <c r="AS147" s="38"/>
      <c r="AT147" s="39"/>
    </row>
    <row r="148" s="105" customFormat="1" ht="19.5" hidden="1" customHeight="1" spans="1:46">
      <c r="A148" s="68"/>
      <c r="B148" s="154" t="s">
        <v>248</v>
      </c>
      <c r="C148" s="150" t="s">
        <v>16</v>
      </c>
      <c r="D148" s="152" t="s">
        <v>178</v>
      </c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113"/>
      <c r="AL148" s="151"/>
      <c r="AM148" s="35">
        <f t="shared" si="19"/>
        <v>0</v>
      </c>
      <c r="AN148" s="36">
        <f t="shared" si="20"/>
        <v>0</v>
      </c>
      <c r="AO148" s="35">
        <f t="shared" si="21"/>
        <v>0</v>
      </c>
      <c r="AP148" s="36">
        <f t="shared" si="17"/>
        <v>0</v>
      </c>
      <c r="AQ148" s="37">
        <f t="shared" si="22"/>
        <v>0</v>
      </c>
      <c r="AR148" s="37"/>
      <c r="AS148" s="38"/>
      <c r="AT148" s="39"/>
    </row>
    <row r="149" s="105" customFormat="1" ht="19.5" hidden="1" customHeight="1" spans="1:46">
      <c r="A149" s="68"/>
      <c r="B149" s="154" t="s">
        <v>249</v>
      </c>
      <c r="C149" s="150" t="s">
        <v>16</v>
      </c>
      <c r="D149" s="152" t="s">
        <v>250</v>
      </c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113"/>
      <c r="AL149" s="151"/>
      <c r="AM149" s="35">
        <f t="shared" si="19"/>
        <v>0</v>
      </c>
      <c r="AN149" s="36">
        <f t="shared" si="20"/>
        <v>0</v>
      </c>
      <c r="AO149" s="35">
        <f t="shared" si="21"/>
        <v>0</v>
      </c>
      <c r="AP149" s="36">
        <f t="shared" si="17"/>
        <v>0</v>
      </c>
      <c r="AQ149" s="37">
        <f t="shared" si="22"/>
        <v>0</v>
      </c>
      <c r="AR149" s="37"/>
      <c r="AS149" s="38"/>
      <c r="AT149" s="39"/>
    </row>
    <row r="150" s="105" customFormat="1" ht="19.5" hidden="1" customHeight="1" spans="1:46">
      <c r="A150" s="68"/>
      <c r="B150" s="154" t="s">
        <v>396</v>
      </c>
      <c r="C150" s="150" t="s">
        <v>16</v>
      </c>
      <c r="D150" s="152" t="s">
        <v>178</v>
      </c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 t="s">
        <v>11</v>
      </c>
      <c r="AK150" s="113"/>
      <c r="AL150" s="151"/>
      <c r="AM150" s="35">
        <f t="shared" si="19"/>
        <v>1</v>
      </c>
      <c r="AN150" s="36">
        <f t="shared" si="20"/>
        <v>0</v>
      </c>
      <c r="AO150" s="35">
        <f t="shared" si="21"/>
        <v>0</v>
      </c>
      <c r="AP150" s="36">
        <f t="shared" si="17"/>
        <v>0</v>
      </c>
      <c r="AQ150" s="37">
        <f t="shared" si="22"/>
        <v>1</v>
      </c>
      <c r="AR150" s="37" t="s">
        <v>198</v>
      </c>
      <c r="AS150" s="38"/>
      <c r="AT150" s="39"/>
    </row>
    <row r="151" s="105" customFormat="1" ht="19.5" hidden="1" customHeight="1" spans="1:46">
      <c r="A151" s="68"/>
      <c r="B151" s="154" t="s">
        <v>253</v>
      </c>
      <c r="C151" s="150" t="s">
        <v>16</v>
      </c>
      <c r="D151" s="152" t="s">
        <v>205</v>
      </c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 t="s">
        <v>12</v>
      </c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 t="s">
        <v>11</v>
      </c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113"/>
      <c r="AL151" s="151"/>
      <c r="AM151" s="35">
        <f t="shared" si="19"/>
        <v>1</v>
      </c>
      <c r="AN151" s="36">
        <f t="shared" si="20"/>
        <v>1</v>
      </c>
      <c r="AO151" s="35">
        <f t="shared" si="21"/>
        <v>0</v>
      </c>
      <c r="AP151" s="36">
        <f t="shared" si="17"/>
        <v>0</v>
      </c>
      <c r="AQ151" s="37">
        <f t="shared" si="22"/>
        <v>2</v>
      </c>
      <c r="AR151" s="43" t="s">
        <v>382</v>
      </c>
      <c r="AS151" s="38"/>
      <c r="AT151" s="39"/>
    </row>
    <row r="152" s="105" customFormat="1" ht="19.5" hidden="1" customHeight="1" spans="1:46">
      <c r="A152" s="68"/>
      <c r="B152" s="154" t="s">
        <v>255</v>
      </c>
      <c r="C152" s="150" t="s">
        <v>165</v>
      </c>
      <c r="D152" s="152" t="s">
        <v>238</v>
      </c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113"/>
      <c r="AL152" s="151"/>
      <c r="AM152" s="35">
        <f t="shared" si="19"/>
        <v>0</v>
      </c>
      <c r="AN152" s="36">
        <f t="shared" si="20"/>
        <v>0</v>
      </c>
      <c r="AO152" s="35">
        <f t="shared" si="21"/>
        <v>0</v>
      </c>
      <c r="AP152" s="36">
        <f t="shared" si="17"/>
        <v>0</v>
      </c>
      <c r="AQ152" s="37">
        <f t="shared" si="22"/>
        <v>0</v>
      </c>
      <c r="AR152" s="38"/>
      <c r="AS152" s="38"/>
      <c r="AT152" s="39"/>
    </row>
    <row r="153" s="105" customFormat="1" ht="19.5" hidden="1" customHeight="1" spans="1:46">
      <c r="A153" s="68"/>
      <c r="B153" s="154" t="s">
        <v>397</v>
      </c>
      <c r="C153" s="167" t="s">
        <v>59</v>
      </c>
      <c r="D153" s="162" t="s">
        <v>178</v>
      </c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 t="s">
        <v>11</v>
      </c>
      <c r="AE153" s="62"/>
      <c r="AF153" s="62"/>
      <c r="AG153" s="62"/>
      <c r="AH153" s="62"/>
      <c r="AI153" s="62"/>
      <c r="AJ153" s="62"/>
      <c r="AK153" s="113"/>
      <c r="AL153" s="151"/>
      <c r="AM153" s="35">
        <f t="shared" si="19"/>
        <v>1</v>
      </c>
      <c r="AN153" s="36">
        <f t="shared" si="20"/>
        <v>0</v>
      </c>
      <c r="AO153" s="35">
        <f t="shared" si="21"/>
        <v>0</v>
      </c>
      <c r="AP153" s="36">
        <f t="shared" si="17"/>
        <v>0</v>
      </c>
      <c r="AQ153" s="37">
        <f t="shared" si="22"/>
        <v>1</v>
      </c>
      <c r="AR153" s="43" t="s">
        <v>398</v>
      </c>
      <c r="AS153" s="38"/>
      <c r="AT153" s="39"/>
    </row>
    <row r="154" s="105" customFormat="1" ht="20.15" hidden="1" customHeight="1" spans="1:46">
      <c r="A154" s="68"/>
      <c r="B154" s="154" t="s">
        <v>258</v>
      </c>
      <c r="C154" s="167" t="s">
        <v>59</v>
      </c>
      <c r="D154" s="152" t="s">
        <v>215</v>
      </c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113"/>
      <c r="AL154" s="151"/>
      <c r="AM154" s="35">
        <f t="shared" si="19"/>
        <v>0</v>
      </c>
      <c r="AN154" s="36">
        <f t="shared" si="20"/>
        <v>0</v>
      </c>
      <c r="AO154" s="35">
        <f t="shared" si="21"/>
        <v>0</v>
      </c>
      <c r="AP154" s="36">
        <f t="shared" si="17"/>
        <v>0</v>
      </c>
      <c r="AQ154" s="37">
        <f t="shared" si="22"/>
        <v>0</v>
      </c>
      <c r="AR154" s="37" t="s">
        <v>228</v>
      </c>
      <c r="AS154" s="38"/>
      <c r="AT154" s="39"/>
    </row>
    <row r="155" s="105" customFormat="1" ht="20.15" hidden="1" customHeight="1" spans="1:46">
      <c r="A155" s="68"/>
      <c r="B155" s="154" t="s">
        <v>259</v>
      </c>
      <c r="C155" s="167" t="s">
        <v>260</v>
      </c>
      <c r="D155" s="149" t="s">
        <v>163</v>
      </c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 t="s">
        <v>11</v>
      </c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113"/>
      <c r="AL155" s="151"/>
      <c r="AM155" s="35">
        <f t="shared" si="19"/>
        <v>1</v>
      </c>
      <c r="AN155" s="36">
        <f t="shared" si="20"/>
        <v>0</v>
      </c>
      <c r="AO155" s="35">
        <f t="shared" si="21"/>
        <v>0</v>
      </c>
      <c r="AP155" s="36">
        <f t="shared" si="17"/>
        <v>0</v>
      </c>
      <c r="AQ155" s="37">
        <f t="shared" si="22"/>
        <v>1</v>
      </c>
      <c r="AR155" s="43" t="s">
        <v>336</v>
      </c>
      <c r="AS155" s="38"/>
      <c r="AT155" s="39"/>
    </row>
    <row r="156" s="105" customFormat="1" ht="20.15" hidden="1" customHeight="1" spans="1:46">
      <c r="A156" s="68"/>
      <c r="B156" s="154" t="s">
        <v>262</v>
      </c>
      <c r="C156" s="167" t="s">
        <v>263</v>
      </c>
      <c r="D156" s="152" t="s">
        <v>180</v>
      </c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113"/>
      <c r="AL156" s="151"/>
      <c r="AM156" s="35">
        <f t="shared" si="19"/>
        <v>0</v>
      </c>
      <c r="AN156" s="36">
        <f t="shared" si="20"/>
        <v>0</v>
      </c>
      <c r="AO156" s="35">
        <f t="shared" si="21"/>
        <v>0</v>
      </c>
      <c r="AP156" s="36">
        <f t="shared" si="17"/>
        <v>0</v>
      </c>
      <c r="AQ156" s="37">
        <f t="shared" si="22"/>
        <v>0</v>
      </c>
      <c r="AR156" s="38" t="s">
        <v>282</v>
      </c>
      <c r="AS156" s="38"/>
      <c r="AT156" s="39"/>
    </row>
    <row r="157" s="105" customFormat="1" ht="20.15" hidden="1" customHeight="1" spans="1:46">
      <c r="A157" s="68"/>
      <c r="B157" s="154" t="s">
        <v>283</v>
      </c>
      <c r="C157" s="150" t="s">
        <v>16</v>
      </c>
      <c r="D157" s="152" t="s">
        <v>346</v>
      </c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113"/>
      <c r="AL157" s="151"/>
      <c r="AM157" s="35">
        <f t="shared" si="19"/>
        <v>0</v>
      </c>
      <c r="AN157" s="36">
        <f t="shared" si="20"/>
        <v>0</v>
      </c>
      <c r="AO157" s="35">
        <f t="shared" si="21"/>
        <v>0</v>
      </c>
      <c r="AP157" s="36">
        <f t="shared" si="17"/>
        <v>0</v>
      </c>
      <c r="AQ157" s="37">
        <f t="shared" si="22"/>
        <v>0</v>
      </c>
      <c r="AR157" s="38"/>
      <c r="AS157" s="38"/>
      <c r="AT157" s="39"/>
    </row>
    <row r="158" s="105" customFormat="1" ht="20.15" hidden="1" customHeight="1" spans="1:46">
      <c r="A158" s="68"/>
      <c r="B158" s="154" t="s">
        <v>284</v>
      </c>
      <c r="C158" s="167" t="s">
        <v>285</v>
      </c>
      <c r="D158" s="152" t="s">
        <v>178</v>
      </c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113"/>
      <c r="AL158" s="151"/>
      <c r="AM158" s="35">
        <f t="shared" si="19"/>
        <v>0</v>
      </c>
      <c r="AN158" s="36">
        <f t="shared" si="20"/>
        <v>0</v>
      </c>
      <c r="AO158" s="35">
        <f t="shared" si="21"/>
        <v>0</v>
      </c>
      <c r="AP158" s="36">
        <f t="shared" si="17"/>
        <v>0</v>
      </c>
      <c r="AQ158" s="37">
        <f t="shared" si="22"/>
        <v>0</v>
      </c>
      <c r="AR158" s="130" t="s">
        <v>171</v>
      </c>
      <c r="AS158" s="38"/>
      <c r="AT158" s="39"/>
    </row>
    <row r="159" s="105" customFormat="1" ht="20.15" hidden="1" customHeight="1" spans="1:46">
      <c r="A159" s="68"/>
      <c r="B159" s="154" t="s">
        <v>286</v>
      </c>
      <c r="C159" s="150" t="s">
        <v>16</v>
      </c>
      <c r="D159" s="152" t="s">
        <v>205</v>
      </c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 t="s">
        <v>11</v>
      </c>
      <c r="AJ159" s="62"/>
      <c r="AK159" s="113"/>
      <c r="AL159" s="151"/>
      <c r="AM159" s="35">
        <f t="shared" si="19"/>
        <v>1</v>
      </c>
      <c r="AN159" s="36">
        <f t="shared" si="20"/>
        <v>0</v>
      </c>
      <c r="AO159" s="35">
        <f t="shared" si="21"/>
        <v>0</v>
      </c>
      <c r="AP159" s="36">
        <f t="shared" si="17"/>
        <v>0</v>
      </c>
      <c r="AQ159" s="37">
        <f t="shared" si="22"/>
        <v>1</v>
      </c>
      <c r="AR159" s="43" t="s">
        <v>193</v>
      </c>
      <c r="AS159" s="38"/>
      <c r="AT159" s="39"/>
    </row>
    <row r="160" s="105" customFormat="1" ht="20.15" hidden="1" customHeight="1" spans="1:46">
      <c r="A160" s="68"/>
      <c r="B160" s="154" t="s">
        <v>287</v>
      </c>
      <c r="C160" s="166" t="s">
        <v>16</v>
      </c>
      <c r="D160" s="149" t="s">
        <v>288</v>
      </c>
      <c r="E160" s="62"/>
      <c r="F160" s="62"/>
      <c r="G160" s="62"/>
      <c r="H160" s="62"/>
      <c r="I160" s="62" t="s">
        <v>103</v>
      </c>
      <c r="J160" s="62" t="s">
        <v>103</v>
      </c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113"/>
      <c r="AL160" s="96"/>
      <c r="AM160" s="35">
        <f t="shared" si="19"/>
        <v>0</v>
      </c>
      <c r="AN160" s="36">
        <f t="shared" si="20"/>
        <v>2</v>
      </c>
      <c r="AO160" s="35">
        <f t="shared" si="21"/>
        <v>0</v>
      </c>
      <c r="AP160" s="36">
        <f t="shared" si="17"/>
        <v>0</v>
      </c>
      <c r="AQ160" s="37">
        <f t="shared" si="22"/>
        <v>2</v>
      </c>
      <c r="AR160" s="43" t="s">
        <v>399</v>
      </c>
      <c r="AS160" s="96"/>
      <c r="AT160" s="39"/>
    </row>
    <row r="161" s="105" customFormat="1" ht="20.15" hidden="1" customHeight="1" spans="1:46">
      <c r="A161" s="68"/>
      <c r="B161" s="154" t="s">
        <v>289</v>
      </c>
      <c r="C161" s="150" t="s">
        <v>16</v>
      </c>
      <c r="D161" s="152" t="s">
        <v>231</v>
      </c>
      <c r="E161" s="62"/>
      <c r="F161" s="62"/>
      <c r="G161" s="62"/>
      <c r="H161" s="62"/>
      <c r="I161" s="62"/>
      <c r="J161" s="62"/>
      <c r="K161" s="62"/>
      <c r="L161" s="62" t="s">
        <v>11</v>
      </c>
      <c r="M161" s="62"/>
      <c r="N161" s="62"/>
      <c r="O161" s="62" t="s">
        <v>11</v>
      </c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113"/>
      <c r="AL161" s="96"/>
      <c r="AM161" s="35">
        <f t="shared" si="19"/>
        <v>2</v>
      </c>
      <c r="AN161" s="36">
        <f t="shared" si="20"/>
        <v>0</v>
      </c>
      <c r="AO161" s="35">
        <f t="shared" si="21"/>
        <v>0</v>
      </c>
      <c r="AP161" s="36">
        <f t="shared" si="17"/>
        <v>0</v>
      </c>
      <c r="AQ161" s="37">
        <f t="shared" si="22"/>
        <v>2</v>
      </c>
      <c r="AR161" s="43" t="s">
        <v>336</v>
      </c>
      <c r="AS161" s="96"/>
      <c r="AT161" s="39"/>
    </row>
    <row r="162" s="105" customFormat="1" ht="20.15" hidden="1" customHeight="1" spans="1:46">
      <c r="A162" s="68"/>
      <c r="B162" s="154" t="s">
        <v>290</v>
      </c>
      <c r="C162" s="150" t="s">
        <v>16</v>
      </c>
      <c r="D162" s="152" t="s">
        <v>236</v>
      </c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113"/>
      <c r="AL162" s="151"/>
      <c r="AM162" s="35">
        <f t="shared" si="19"/>
        <v>0</v>
      </c>
      <c r="AN162" s="36">
        <f t="shared" si="20"/>
        <v>0</v>
      </c>
      <c r="AO162" s="35">
        <f t="shared" si="21"/>
        <v>0</v>
      </c>
      <c r="AP162" s="36">
        <f t="shared" si="17"/>
        <v>0</v>
      </c>
      <c r="AQ162" s="37">
        <f t="shared" si="22"/>
        <v>0</v>
      </c>
      <c r="AR162" s="43" t="s">
        <v>336</v>
      </c>
      <c r="AS162" s="38"/>
      <c r="AT162" s="39"/>
    </row>
    <row r="163" s="105" customFormat="1" ht="20.15" hidden="1" customHeight="1" spans="1:46">
      <c r="A163" s="68"/>
      <c r="B163" s="154" t="s">
        <v>291</v>
      </c>
      <c r="C163" s="167" t="s">
        <v>108</v>
      </c>
      <c r="D163" s="152" t="s">
        <v>153</v>
      </c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113"/>
      <c r="AL163" s="151">
        <f>COUNTIF(E163:AJ163,"H")</f>
        <v>0</v>
      </c>
      <c r="AM163" s="47">
        <f t="shared" si="19"/>
        <v>0</v>
      </c>
      <c r="AN163" s="35">
        <f t="shared" si="20"/>
        <v>0</v>
      </c>
      <c r="AO163" s="35">
        <f t="shared" si="21"/>
        <v>0</v>
      </c>
      <c r="AP163" s="36">
        <f t="shared" si="17"/>
        <v>0</v>
      </c>
      <c r="AQ163" s="48">
        <f t="shared" si="22"/>
        <v>0</v>
      </c>
      <c r="AR163" s="43" t="s">
        <v>336</v>
      </c>
      <c r="AS163" s="38">
        <v>26</v>
      </c>
      <c r="AT163" s="39">
        <f>AQ163/AS163</f>
        <v>0</v>
      </c>
    </row>
    <row r="164" ht="20.15" hidden="1" customHeight="1" spans="1:46">
      <c r="A164" s="97"/>
      <c r="B164" s="154" t="s">
        <v>292</v>
      </c>
      <c r="C164" s="166" t="s">
        <v>16</v>
      </c>
      <c r="D164" s="152" t="s">
        <v>112</v>
      </c>
      <c r="E164" s="168"/>
      <c r="F164" s="168"/>
      <c r="G164" s="62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62"/>
      <c r="Z164" s="62"/>
      <c r="AA164" s="62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13"/>
      <c r="AM164" s="131">
        <f t="shared" si="19"/>
        <v>0</v>
      </c>
      <c r="AN164" s="103">
        <f t="shared" si="20"/>
        <v>0</v>
      </c>
      <c r="AO164" s="131">
        <f t="shared" si="21"/>
        <v>0</v>
      </c>
      <c r="AP164" s="36">
        <f t="shared" si="17"/>
        <v>0</v>
      </c>
      <c r="AQ164" s="128">
        <f t="shared" si="22"/>
        <v>0</v>
      </c>
      <c r="AR164" s="128" t="s">
        <v>305</v>
      </c>
      <c r="AS164" s="97"/>
      <c r="AT164" s="97"/>
    </row>
    <row r="165" ht="20.15" customHeight="1" spans="1:46">
      <c r="A165" s="97"/>
      <c r="B165" s="154" t="s">
        <v>293</v>
      </c>
      <c r="C165" s="170" t="s">
        <v>16</v>
      </c>
      <c r="D165" s="171" t="s">
        <v>238</v>
      </c>
      <c r="E165" s="239"/>
      <c r="F165" s="239"/>
      <c r="G165" s="239"/>
      <c r="H165" s="172"/>
      <c r="I165" s="172" t="s">
        <v>103</v>
      </c>
      <c r="J165" s="239"/>
      <c r="K165" s="239"/>
      <c r="L165" s="239"/>
      <c r="M165" s="239"/>
      <c r="N165" s="239"/>
      <c r="O165" s="239"/>
      <c r="P165" s="239"/>
      <c r="Q165" s="239"/>
      <c r="R165" s="239"/>
      <c r="S165" s="180" t="s">
        <v>11</v>
      </c>
      <c r="T165" s="239"/>
      <c r="U165" s="239"/>
      <c r="V165" s="239"/>
      <c r="W165" s="239"/>
      <c r="X165" s="239"/>
      <c r="Y165" s="239"/>
      <c r="Z165" s="172"/>
      <c r="AA165" s="172"/>
      <c r="AB165" s="239"/>
      <c r="AC165" s="180" t="s">
        <v>11</v>
      </c>
      <c r="AD165" s="239"/>
      <c r="AE165" s="239"/>
      <c r="AF165" s="239"/>
      <c r="AG165" s="239"/>
      <c r="AH165" s="172" t="s">
        <v>11</v>
      </c>
      <c r="AI165" s="172"/>
      <c r="AJ165" s="239"/>
      <c r="AK165" s="113"/>
      <c r="AM165" s="173">
        <f t="shared" si="19"/>
        <v>3</v>
      </c>
      <c r="AN165" s="174">
        <f t="shared" si="20"/>
        <v>1</v>
      </c>
      <c r="AO165" s="175">
        <f t="shared" si="21"/>
        <v>0</v>
      </c>
      <c r="AP165" s="105">
        <f t="shared" si="17"/>
        <v>0</v>
      </c>
      <c r="AQ165" s="173">
        <f t="shared" si="22"/>
        <v>4</v>
      </c>
      <c r="AR165" s="43" t="s">
        <v>193</v>
      </c>
      <c r="AS165" s="99"/>
      <c r="AT165" s="99"/>
    </row>
    <row r="166" s="105" customFormat="1" ht="20.15" hidden="1" customHeight="1" spans="1:46">
      <c r="A166" s="101"/>
      <c r="B166" s="154" t="s">
        <v>294</v>
      </c>
      <c r="C166" s="149" t="s">
        <v>16</v>
      </c>
      <c r="D166" s="149" t="s">
        <v>238</v>
      </c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 t="s">
        <v>13</v>
      </c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113"/>
      <c r="AL166" s="151">
        <f>COUNTIF(E166:AJ166,"H")</f>
        <v>0</v>
      </c>
      <c r="AM166" s="43">
        <f t="shared" si="19"/>
        <v>0</v>
      </c>
      <c r="AN166" s="43">
        <f t="shared" si="20"/>
        <v>0</v>
      </c>
      <c r="AO166" s="176">
        <f t="shared" si="21"/>
        <v>1</v>
      </c>
      <c r="AP166" s="66">
        <f t="shared" si="17"/>
        <v>0</v>
      </c>
      <c r="AQ166" s="43">
        <f t="shared" si="22"/>
        <v>1</v>
      </c>
      <c r="AR166" s="43"/>
      <c r="AS166" s="101"/>
      <c r="AT166" s="102"/>
    </row>
    <row r="167" s="105" customFormat="1" ht="20.15" hidden="1" customHeight="1" spans="1:46">
      <c r="A167" s="66"/>
      <c r="B167" s="154" t="s">
        <v>295</v>
      </c>
      <c r="C167" s="177" t="s">
        <v>296</v>
      </c>
      <c r="D167" s="177" t="s">
        <v>215</v>
      </c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 t="s">
        <v>11</v>
      </c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8"/>
      <c r="AI167" s="178"/>
      <c r="AJ167" s="178"/>
      <c r="AK167" s="113"/>
      <c r="AL167" s="179"/>
      <c r="AM167" s="131">
        <f t="shared" si="19"/>
        <v>1</v>
      </c>
      <c r="AN167" s="103">
        <f t="shared" si="20"/>
        <v>0</v>
      </c>
      <c r="AO167" s="131">
        <f t="shared" si="21"/>
        <v>0</v>
      </c>
      <c r="AP167" s="103">
        <f t="shared" si="17"/>
        <v>0</v>
      </c>
      <c r="AQ167" s="131">
        <f t="shared" si="22"/>
        <v>1</v>
      </c>
      <c r="AR167" s="43" t="s">
        <v>336</v>
      </c>
      <c r="AS167" s="101"/>
      <c r="AT167" s="102"/>
    </row>
    <row r="168" s="105" customFormat="1" ht="20.15" hidden="1" customHeight="1" spans="1:46">
      <c r="A168" s="112"/>
      <c r="B168" s="154" t="s">
        <v>297</v>
      </c>
      <c r="C168" s="164" t="s">
        <v>111</v>
      </c>
      <c r="D168" s="152" t="s">
        <v>298</v>
      </c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13"/>
      <c r="AL168" s="151">
        <f>COUNTIF(E168:AJ168,"H")</f>
        <v>0</v>
      </c>
      <c r="AM168" s="47">
        <f t="shared" si="19"/>
        <v>0</v>
      </c>
      <c r="AN168" s="35">
        <f t="shared" si="20"/>
        <v>0</v>
      </c>
      <c r="AO168" s="35">
        <f t="shared" si="21"/>
        <v>0</v>
      </c>
      <c r="AP168" s="36">
        <f t="shared" si="17"/>
        <v>0</v>
      </c>
      <c r="AQ168" s="48">
        <f t="shared" si="22"/>
        <v>0</v>
      </c>
      <c r="AR168" s="37" t="s">
        <v>299</v>
      </c>
      <c r="AS168" s="38"/>
      <c r="AT168" s="104"/>
    </row>
    <row r="169" s="105" customFormat="1" ht="20.15" hidden="1" customHeight="1" spans="1:46">
      <c r="A169" s="112"/>
      <c r="B169" s="154" t="s">
        <v>300</v>
      </c>
      <c r="C169" s="150" t="s">
        <v>59</v>
      </c>
      <c r="D169" s="149" t="s">
        <v>180</v>
      </c>
      <c r="E169" s="180"/>
      <c r="F169" s="180"/>
      <c r="G169" s="180"/>
      <c r="H169" s="172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13"/>
      <c r="AL169" s="151">
        <f>COUNTIF(E169:AJ169,"H")</f>
        <v>0</v>
      </c>
      <c r="AM169" s="47">
        <f t="shared" si="19"/>
        <v>0</v>
      </c>
      <c r="AN169" s="35">
        <f t="shared" si="20"/>
        <v>0</v>
      </c>
      <c r="AO169" s="35">
        <f t="shared" si="21"/>
        <v>0</v>
      </c>
      <c r="AP169" s="36">
        <f t="shared" si="17"/>
        <v>0</v>
      </c>
      <c r="AQ169" s="48">
        <f t="shared" si="22"/>
        <v>0</v>
      </c>
      <c r="AR169" s="37" t="s">
        <v>228</v>
      </c>
      <c r="AS169" s="38"/>
      <c r="AT169" s="104"/>
    </row>
    <row r="170" s="105" customFormat="1" ht="20.15" hidden="1" customHeight="1" spans="1:46">
      <c r="A170" s="112"/>
      <c r="B170" s="154" t="s">
        <v>318</v>
      </c>
      <c r="C170" s="166" t="s">
        <v>296</v>
      </c>
      <c r="D170" s="171" t="s">
        <v>180</v>
      </c>
      <c r="E170" s="180"/>
      <c r="F170" s="180"/>
      <c r="G170" s="180"/>
      <c r="H170" s="180"/>
      <c r="I170" s="180"/>
      <c r="J170" s="180"/>
      <c r="K170" s="180"/>
      <c r="L170" s="180"/>
      <c r="M170" s="180"/>
      <c r="N170" s="180" t="s">
        <v>11</v>
      </c>
      <c r="O170" s="180"/>
      <c r="P170" s="180"/>
      <c r="Q170" s="180" t="s">
        <v>11</v>
      </c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13"/>
      <c r="AL170" s="179"/>
      <c r="AM170" s="131">
        <f t="shared" si="19"/>
        <v>2</v>
      </c>
      <c r="AN170" s="103">
        <f t="shared" si="20"/>
        <v>0</v>
      </c>
      <c r="AO170" s="131">
        <f t="shared" si="21"/>
        <v>0</v>
      </c>
      <c r="AP170" s="103">
        <f t="shared" si="17"/>
        <v>0</v>
      </c>
      <c r="AQ170" s="128">
        <f t="shared" si="22"/>
        <v>2</v>
      </c>
      <c r="AR170" s="43" t="s">
        <v>336</v>
      </c>
      <c r="AT170" s="106"/>
    </row>
    <row r="171" s="105" customFormat="1" ht="20.15" hidden="1" customHeight="1" spans="1:46">
      <c r="A171" s="112"/>
      <c r="B171" s="154" t="s">
        <v>319</v>
      </c>
      <c r="C171" s="170" t="s">
        <v>16</v>
      </c>
      <c r="D171" s="149" t="s">
        <v>219</v>
      </c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13"/>
      <c r="AL171" s="151">
        <f>COUNTIF(E171:AJ171,"H")</f>
        <v>0</v>
      </c>
      <c r="AM171" s="43">
        <f t="shared" si="19"/>
        <v>0</v>
      </c>
      <c r="AN171" s="43">
        <f t="shared" si="20"/>
        <v>0</v>
      </c>
      <c r="AO171" s="176">
        <f t="shared" si="21"/>
        <v>0</v>
      </c>
      <c r="AP171" s="66">
        <f t="shared" si="17"/>
        <v>0</v>
      </c>
      <c r="AQ171" s="43">
        <f t="shared" si="22"/>
        <v>0</v>
      </c>
      <c r="AR171" s="43" t="s">
        <v>336</v>
      </c>
      <c r="AT171" s="106"/>
    </row>
    <row r="172" s="105" customFormat="1" ht="20.15" customHeight="1" spans="1:46">
      <c r="A172" s="112"/>
      <c r="B172" s="154" t="s">
        <v>358</v>
      </c>
      <c r="C172" s="150" t="s">
        <v>59</v>
      </c>
      <c r="D172" s="171" t="s">
        <v>112</v>
      </c>
      <c r="E172" s="180"/>
      <c r="F172" s="180"/>
      <c r="G172" s="180"/>
      <c r="H172" s="180"/>
      <c r="I172" s="180" t="s">
        <v>13</v>
      </c>
      <c r="J172" s="180"/>
      <c r="K172" s="180"/>
      <c r="L172" s="180"/>
      <c r="M172" s="180"/>
      <c r="N172" s="180"/>
      <c r="O172" s="180"/>
      <c r="P172" s="180" t="s">
        <v>11</v>
      </c>
      <c r="Q172" s="180"/>
      <c r="R172" s="180"/>
      <c r="S172" s="180"/>
      <c r="T172" s="180"/>
      <c r="U172" s="180"/>
      <c r="V172" s="180"/>
      <c r="W172" s="180"/>
      <c r="X172" s="180" t="s">
        <v>11</v>
      </c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 t="s">
        <v>11</v>
      </c>
      <c r="AI172" s="172" t="s">
        <v>11</v>
      </c>
      <c r="AJ172" s="180"/>
      <c r="AK172" s="113"/>
      <c r="AL172" s="179"/>
      <c r="AM172" s="43">
        <f t="shared" si="19"/>
        <v>4</v>
      </c>
      <c r="AN172" s="43">
        <f t="shared" si="20"/>
        <v>0</v>
      </c>
      <c r="AO172" s="176">
        <f t="shared" si="21"/>
        <v>1</v>
      </c>
      <c r="AP172" s="66">
        <f t="shared" si="17"/>
        <v>0</v>
      </c>
      <c r="AQ172" s="43">
        <f t="shared" si="22"/>
        <v>5</v>
      </c>
      <c r="AR172" s="43" t="s">
        <v>336</v>
      </c>
      <c r="AT172" s="106"/>
    </row>
    <row r="173" s="105" customFormat="1" ht="20.15" hidden="1" customHeight="1" spans="1:46">
      <c r="A173" s="112"/>
      <c r="B173" s="154" t="s">
        <v>320</v>
      </c>
      <c r="C173" s="170" t="s">
        <v>321</v>
      </c>
      <c r="D173" s="149" t="s">
        <v>322</v>
      </c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13"/>
      <c r="AL173" s="179"/>
      <c r="AM173" s="43">
        <f t="shared" si="19"/>
        <v>0</v>
      </c>
      <c r="AN173" s="43">
        <f t="shared" si="20"/>
        <v>0</v>
      </c>
      <c r="AO173" s="176">
        <f t="shared" si="21"/>
        <v>0</v>
      </c>
      <c r="AP173" s="66">
        <f t="shared" si="17"/>
        <v>0</v>
      </c>
      <c r="AQ173" s="43">
        <f t="shared" si="22"/>
        <v>0</v>
      </c>
      <c r="AR173" s="131"/>
      <c r="AT173" s="106"/>
    </row>
    <row r="174" s="105" customFormat="1" ht="20.15" hidden="1" customHeight="1" spans="1:46">
      <c r="A174" s="112"/>
      <c r="B174" s="154" t="s">
        <v>323</v>
      </c>
      <c r="C174" s="150" t="s">
        <v>59</v>
      </c>
      <c r="D174" s="149" t="s">
        <v>267</v>
      </c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13"/>
      <c r="AL174" s="179"/>
      <c r="AM174" s="43">
        <f t="shared" si="19"/>
        <v>0</v>
      </c>
      <c r="AN174" s="43">
        <f t="shared" si="20"/>
        <v>0</v>
      </c>
      <c r="AO174" s="176">
        <f t="shared" si="21"/>
        <v>0</v>
      </c>
      <c r="AP174" s="66">
        <f t="shared" si="17"/>
        <v>0</v>
      </c>
      <c r="AQ174" s="43">
        <f t="shared" si="22"/>
        <v>0</v>
      </c>
      <c r="AR174" s="131"/>
      <c r="AT174" s="106"/>
    </row>
    <row r="175" s="105" customFormat="1" ht="20.15" hidden="1" customHeight="1" spans="1:46">
      <c r="A175" s="112"/>
      <c r="B175" s="154" t="s">
        <v>324</v>
      </c>
      <c r="C175" s="170" t="s">
        <v>325</v>
      </c>
      <c r="D175" s="149" t="s">
        <v>273</v>
      </c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13"/>
      <c r="AL175" s="179"/>
      <c r="AM175" s="43">
        <f t="shared" si="19"/>
        <v>0</v>
      </c>
      <c r="AN175" s="43">
        <f t="shared" si="20"/>
        <v>0</v>
      </c>
      <c r="AO175" s="176">
        <f t="shared" si="21"/>
        <v>0</v>
      </c>
      <c r="AP175" s="66">
        <f t="shared" si="17"/>
        <v>0</v>
      </c>
      <c r="AQ175" s="43">
        <f t="shared" si="22"/>
        <v>0</v>
      </c>
      <c r="AR175" s="131"/>
      <c r="AT175" s="106"/>
    </row>
    <row r="176" s="105" customFormat="1" ht="20.15" hidden="1" customHeight="1" spans="1:46">
      <c r="A176" s="112"/>
      <c r="B176" s="154" t="s">
        <v>326</v>
      </c>
      <c r="C176" s="181" t="s">
        <v>59</v>
      </c>
      <c r="D176" s="171" t="s">
        <v>178</v>
      </c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13"/>
      <c r="AL176" s="179"/>
      <c r="AM176" s="43">
        <f t="shared" si="19"/>
        <v>0</v>
      </c>
      <c r="AN176" s="43">
        <f t="shared" si="20"/>
        <v>0</v>
      </c>
      <c r="AO176" s="176">
        <f t="shared" si="21"/>
        <v>0</v>
      </c>
      <c r="AP176" s="66">
        <f t="shared" si="17"/>
        <v>0</v>
      </c>
      <c r="AQ176" s="43">
        <f t="shared" si="22"/>
        <v>0</v>
      </c>
      <c r="AR176" s="131"/>
      <c r="AT176" s="106"/>
    </row>
    <row r="177" s="105" customFormat="1" ht="20.15" hidden="1" customHeight="1" spans="1:46">
      <c r="A177" s="112"/>
      <c r="B177" s="154" t="s">
        <v>327</v>
      </c>
      <c r="C177" s="166" t="s">
        <v>59</v>
      </c>
      <c r="D177" s="166" t="s">
        <v>180</v>
      </c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 t="s">
        <v>11</v>
      </c>
      <c r="Q177" s="180"/>
      <c r="R177" s="180"/>
      <c r="S177" s="180"/>
      <c r="T177" s="180"/>
      <c r="U177" s="180"/>
      <c r="V177" s="180"/>
      <c r="W177" s="180"/>
      <c r="X177" s="180" t="s">
        <v>11</v>
      </c>
      <c r="Y177" s="180"/>
      <c r="Z177" s="180"/>
      <c r="AA177" s="180"/>
      <c r="AB177" s="180"/>
      <c r="AC177" s="180" t="s">
        <v>12</v>
      </c>
      <c r="AD177" s="180"/>
      <c r="AE177" s="180"/>
      <c r="AF177" s="180"/>
      <c r="AG177" s="180"/>
      <c r="AH177" s="180"/>
      <c r="AI177" s="180"/>
      <c r="AJ177" s="180"/>
      <c r="AK177" s="113"/>
      <c r="AL177" s="179"/>
      <c r="AM177" s="43">
        <f t="shared" si="19"/>
        <v>2</v>
      </c>
      <c r="AN177" s="43">
        <f t="shared" si="20"/>
        <v>1</v>
      </c>
      <c r="AO177" s="176">
        <f t="shared" si="21"/>
        <v>0</v>
      </c>
      <c r="AP177" s="66">
        <f t="shared" si="17"/>
        <v>0</v>
      </c>
      <c r="AQ177" s="43">
        <f t="shared" si="22"/>
        <v>3</v>
      </c>
      <c r="AR177" s="43" t="s">
        <v>336</v>
      </c>
      <c r="AT177" s="106"/>
    </row>
    <row r="178" s="105" customFormat="1" ht="20.15" hidden="1" customHeight="1" spans="1:46">
      <c r="A178" s="112"/>
      <c r="B178" s="154" t="s">
        <v>329</v>
      </c>
      <c r="C178" s="166" t="s">
        <v>330</v>
      </c>
      <c r="D178" s="166" t="s">
        <v>238</v>
      </c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80"/>
      <c r="AK178" s="113"/>
      <c r="AL178" s="179"/>
      <c r="AM178" s="43">
        <f t="shared" si="19"/>
        <v>0</v>
      </c>
      <c r="AN178" s="43">
        <f t="shared" si="20"/>
        <v>0</v>
      </c>
      <c r="AO178" s="176">
        <f t="shared" si="21"/>
        <v>0</v>
      </c>
      <c r="AP178" s="66">
        <f t="shared" si="17"/>
        <v>0</v>
      </c>
      <c r="AQ178" s="43">
        <f t="shared" si="22"/>
        <v>0</v>
      </c>
      <c r="AR178" s="43" t="s">
        <v>336</v>
      </c>
      <c r="AT178" s="106"/>
    </row>
    <row r="179" s="105" customFormat="1" ht="20.15" hidden="1" customHeight="1" spans="1:46">
      <c r="A179" s="112"/>
      <c r="B179" s="154" t="s">
        <v>331</v>
      </c>
      <c r="C179" s="166" t="s">
        <v>211</v>
      </c>
      <c r="D179" s="152" t="s">
        <v>238</v>
      </c>
      <c r="E179" s="180"/>
      <c r="F179" s="180"/>
      <c r="G179" s="180"/>
      <c r="H179" s="180"/>
      <c r="I179" s="180"/>
      <c r="J179" s="180"/>
      <c r="K179" s="180"/>
      <c r="L179" s="180"/>
      <c r="M179" s="180" t="s">
        <v>11</v>
      </c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 t="s">
        <v>11</v>
      </c>
      <c r="AC179" s="180"/>
      <c r="AD179" s="180"/>
      <c r="AE179" s="180"/>
      <c r="AF179" s="180"/>
      <c r="AG179" s="180"/>
      <c r="AH179" s="180"/>
      <c r="AI179" s="180"/>
      <c r="AJ179" s="180"/>
      <c r="AK179" s="113"/>
      <c r="AL179" s="179"/>
      <c r="AM179" s="35">
        <f t="shared" si="19"/>
        <v>2</v>
      </c>
      <c r="AN179" s="43">
        <f t="shared" si="20"/>
        <v>0</v>
      </c>
      <c r="AO179" s="35">
        <f t="shared" si="21"/>
        <v>0</v>
      </c>
      <c r="AP179" s="36">
        <f t="shared" si="17"/>
        <v>0</v>
      </c>
      <c r="AQ179" s="37">
        <f t="shared" si="22"/>
        <v>2</v>
      </c>
      <c r="AR179" s="43" t="s">
        <v>382</v>
      </c>
      <c r="AT179" s="106"/>
    </row>
    <row r="180" s="105" customFormat="1" ht="20.15" hidden="1" customHeight="1" spans="1:46">
      <c r="A180" s="182"/>
      <c r="B180" s="154" t="s">
        <v>332</v>
      </c>
      <c r="C180" s="182" t="s">
        <v>333</v>
      </c>
      <c r="D180" s="182" t="s">
        <v>180</v>
      </c>
      <c r="E180" s="183"/>
      <c r="F180" s="183"/>
      <c r="G180" s="183"/>
      <c r="H180" s="183"/>
      <c r="I180" s="172" t="s">
        <v>103</v>
      </c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0" t="s">
        <v>11</v>
      </c>
      <c r="Z180" s="183"/>
      <c r="AA180" s="180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13"/>
      <c r="AL180" s="179"/>
      <c r="AM180" s="35">
        <f t="shared" si="19"/>
        <v>1</v>
      </c>
      <c r="AN180" s="43">
        <f t="shared" si="20"/>
        <v>1</v>
      </c>
      <c r="AO180" s="35">
        <f t="shared" si="21"/>
        <v>0</v>
      </c>
      <c r="AP180" s="36">
        <f t="shared" si="17"/>
        <v>0</v>
      </c>
      <c r="AQ180" s="37">
        <f t="shared" si="22"/>
        <v>2</v>
      </c>
      <c r="AR180" s="43" t="s">
        <v>336</v>
      </c>
      <c r="AT180" s="106"/>
    </row>
    <row r="181" s="105" customFormat="1" ht="20.15" hidden="1" customHeight="1" spans="1:46">
      <c r="A181" s="182"/>
      <c r="B181" s="154" t="s">
        <v>334</v>
      </c>
      <c r="C181" s="182" t="s">
        <v>296</v>
      </c>
      <c r="D181" s="182" t="s">
        <v>180</v>
      </c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13"/>
      <c r="AL181" s="179"/>
      <c r="AM181" s="35">
        <f t="shared" si="19"/>
        <v>0</v>
      </c>
      <c r="AN181" s="43">
        <f t="shared" si="20"/>
        <v>0</v>
      </c>
      <c r="AO181" s="35">
        <f t="shared" si="21"/>
        <v>0</v>
      </c>
      <c r="AP181" s="36">
        <f t="shared" si="17"/>
        <v>0</v>
      </c>
      <c r="AQ181" s="37">
        <f t="shared" si="22"/>
        <v>0</v>
      </c>
      <c r="AR181" s="131"/>
      <c r="AT181" s="106"/>
    </row>
    <row r="182" s="105" customFormat="1" ht="20.15" hidden="1" customHeight="1" spans="1:46">
      <c r="A182" s="182"/>
      <c r="B182" s="154" t="s">
        <v>335</v>
      </c>
      <c r="C182" s="182" t="s">
        <v>131</v>
      </c>
      <c r="D182" s="182" t="s">
        <v>238</v>
      </c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0" t="s">
        <v>11</v>
      </c>
      <c r="AE182" s="183"/>
      <c r="AF182" s="183"/>
      <c r="AG182" s="183"/>
      <c r="AH182" s="183"/>
      <c r="AI182" s="183"/>
      <c r="AJ182" s="183"/>
      <c r="AK182" s="113"/>
      <c r="AL182" s="179"/>
      <c r="AM182" s="35">
        <f t="shared" si="19"/>
        <v>1</v>
      </c>
      <c r="AN182" s="43">
        <f t="shared" si="20"/>
        <v>0</v>
      </c>
      <c r="AO182" s="35">
        <f t="shared" si="21"/>
        <v>0</v>
      </c>
      <c r="AP182" s="36">
        <f t="shared" si="17"/>
        <v>0</v>
      </c>
      <c r="AQ182" s="37">
        <f t="shared" si="22"/>
        <v>1</v>
      </c>
      <c r="AR182" s="43" t="s">
        <v>382</v>
      </c>
      <c r="AT182" s="106"/>
    </row>
    <row r="183" s="105" customFormat="1" ht="20.15" customHeight="1" spans="1:46">
      <c r="A183" s="182"/>
      <c r="B183" s="154" t="s">
        <v>359</v>
      </c>
      <c r="C183" s="182" t="s">
        <v>16</v>
      </c>
      <c r="D183" s="182" t="s">
        <v>180</v>
      </c>
      <c r="E183" s="183"/>
      <c r="F183" s="183"/>
      <c r="G183" s="183"/>
      <c r="H183" s="183"/>
      <c r="I183" s="96" t="s">
        <v>12</v>
      </c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0" t="s">
        <v>12</v>
      </c>
      <c r="Y183" s="180" t="s">
        <v>12</v>
      </c>
      <c r="Z183" s="180" t="s">
        <v>12</v>
      </c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13"/>
      <c r="AL183" s="179"/>
      <c r="AM183" s="35">
        <f t="shared" si="19"/>
        <v>0</v>
      </c>
      <c r="AN183" s="35">
        <f t="shared" si="20"/>
        <v>4</v>
      </c>
      <c r="AO183" s="35">
        <f t="shared" si="21"/>
        <v>0</v>
      </c>
      <c r="AP183" s="36">
        <f t="shared" si="17"/>
        <v>0</v>
      </c>
      <c r="AQ183" s="37">
        <f t="shared" si="22"/>
        <v>4</v>
      </c>
      <c r="AR183" s="43" t="s">
        <v>400</v>
      </c>
      <c r="AT183" s="106"/>
    </row>
    <row r="184" s="105" customFormat="1" ht="20.15" hidden="1" customHeight="1" spans="1:46">
      <c r="A184" s="182"/>
      <c r="B184" s="154" t="s">
        <v>360</v>
      </c>
      <c r="C184" s="182" t="s">
        <v>16</v>
      </c>
      <c r="D184" s="182" t="s">
        <v>178</v>
      </c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0" t="s">
        <v>11</v>
      </c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13"/>
      <c r="AL184" s="179"/>
      <c r="AM184" s="131">
        <f t="shared" si="19"/>
        <v>1</v>
      </c>
      <c r="AN184" s="103">
        <f t="shared" si="20"/>
        <v>0</v>
      </c>
      <c r="AO184" s="131">
        <f t="shared" si="21"/>
        <v>0</v>
      </c>
      <c r="AP184" s="103">
        <f t="shared" si="17"/>
        <v>0</v>
      </c>
      <c r="AQ184" s="128">
        <f t="shared" si="22"/>
        <v>1</v>
      </c>
      <c r="AR184" s="131"/>
      <c r="AT184" s="106"/>
    </row>
    <row r="185" s="105" customFormat="1" ht="20.15" hidden="1" customHeight="1" spans="1:46">
      <c r="A185" s="182"/>
      <c r="B185" s="154" t="s">
        <v>361</v>
      </c>
      <c r="C185" s="166" t="s">
        <v>59</v>
      </c>
      <c r="D185" s="182" t="s">
        <v>180</v>
      </c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0" t="s">
        <v>11</v>
      </c>
      <c r="X185" s="183"/>
      <c r="Y185" s="183"/>
      <c r="Z185" s="183"/>
      <c r="AA185" s="183"/>
      <c r="AB185" s="180" t="s">
        <v>11</v>
      </c>
      <c r="AC185" s="183"/>
      <c r="AD185" s="183"/>
      <c r="AE185" s="183"/>
      <c r="AF185" s="183"/>
      <c r="AG185" s="183"/>
      <c r="AH185" s="183"/>
      <c r="AI185" s="183"/>
      <c r="AJ185" s="183"/>
      <c r="AK185" s="113"/>
      <c r="AL185" s="151">
        <f>COUNTIF(E185:AJ185,"H")</f>
        <v>0</v>
      </c>
      <c r="AM185" s="43">
        <f t="shared" si="19"/>
        <v>2</v>
      </c>
      <c r="AN185" s="43">
        <f t="shared" si="20"/>
        <v>0</v>
      </c>
      <c r="AO185" s="176">
        <f t="shared" si="21"/>
        <v>0</v>
      </c>
      <c r="AP185" s="66">
        <f t="shared" si="17"/>
        <v>0</v>
      </c>
      <c r="AQ185" s="43">
        <f t="shared" si="22"/>
        <v>2</v>
      </c>
      <c r="AR185" s="43" t="s">
        <v>382</v>
      </c>
      <c r="AT185" s="106"/>
    </row>
    <row r="186" s="105" customFormat="1" ht="20.15" hidden="1" customHeight="1" spans="1:46">
      <c r="A186" s="182"/>
      <c r="B186" s="154" t="s">
        <v>363</v>
      </c>
      <c r="C186" s="182" t="s">
        <v>131</v>
      </c>
      <c r="D186" s="182" t="s">
        <v>112</v>
      </c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13"/>
      <c r="AL186" s="179"/>
      <c r="AM186" s="43">
        <f t="shared" si="19"/>
        <v>0</v>
      </c>
      <c r="AN186" s="43">
        <f t="shared" si="20"/>
        <v>0</v>
      </c>
      <c r="AO186" s="176">
        <f t="shared" si="21"/>
        <v>0</v>
      </c>
      <c r="AP186" s="66">
        <f t="shared" si="17"/>
        <v>0</v>
      </c>
      <c r="AQ186" s="43">
        <f t="shared" si="22"/>
        <v>0</v>
      </c>
      <c r="AR186" s="43" t="s">
        <v>336</v>
      </c>
      <c r="AT186" s="106"/>
    </row>
    <row r="187" s="105" customFormat="1" ht="20.15" hidden="1" customHeight="1" spans="1:46">
      <c r="A187" s="182"/>
      <c r="B187" s="154" t="s">
        <v>364</v>
      </c>
      <c r="C187" s="182" t="s">
        <v>211</v>
      </c>
      <c r="D187" s="182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13"/>
      <c r="AL187" s="179"/>
      <c r="AM187" s="112"/>
      <c r="AN187" s="112"/>
      <c r="AO187" s="112"/>
      <c r="AP187" s="112"/>
      <c r="AQ187" s="112"/>
      <c r="AR187" s="112"/>
      <c r="AT187" s="106"/>
    </row>
    <row r="188" s="113" customFormat="1" ht="20.15" customHeight="1" spans="1:46">
      <c r="A188" s="182"/>
      <c r="B188" s="154" t="s">
        <v>365</v>
      </c>
      <c r="C188" s="182" t="s">
        <v>296</v>
      </c>
      <c r="D188" s="182" t="s">
        <v>401</v>
      </c>
      <c r="E188" s="183"/>
      <c r="F188" s="183"/>
      <c r="G188" s="183"/>
      <c r="H188" s="183"/>
      <c r="I188" s="96" t="s">
        <v>12</v>
      </c>
      <c r="J188" s="183"/>
      <c r="K188" s="183"/>
      <c r="L188" s="183"/>
      <c r="M188" s="183"/>
      <c r="N188" s="96" t="s">
        <v>11</v>
      </c>
      <c r="O188" s="183"/>
      <c r="P188" s="96" t="s">
        <v>11</v>
      </c>
      <c r="Q188" s="183"/>
      <c r="R188" s="183"/>
      <c r="S188" s="183"/>
      <c r="T188" s="183"/>
      <c r="U188" s="241" t="s">
        <v>13</v>
      </c>
      <c r="V188" s="183"/>
      <c r="W188" s="183"/>
      <c r="X188" s="183"/>
      <c r="Y188" s="180" t="s">
        <v>11</v>
      </c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0" t="s">
        <v>11</v>
      </c>
      <c r="AJ188" s="183"/>
      <c r="AL188" s="186"/>
      <c r="AM188" s="187">
        <f t="shared" ref="AM188:AM206" si="23">COUNTIF(E188:AJ188,"S")</f>
        <v>4</v>
      </c>
      <c r="AN188" s="187">
        <f t="shared" ref="AN188:AN206" si="24">COUNTIF(E188:AJ188,"I")</f>
        <v>1</v>
      </c>
      <c r="AO188" s="188">
        <f t="shared" ref="AO188:AO206" si="25">COUNTIF(E188:AJ188,"A")</f>
        <v>1</v>
      </c>
      <c r="AP188" s="112">
        <f>COUNTIF(E188:AJ188,"OFF")</f>
        <v>0</v>
      </c>
      <c r="AQ188" s="187">
        <f t="shared" ref="AQ188:AQ206" si="26">SUM(AL188:AO188)</f>
        <v>6</v>
      </c>
      <c r="AR188" s="43" t="s">
        <v>193</v>
      </c>
      <c r="AT188" s="114"/>
    </row>
    <row r="189" s="105" customFormat="1" ht="20.15" hidden="1" customHeight="1" spans="1:46">
      <c r="A189" s="182"/>
      <c r="B189" s="154" t="s">
        <v>366</v>
      </c>
      <c r="C189" s="182" t="s">
        <v>165</v>
      </c>
      <c r="D189" s="182" t="s">
        <v>180</v>
      </c>
      <c r="E189" s="183"/>
      <c r="F189" s="183"/>
      <c r="G189" s="183"/>
      <c r="H189" s="183"/>
      <c r="I189" s="96" t="s">
        <v>13</v>
      </c>
      <c r="J189" s="96" t="s">
        <v>11</v>
      </c>
      <c r="K189" s="183"/>
      <c r="L189" s="183"/>
      <c r="M189" s="183"/>
      <c r="N189" s="183"/>
      <c r="O189" s="183"/>
      <c r="P189" s="183"/>
      <c r="Q189" s="96" t="s">
        <v>11</v>
      </c>
      <c r="R189" s="183"/>
      <c r="S189" s="180"/>
      <c r="T189" s="183"/>
      <c r="U189" s="183"/>
      <c r="V189" s="183"/>
      <c r="W189" s="183"/>
      <c r="X189" s="180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13"/>
      <c r="AL189" s="179"/>
      <c r="AM189" s="43">
        <f t="shared" si="23"/>
        <v>2</v>
      </c>
      <c r="AN189" s="43">
        <f t="shared" si="24"/>
        <v>0</v>
      </c>
      <c r="AO189" s="176">
        <f t="shared" si="25"/>
        <v>1</v>
      </c>
      <c r="AP189" s="66">
        <f>COUNTIF(E189:AJ189,"OFF")</f>
        <v>0</v>
      </c>
      <c r="AQ189" s="189">
        <f t="shared" si="26"/>
        <v>3</v>
      </c>
      <c r="AR189" s="189" t="s">
        <v>336</v>
      </c>
      <c r="AT189" s="106"/>
    </row>
    <row r="190" s="105" customFormat="1" ht="20.15" hidden="1" customHeight="1" spans="1:46">
      <c r="A190" s="182"/>
      <c r="B190" s="154" t="s">
        <v>367</v>
      </c>
      <c r="C190" s="182" t="s">
        <v>16</v>
      </c>
      <c r="D190" s="182" t="s">
        <v>178</v>
      </c>
      <c r="E190" s="183"/>
      <c r="F190" s="183"/>
      <c r="G190" s="183"/>
      <c r="H190" s="183"/>
      <c r="I190" s="183"/>
      <c r="J190" s="183"/>
      <c r="K190" s="183"/>
      <c r="L190" s="183"/>
      <c r="M190" s="183"/>
      <c r="N190" s="96" t="s">
        <v>11</v>
      </c>
      <c r="O190" s="183"/>
      <c r="P190" s="183"/>
      <c r="Q190" s="183"/>
      <c r="R190" s="183"/>
      <c r="S190" s="183"/>
      <c r="T190" s="183"/>
      <c r="U190" s="183"/>
      <c r="V190" s="183"/>
      <c r="W190" s="180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13"/>
      <c r="AL190" s="179"/>
      <c r="AM190" s="43">
        <f t="shared" si="23"/>
        <v>1</v>
      </c>
      <c r="AN190" s="66">
        <f t="shared" si="24"/>
        <v>0</v>
      </c>
      <c r="AO190" s="43">
        <f t="shared" si="25"/>
        <v>0</v>
      </c>
      <c r="AQ190" s="43">
        <f t="shared" si="26"/>
        <v>1</v>
      </c>
      <c r="AR190" s="43" t="s">
        <v>336</v>
      </c>
      <c r="AS190" s="66"/>
      <c r="AT190" s="115"/>
    </row>
    <row r="191" s="105" customFormat="1" ht="20.15" hidden="1" customHeight="1" spans="1:46">
      <c r="A191" s="182"/>
      <c r="B191" s="154" t="s">
        <v>402</v>
      </c>
      <c r="C191" s="182" t="s">
        <v>16</v>
      </c>
      <c r="D191" s="182" t="s">
        <v>178</v>
      </c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0"/>
      <c r="U191" s="183"/>
      <c r="V191" s="183"/>
      <c r="W191" s="183"/>
      <c r="X191" s="183"/>
      <c r="Y191" s="183"/>
      <c r="Z191" s="241" t="s">
        <v>103</v>
      </c>
      <c r="AA191" s="183"/>
      <c r="AB191" s="183"/>
      <c r="AC191" s="183"/>
      <c r="AD191" s="183"/>
      <c r="AE191" s="180" t="s">
        <v>11</v>
      </c>
      <c r="AF191" s="183"/>
      <c r="AG191" s="183"/>
      <c r="AH191" s="183"/>
      <c r="AI191" s="183"/>
      <c r="AJ191" s="180" t="s">
        <v>11</v>
      </c>
      <c r="AK191" s="113"/>
      <c r="AL191" s="179"/>
      <c r="AM191" s="131">
        <f t="shared" si="23"/>
        <v>2</v>
      </c>
      <c r="AN191" s="103">
        <f t="shared" si="24"/>
        <v>1</v>
      </c>
      <c r="AO191" s="131">
        <f t="shared" si="25"/>
        <v>0</v>
      </c>
      <c r="AP191" s="36">
        <f>COUNTIF(E191:AJ191,"OFF")</f>
        <v>0</v>
      </c>
      <c r="AQ191" s="131">
        <f t="shared" si="26"/>
        <v>3</v>
      </c>
      <c r="AR191" s="43" t="s">
        <v>382</v>
      </c>
      <c r="AT191" s="106"/>
    </row>
    <row r="192" s="105" customFormat="1" ht="20.15" hidden="1" customHeight="1" spans="1:46">
      <c r="A192" s="182"/>
      <c r="B192" s="154" t="s">
        <v>368</v>
      </c>
      <c r="C192" s="182" t="s">
        <v>16</v>
      </c>
      <c r="D192" s="182" t="s">
        <v>112</v>
      </c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241" t="s">
        <v>11</v>
      </c>
      <c r="P192" s="183"/>
      <c r="Q192" s="183"/>
      <c r="R192" s="183"/>
      <c r="S192" s="183"/>
      <c r="T192" s="183"/>
      <c r="U192" s="183"/>
      <c r="V192" s="180"/>
      <c r="W192" s="183"/>
      <c r="X192" s="241" t="s">
        <v>11</v>
      </c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13"/>
      <c r="AL192" s="179"/>
      <c r="AM192" s="43">
        <f t="shared" si="23"/>
        <v>2</v>
      </c>
      <c r="AN192" s="66">
        <f t="shared" si="24"/>
        <v>0</v>
      </c>
      <c r="AO192" s="43">
        <f t="shared" si="25"/>
        <v>0</v>
      </c>
      <c r="AP192" s="36">
        <f>COUNTIF(E192:AJ192,"OFF")</f>
        <v>0</v>
      </c>
      <c r="AQ192" s="43">
        <f t="shared" si="26"/>
        <v>2</v>
      </c>
      <c r="AR192" s="43" t="s">
        <v>336</v>
      </c>
      <c r="AS192" s="66"/>
      <c r="AT192" s="115"/>
    </row>
    <row r="193" hidden="1" spans="1:46">
      <c r="A193" s="182"/>
      <c r="B193" s="154" t="s">
        <v>369</v>
      </c>
      <c r="C193" s="182" t="s">
        <v>370</v>
      </c>
      <c r="D193" s="182" t="s">
        <v>180</v>
      </c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0"/>
      <c r="U193" s="241"/>
      <c r="V193" s="241"/>
      <c r="W193" s="241" t="s">
        <v>11</v>
      </c>
      <c r="X193" s="183"/>
      <c r="Y193" s="183"/>
      <c r="Z193" s="183"/>
      <c r="AA193" s="183"/>
      <c r="AB193" s="183"/>
      <c r="AC193" s="183"/>
      <c r="AD193" s="241" t="s">
        <v>103</v>
      </c>
      <c r="AE193" s="183"/>
      <c r="AF193" s="183"/>
      <c r="AG193" s="183"/>
      <c r="AH193" s="183"/>
      <c r="AI193" s="183"/>
      <c r="AJ193" s="183"/>
      <c r="AM193" s="131">
        <f t="shared" si="23"/>
        <v>1</v>
      </c>
      <c r="AN193" s="103">
        <f t="shared" si="24"/>
        <v>1</v>
      </c>
      <c r="AO193" s="131">
        <f t="shared" si="25"/>
        <v>0</v>
      </c>
      <c r="AP193" s="103">
        <f>COUNTIF(E193:AJ193,"OFF")</f>
        <v>0</v>
      </c>
      <c r="AQ193" s="128">
        <f t="shared" si="26"/>
        <v>2</v>
      </c>
      <c r="AR193" s="43" t="s">
        <v>403</v>
      </c>
    </row>
    <row r="194" hidden="1" spans="1:46">
      <c r="A194" s="182"/>
      <c r="B194" s="154" t="s">
        <v>143</v>
      </c>
      <c r="C194" s="182" t="s">
        <v>16</v>
      </c>
      <c r="D194" s="182" t="s">
        <v>178</v>
      </c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0"/>
      <c r="W194" s="180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  <c r="AI194" s="183"/>
      <c r="AJ194" s="183"/>
      <c r="AM194" s="43">
        <f t="shared" si="23"/>
        <v>0</v>
      </c>
      <c r="AN194" s="66">
        <f t="shared" si="24"/>
        <v>0</v>
      </c>
      <c r="AO194" s="43">
        <f t="shared" si="25"/>
        <v>0</v>
      </c>
      <c r="AQ194" s="189">
        <f t="shared" si="26"/>
        <v>0</v>
      </c>
      <c r="AR194" s="247" t="s">
        <v>171</v>
      </c>
      <c r="AS194" s="99"/>
      <c r="AT194" s="99"/>
    </row>
    <row r="195" hidden="1" spans="1:46">
      <c r="A195" s="182"/>
      <c r="B195" s="154" t="s">
        <v>371</v>
      </c>
      <c r="C195" s="182" t="s">
        <v>16</v>
      </c>
      <c r="D195" s="182" t="s">
        <v>112</v>
      </c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241" t="s">
        <v>11</v>
      </c>
      <c r="P195" s="183"/>
      <c r="Q195" s="183"/>
      <c r="R195" s="183"/>
      <c r="S195" s="183"/>
      <c r="T195" s="183"/>
      <c r="U195" s="183"/>
      <c r="V195" s="183"/>
      <c r="W195" s="183"/>
      <c r="X195" s="183"/>
      <c r="Y195" s="180"/>
      <c r="Z195" s="183"/>
      <c r="AA195" s="180"/>
      <c r="AB195" s="180"/>
      <c r="AC195" s="180"/>
      <c r="AD195" s="180"/>
      <c r="AE195" s="180"/>
      <c r="AF195" s="180"/>
      <c r="AG195" s="180"/>
      <c r="AH195" s="180"/>
      <c r="AI195" s="180" t="s">
        <v>11</v>
      </c>
      <c r="AJ195" s="180"/>
      <c r="AK195" s="43"/>
      <c r="AL195" s="43"/>
      <c r="AM195" s="35">
        <f t="shared" si="23"/>
        <v>2</v>
      </c>
      <c r="AN195" s="43">
        <f t="shared" si="24"/>
        <v>0</v>
      </c>
      <c r="AO195" s="35">
        <f t="shared" si="25"/>
        <v>0</v>
      </c>
      <c r="AP195" s="36">
        <f t="shared" ref="AP195:AP206" si="27">COUNTIF(E195:AJ195,"OFF")</f>
        <v>0</v>
      </c>
      <c r="AQ195" s="37">
        <f t="shared" si="26"/>
        <v>2</v>
      </c>
      <c r="AR195" s="43" t="s">
        <v>193</v>
      </c>
      <c r="AS195" s="97"/>
      <c r="AT195" s="97"/>
    </row>
    <row r="196" hidden="1" spans="1:46">
      <c r="A196" s="182"/>
      <c r="B196" s="154" t="s">
        <v>372</v>
      </c>
      <c r="C196" s="182" t="s">
        <v>16</v>
      </c>
      <c r="D196" s="182" t="s">
        <v>178</v>
      </c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0"/>
      <c r="Z196" s="183"/>
      <c r="AA196" s="180"/>
      <c r="AB196" s="180"/>
      <c r="AC196" s="180"/>
      <c r="AD196" s="180"/>
      <c r="AE196" s="180"/>
      <c r="AF196" s="180"/>
      <c r="AG196" s="180"/>
      <c r="AH196" s="180"/>
      <c r="AI196" s="180"/>
      <c r="AJ196" s="180"/>
      <c r="AK196" s="43"/>
      <c r="AL196" s="43"/>
      <c r="AM196" s="35">
        <f t="shared" si="23"/>
        <v>0</v>
      </c>
      <c r="AN196" s="43">
        <f t="shared" si="24"/>
        <v>0</v>
      </c>
      <c r="AO196" s="35">
        <f t="shared" si="25"/>
        <v>0</v>
      </c>
      <c r="AP196" s="36">
        <f t="shared" si="27"/>
        <v>0</v>
      </c>
      <c r="AQ196" s="37">
        <f t="shared" si="26"/>
        <v>0</v>
      </c>
      <c r="AR196" s="43" t="s">
        <v>336</v>
      </c>
    </row>
    <row r="197" s="20" customFormat="1" ht="19.5" hidden="1" customHeight="1" spans="1:46">
      <c r="A197" s="182"/>
      <c r="B197" s="154" t="s">
        <v>373</v>
      </c>
      <c r="C197" s="182" t="s">
        <v>211</v>
      </c>
      <c r="D197" s="182" t="s">
        <v>112</v>
      </c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241" t="s">
        <v>11</v>
      </c>
      <c r="V197" s="183"/>
      <c r="W197" s="183"/>
      <c r="X197" s="183"/>
      <c r="Y197" s="183"/>
      <c r="Z197" s="183"/>
      <c r="AA197" s="183"/>
      <c r="AB197" s="180"/>
      <c r="AC197" s="180"/>
      <c r="AD197" s="180"/>
      <c r="AE197" s="180"/>
      <c r="AF197" s="180"/>
      <c r="AG197" s="180"/>
      <c r="AH197" s="180"/>
      <c r="AI197" s="180"/>
      <c r="AJ197" s="180"/>
      <c r="AK197" s="43"/>
      <c r="AL197" s="43"/>
      <c r="AM197" s="35">
        <f t="shared" si="23"/>
        <v>1</v>
      </c>
      <c r="AN197" s="43">
        <f t="shared" si="24"/>
        <v>0</v>
      </c>
      <c r="AO197" s="35">
        <f t="shared" si="25"/>
        <v>0</v>
      </c>
      <c r="AP197" s="103">
        <f t="shared" si="27"/>
        <v>0</v>
      </c>
      <c r="AQ197" s="37">
        <f t="shared" si="26"/>
        <v>1</v>
      </c>
      <c r="AR197" s="43" t="s">
        <v>336</v>
      </c>
    </row>
    <row r="198" s="20" customFormat="1" ht="19.5" hidden="1" customHeight="1" spans="1:46">
      <c r="A198" s="182"/>
      <c r="B198" s="154" t="s">
        <v>374</v>
      </c>
      <c r="C198" s="182" t="s">
        <v>16</v>
      </c>
      <c r="D198" s="182" t="s">
        <v>112</v>
      </c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241" t="s">
        <v>11</v>
      </c>
      <c r="R198" s="183"/>
      <c r="S198" s="183"/>
      <c r="T198" s="183"/>
      <c r="U198" s="183"/>
      <c r="V198" s="183"/>
      <c r="W198" s="183"/>
      <c r="X198" s="183"/>
      <c r="Y198" s="183"/>
      <c r="Z198" s="241" t="s">
        <v>11</v>
      </c>
      <c r="AA198" s="183"/>
      <c r="AB198" s="180"/>
      <c r="AC198" s="180"/>
      <c r="AD198" s="180"/>
      <c r="AE198" s="180"/>
      <c r="AF198" s="180"/>
      <c r="AG198" s="180"/>
      <c r="AH198" s="180" t="s">
        <v>12</v>
      </c>
      <c r="AI198" s="180"/>
      <c r="AJ198" s="180"/>
      <c r="AK198" s="43"/>
      <c r="AL198" s="43"/>
      <c r="AM198" s="35">
        <f t="shared" si="23"/>
        <v>2</v>
      </c>
      <c r="AN198" s="43">
        <f t="shared" si="24"/>
        <v>1</v>
      </c>
      <c r="AO198" s="35">
        <f t="shared" si="25"/>
        <v>0</v>
      </c>
      <c r="AP198" s="36">
        <f t="shared" si="27"/>
        <v>0</v>
      </c>
      <c r="AQ198" s="37">
        <f t="shared" si="26"/>
        <v>3</v>
      </c>
      <c r="AR198" s="43" t="s">
        <v>404</v>
      </c>
    </row>
    <row r="199" s="20" customFormat="1" ht="19.5" hidden="1" customHeight="1" spans="1:46">
      <c r="A199" s="182"/>
      <c r="B199" s="154" t="s">
        <v>375</v>
      </c>
      <c r="C199" s="182" t="s">
        <v>16</v>
      </c>
      <c r="D199" s="182" t="s">
        <v>178</v>
      </c>
      <c r="E199" s="183"/>
      <c r="F199" s="183"/>
      <c r="G199" s="183"/>
      <c r="H199" s="183"/>
      <c r="I199" s="183"/>
      <c r="J199" s="183"/>
      <c r="K199" s="183"/>
      <c r="L199" s="183"/>
      <c r="M199" s="96" t="s">
        <v>12</v>
      </c>
      <c r="N199" s="183"/>
      <c r="O199" s="183"/>
      <c r="P199" s="183"/>
      <c r="Q199" s="183"/>
      <c r="R199" s="183"/>
      <c r="S199" s="96" t="s">
        <v>11</v>
      </c>
      <c r="T199" s="183"/>
      <c r="U199" s="183"/>
      <c r="V199" s="183"/>
      <c r="W199" s="183"/>
      <c r="X199" s="183"/>
      <c r="Y199" s="183"/>
      <c r="Z199" s="183"/>
      <c r="AA199" s="183"/>
      <c r="AB199" s="180"/>
      <c r="AC199" s="180"/>
      <c r="AD199" s="180"/>
      <c r="AE199" s="180"/>
      <c r="AF199" s="180"/>
      <c r="AG199" s="180"/>
      <c r="AH199" s="180"/>
      <c r="AI199" s="180"/>
      <c r="AJ199" s="180"/>
      <c r="AK199" s="43"/>
      <c r="AL199" s="43"/>
      <c r="AM199" s="35">
        <f t="shared" si="23"/>
        <v>1</v>
      </c>
      <c r="AN199" s="43">
        <f t="shared" si="24"/>
        <v>1</v>
      </c>
      <c r="AO199" s="35">
        <f t="shared" si="25"/>
        <v>0</v>
      </c>
      <c r="AP199" s="36">
        <f t="shared" si="27"/>
        <v>0</v>
      </c>
      <c r="AQ199" s="37">
        <f t="shared" si="26"/>
        <v>2</v>
      </c>
      <c r="AR199" s="43" t="s">
        <v>336</v>
      </c>
    </row>
    <row r="200" s="116" customFormat="1" hidden="1" spans="1:46">
      <c r="A200" s="251"/>
      <c r="B200" s="154" t="s">
        <v>376</v>
      </c>
      <c r="C200" s="190" t="s">
        <v>296</v>
      </c>
      <c r="D200" s="190" t="s">
        <v>112</v>
      </c>
      <c r="E200" s="252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42"/>
      <c r="T200" s="242"/>
      <c r="U200" s="241" t="s">
        <v>13</v>
      </c>
      <c r="V200" s="253"/>
      <c r="W200" s="253"/>
      <c r="X200" s="253"/>
      <c r="Y200" s="253"/>
      <c r="Z200" s="253"/>
      <c r="AA200" s="253"/>
      <c r="AB200" s="254"/>
      <c r="AC200" s="254"/>
      <c r="AD200" s="254"/>
      <c r="AE200" s="254"/>
      <c r="AF200" s="254"/>
      <c r="AG200" s="254"/>
      <c r="AH200" s="254"/>
      <c r="AI200" s="254"/>
      <c r="AJ200" s="254"/>
      <c r="AK200" s="255"/>
      <c r="AL200" s="255"/>
      <c r="AM200" s="192">
        <f t="shared" si="23"/>
        <v>0</v>
      </c>
      <c r="AN200" s="187">
        <f t="shared" si="24"/>
        <v>0</v>
      </c>
      <c r="AO200" s="192">
        <f t="shared" si="25"/>
        <v>1</v>
      </c>
      <c r="AP200" s="256">
        <f t="shared" si="27"/>
        <v>0</v>
      </c>
      <c r="AQ200" s="145">
        <f t="shared" si="26"/>
        <v>1</v>
      </c>
      <c r="AR200" s="187"/>
    </row>
    <row r="201" hidden="1" spans="1:46">
      <c r="B201" s="154" t="s">
        <v>377</v>
      </c>
      <c r="C201" s="194"/>
      <c r="D201" s="194"/>
      <c r="E201" s="194"/>
      <c r="F201" s="194"/>
      <c r="G201" s="194"/>
      <c r="H201" s="194"/>
      <c r="I201" s="96" t="s">
        <v>12</v>
      </c>
      <c r="J201" s="194"/>
      <c r="K201" s="194"/>
      <c r="L201" s="194"/>
      <c r="M201" s="194"/>
      <c r="N201" s="194"/>
      <c r="O201" s="194"/>
      <c r="P201" s="194"/>
      <c r="Q201" s="194"/>
      <c r="R201" s="241" t="s">
        <v>11</v>
      </c>
      <c r="S201" s="194"/>
      <c r="T201" s="194"/>
      <c r="U201" s="194"/>
      <c r="V201" s="194"/>
      <c r="W201" s="194"/>
      <c r="X201" s="194"/>
      <c r="Y201" s="37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M201" s="35">
        <f t="shared" si="23"/>
        <v>1</v>
      </c>
      <c r="AN201" s="43">
        <f t="shared" si="24"/>
        <v>1</v>
      </c>
      <c r="AO201" s="35">
        <f t="shared" si="25"/>
        <v>0</v>
      </c>
      <c r="AP201" s="36">
        <f t="shared" si="27"/>
        <v>0</v>
      </c>
      <c r="AQ201" s="37">
        <f t="shared" si="26"/>
        <v>2</v>
      </c>
      <c r="AR201" s="117"/>
    </row>
    <row r="202" hidden="1" spans="1:46">
      <c r="B202" s="195" t="s">
        <v>405</v>
      </c>
      <c r="C202" s="198"/>
      <c r="D202" s="196" t="s">
        <v>250</v>
      </c>
      <c r="E202" s="194"/>
      <c r="F202" s="194"/>
      <c r="G202" s="194"/>
      <c r="H202" s="194"/>
      <c r="I202" s="96" t="s">
        <v>12</v>
      </c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M202" s="35">
        <f t="shared" si="23"/>
        <v>0</v>
      </c>
      <c r="AN202" s="43">
        <f t="shared" si="24"/>
        <v>1</v>
      </c>
      <c r="AO202" s="35">
        <f t="shared" si="25"/>
        <v>0</v>
      </c>
      <c r="AP202" s="36">
        <f t="shared" si="27"/>
        <v>0</v>
      </c>
      <c r="AQ202" s="37">
        <f t="shared" si="26"/>
        <v>1</v>
      </c>
      <c r="AR202" s="189" t="s">
        <v>406</v>
      </c>
    </row>
    <row r="203" spans="1:46">
      <c r="B203" s="154" t="s">
        <v>407</v>
      </c>
      <c r="C203" s="154" t="s">
        <v>16</v>
      </c>
      <c r="D203" s="154" t="s">
        <v>112</v>
      </c>
      <c r="E203" s="194"/>
      <c r="F203" s="194"/>
      <c r="G203" s="194"/>
      <c r="H203" s="194"/>
      <c r="I203" s="96" t="s">
        <v>12</v>
      </c>
      <c r="J203" s="194"/>
      <c r="K203" s="194"/>
      <c r="L203" s="194"/>
      <c r="M203" s="194"/>
      <c r="N203" s="194"/>
      <c r="O203" s="241" t="s">
        <v>11</v>
      </c>
      <c r="P203" s="194"/>
      <c r="Q203" s="241" t="s">
        <v>11</v>
      </c>
      <c r="R203" s="194"/>
      <c r="S203" s="194"/>
      <c r="T203" s="194"/>
      <c r="U203" s="194"/>
      <c r="V203" s="194"/>
      <c r="W203" s="194"/>
      <c r="X203" s="37" t="s">
        <v>11</v>
      </c>
      <c r="Y203" s="37"/>
      <c r="Z203" s="194"/>
      <c r="AA203" s="194"/>
      <c r="AB203" s="194"/>
      <c r="AC203" s="194"/>
      <c r="AD203" s="194"/>
      <c r="AE203" s="37" t="s">
        <v>12</v>
      </c>
      <c r="AF203" s="194"/>
      <c r="AG203" s="194"/>
      <c r="AH203" s="194"/>
      <c r="AI203" s="194"/>
      <c r="AJ203" s="194"/>
      <c r="AM203" s="35">
        <f t="shared" si="23"/>
        <v>3</v>
      </c>
      <c r="AN203" s="43">
        <f t="shared" si="24"/>
        <v>2</v>
      </c>
      <c r="AO203" s="35">
        <f t="shared" si="25"/>
        <v>0</v>
      </c>
      <c r="AP203" s="36">
        <f t="shared" si="27"/>
        <v>0</v>
      </c>
      <c r="AQ203" s="37">
        <f t="shared" si="26"/>
        <v>5</v>
      </c>
      <c r="AR203" s="43" t="s">
        <v>193</v>
      </c>
    </row>
    <row r="204" hidden="1" spans="1:46">
      <c r="B204" s="197" t="s">
        <v>408</v>
      </c>
      <c r="C204" s="182" t="s">
        <v>16</v>
      </c>
      <c r="D204" s="182" t="s">
        <v>112</v>
      </c>
      <c r="E204" s="257"/>
      <c r="F204" s="198"/>
      <c r="G204" s="198"/>
      <c r="H204" s="198"/>
      <c r="I204" s="198"/>
      <c r="J204" s="198"/>
      <c r="K204" s="198"/>
      <c r="L204" s="198"/>
      <c r="M204" s="243"/>
      <c r="N204" s="112"/>
      <c r="O204" s="244" t="s">
        <v>11</v>
      </c>
      <c r="P204" s="198"/>
      <c r="Q204" s="198"/>
      <c r="R204" s="198"/>
      <c r="S204" s="198"/>
      <c r="T204" s="198"/>
      <c r="U204" s="198"/>
      <c r="V204" s="198"/>
      <c r="W204" s="37" t="s">
        <v>11</v>
      </c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M204" s="35">
        <f t="shared" si="23"/>
        <v>2</v>
      </c>
      <c r="AN204" s="43">
        <f t="shared" si="24"/>
        <v>0</v>
      </c>
      <c r="AO204" s="35">
        <f t="shared" si="25"/>
        <v>0</v>
      </c>
      <c r="AP204" s="103">
        <f t="shared" si="27"/>
        <v>0</v>
      </c>
      <c r="AQ204" s="37">
        <f t="shared" si="26"/>
        <v>2</v>
      </c>
      <c r="AR204" s="43" t="s">
        <v>336</v>
      </c>
    </row>
    <row r="205" hidden="1" spans="1:46">
      <c r="B205" s="200" t="s">
        <v>409</v>
      </c>
      <c r="C205" s="201" t="s">
        <v>16</v>
      </c>
      <c r="D205" s="201" t="s">
        <v>178</v>
      </c>
      <c r="E205" s="202"/>
      <c r="F205" s="202"/>
      <c r="G205" s="202"/>
      <c r="H205" s="202"/>
      <c r="I205" s="215"/>
      <c r="J205" s="215"/>
      <c r="K205" s="241" t="s">
        <v>12</v>
      </c>
      <c r="L205" s="202"/>
      <c r="M205" s="241" t="s">
        <v>11</v>
      </c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M205" s="131">
        <f t="shared" si="23"/>
        <v>1</v>
      </c>
      <c r="AN205" s="189">
        <f t="shared" si="24"/>
        <v>1</v>
      </c>
      <c r="AO205" s="131">
        <f t="shared" si="25"/>
        <v>0</v>
      </c>
      <c r="AP205" s="103">
        <f t="shared" si="27"/>
        <v>0</v>
      </c>
      <c r="AQ205" s="128">
        <f t="shared" si="26"/>
        <v>2</v>
      </c>
      <c r="AR205" s="43" t="s">
        <v>336</v>
      </c>
    </row>
    <row r="206" hidden="1" spans="1:46">
      <c r="B206" s="154" t="s">
        <v>410</v>
      </c>
      <c r="C206" s="154" t="s">
        <v>59</v>
      </c>
      <c r="D206" s="154" t="s">
        <v>350</v>
      </c>
      <c r="I206" s="241"/>
      <c r="J206" s="241"/>
      <c r="K206" s="241" t="s">
        <v>12</v>
      </c>
      <c r="L206" s="202"/>
      <c r="M206" s="202"/>
      <c r="N206" s="202"/>
      <c r="O206" s="202"/>
      <c r="P206" s="202"/>
      <c r="Q206" s="202"/>
      <c r="R206" s="202"/>
      <c r="S206" s="202"/>
      <c r="T206" s="202"/>
      <c r="U206" s="37" t="s">
        <v>11</v>
      </c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M206" s="35">
        <f t="shared" si="23"/>
        <v>1</v>
      </c>
      <c r="AN206" s="43">
        <f t="shared" si="24"/>
        <v>1</v>
      </c>
      <c r="AO206" s="35">
        <f t="shared" si="25"/>
        <v>0</v>
      </c>
      <c r="AP206" s="36">
        <f t="shared" si="27"/>
        <v>0</v>
      </c>
      <c r="AQ206" s="37">
        <f t="shared" si="26"/>
        <v>2</v>
      </c>
      <c r="AR206" s="43" t="s">
        <v>315</v>
      </c>
    </row>
    <row r="207" hidden="1" spans="1:46">
      <c r="B207" s="194" t="s">
        <v>104</v>
      </c>
      <c r="C207" s="182" t="s">
        <v>16</v>
      </c>
      <c r="D207" s="152" t="s">
        <v>411</v>
      </c>
      <c r="E207" s="198"/>
      <c r="F207" s="194"/>
      <c r="G207" s="194"/>
      <c r="H207" s="194"/>
      <c r="I207" s="194"/>
      <c r="J207" s="194"/>
      <c r="K207" s="194"/>
      <c r="L207" s="198"/>
      <c r="M207" s="241" t="s">
        <v>11</v>
      </c>
      <c r="N207" s="198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</row>
    <row r="208" hidden="1" spans="1:46">
      <c r="B208" s="154" t="s">
        <v>412</v>
      </c>
      <c r="C208" s="182" t="s">
        <v>413</v>
      </c>
      <c r="D208" s="204" t="s">
        <v>414</v>
      </c>
      <c r="E208" s="97"/>
      <c r="F208" s="97"/>
      <c r="G208" s="97"/>
      <c r="H208" s="97"/>
      <c r="I208" s="97"/>
      <c r="J208" s="97"/>
      <c r="K208" s="241" t="s">
        <v>11</v>
      </c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M208" s="43">
        <f>COUNTIF(E208:AJ208,"S")</f>
        <v>1</v>
      </c>
      <c r="AN208" s="43">
        <f>COUNTIF(E208:AJ208,"I")</f>
        <v>0</v>
      </c>
      <c r="AO208" s="43">
        <f>COUNTIF(E208:AJ208,"A")</f>
        <v>0</v>
      </c>
      <c r="AP208" s="66">
        <f>COUNTIF(E208:AJ208,"OFF")</f>
        <v>0</v>
      </c>
      <c r="AQ208" s="43">
        <f>SUM(AL208:AO208)</f>
        <v>1</v>
      </c>
      <c r="AR208" s="43" t="s">
        <v>336</v>
      </c>
    </row>
    <row r="209" hidden="1" spans="2:44">
      <c r="B209" s="154" t="s">
        <v>415</v>
      </c>
      <c r="C209" s="182" t="s">
        <v>16</v>
      </c>
      <c r="D209" s="201" t="s">
        <v>178</v>
      </c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37" t="s">
        <v>11</v>
      </c>
      <c r="V209" s="97"/>
      <c r="W209" s="97"/>
      <c r="X209" s="97"/>
      <c r="Y209" s="97"/>
      <c r="Z209" s="97"/>
      <c r="AA209" s="97"/>
      <c r="AB209" s="97"/>
      <c r="AC209" s="97"/>
      <c r="AD209" s="97"/>
      <c r="AE209" s="97"/>
      <c r="AF209" s="97"/>
      <c r="AG209" s="97"/>
      <c r="AH209" s="97"/>
      <c r="AI209" s="97"/>
      <c r="AJ209" s="97"/>
      <c r="AM209" s="35">
        <f>COUNTIF(E209:AJ209,"S")</f>
        <v>1</v>
      </c>
      <c r="AN209" s="43">
        <f>COUNTIF(E209:AJ209,"I")</f>
        <v>0</v>
      </c>
      <c r="AO209" s="35">
        <f>COUNTIF(E209:AJ209,"A")</f>
        <v>0</v>
      </c>
      <c r="AP209" s="103">
        <f>COUNTIF(E209:AJ209,"OFF")</f>
        <v>0</v>
      </c>
      <c r="AQ209" s="37">
        <f>SUM(AL209:AO209)</f>
        <v>1</v>
      </c>
      <c r="AR209" s="43" t="s">
        <v>336</v>
      </c>
    </row>
    <row r="210" hidden="1" spans="2:44">
      <c r="B210" s="195" t="s">
        <v>416</v>
      </c>
      <c r="C210" s="195" t="s">
        <v>16</v>
      </c>
      <c r="D210" s="162" t="s">
        <v>178</v>
      </c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28"/>
      <c r="V210" s="162"/>
      <c r="W210" s="128" t="s">
        <v>103</v>
      </c>
      <c r="X210" s="162"/>
      <c r="Y210" s="128" t="s">
        <v>103</v>
      </c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M210" s="131">
        <f>COUNTIF(E210:AJ210,"S")</f>
        <v>0</v>
      </c>
      <c r="AN210" s="189">
        <f>COUNTIF(E210:AJ210,"I")</f>
        <v>2</v>
      </c>
      <c r="AO210" s="207">
        <f>COUNTIF(E210:AJ210,"A")</f>
        <v>0</v>
      </c>
      <c r="AP210" s="101">
        <f>COUNTIF(E210:AJ210,"OFF")</f>
        <v>0</v>
      </c>
      <c r="AQ210" s="208">
        <f>SUM(AL210:AO210)</f>
        <v>2</v>
      </c>
      <c r="AR210" s="209" t="s">
        <v>417</v>
      </c>
    </row>
    <row r="211" hidden="1" spans="2:44">
      <c r="B211" s="197" t="s">
        <v>418</v>
      </c>
      <c r="C211" s="154" t="s">
        <v>16</v>
      </c>
      <c r="D211" s="162" t="s">
        <v>180</v>
      </c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37" t="s">
        <v>11</v>
      </c>
      <c r="AE211" s="97"/>
      <c r="AF211" s="97"/>
      <c r="AG211" s="97"/>
      <c r="AH211" s="97"/>
      <c r="AI211" s="97"/>
      <c r="AJ211" s="97"/>
      <c r="AK211" s="210"/>
      <c r="AL211" s="97"/>
      <c r="AM211" s="35">
        <f>COUNTIF(E211:AJ211,"S")</f>
        <v>1</v>
      </c>
      <c r="AN211" s="43">
        <f>COUNTIF(E211:AJ211,"I")</f>
        <v>0</v>
      </c>
      <c r="AO211" s="35">
        <f>COUNTIF(E211:AJ211,"A")</f>
        <v>0</v>
      </c>
      <c r="AP211" s="36">
        <f>COUNTIF(E211:AJ211,"OFF")</f>
        <v>0</v>
      </c>
      <c r="AQ211" s="37">
        <f>SUM(AL211:AO211)</f>
        <v>1</v>
      </c>
      <c r="AR211" s="43" t="s">
        <v>382</v>
      </c>
    </row>
  </sheetData>
  <autoFilter xmlns:etc="http://www.wps.cn/officeDocument/2017/etCustomData" ref="A11:AT211" etc:filterBottomFollowUsedRange="0">
    <filterColumn colId="42">
      <filters>
        <filter val="4"/>
        <filter val="5"/>
        <filter val="6"/>
      </filters>
    </filterColumn>
    <extLst/>
  </autoFilter>
  <mergeCells count="13">
    <mergeCell ref="E10:AJ10"/>
    <mergeCell ref="AM10:AP10"/>
    <mergeCell ref="A10:A11"/>
    <mergeCell ref="B10:B11"/>
    <mergeCell ref="C10:C11"/>
    <mergeCell ref="D10:D11"/>
    <mergeCell ref="AL10:AL11"/>
    <mergeCell ref="AQ10:AQ11"/>
    <mergeCell ref="AR10:AR11"/>
    <mergeCell ref="AS10:AS11"/>
    <mergeCell ref="AT10:AT11"/>
    <mergeCell ref="E4:AJ6"/>
    <mergeCell ref="E7:AJ8"/>
  </mergeCells>
  <conditionalFormatting sqref="AH151:AI151">
    <cfRule type="containsText" dxfId="3" priority="851" operator="between" text="OFF">
      <formula>NOT(ISERROR(SEARCH("OFF",AH151)))</formula>
    </cfRule>
    <cfRule type="containsText" dxfId="4" priority="852" operator="between" text="OFF">
      <formula>NOT(ISERROR(SEARCH("OFF",AH151)))</formula>
    </cfRule>
    <cfRule type="containsText" dxfId="5" priority="853" operator="between" text="S">
      <formula>NOT(ISERROR(SEARCH("S",AH151)))</formula>
    </cfRule>
    <cfRule type="containsText" dxfId="6" priority="854" operator="between" text="I">
      <formula>NOT(ISERROR(SEARCH("I",AH151)))</formula>
    </cfRule>
    <cfRule type="containsText" dxfId="7" priority="855" operator="between" text="A">
      <formula>NOT(ISERROR(SEARCH("A",AH151)))</formula>
    </cfRule>
    <cfRule type="containsText" dxfId="8" priority="856" operator="between" text="L">
      <formula>NOT(ISERROR(SEARCH("L",AH151)))</formula>
    </cfRule>
    <cfRule type="containsText" dxfId="6" priority="857" operator="between" text="A">
      <formula>NOT(ISERROR(SEARCH("A",AH151)))</formula>
    </cfRule>
    <cfRule type="containsText" dxfId="7" priority="858" operator="between" text="S">
      <formula>NOT(ISERROR(SEARCH("S",AH151)))</formula>
    </cfRule>
    <cfRule type="containsText" dxfId="5" priority="859" operator="between" text="OFF">
      <formula>NOT(ISERROR(SEARCH("OFF",AH151)))</formula>
    </cfRule>
    <cfRule type="containsText" dxfId="7" priority="860" operator="between" text="OFF">
      <formula>NOT(ISERROR(SEARCH("OFF",AH151)))</formula>
    </cfRule>
  </conditionalFormatting>
  <conditionalFormatting sqref="G164">
    <cfRule type="containsText" dxfId="3" priority="821" operator="between" text="OFF">
      <formula>NOT(ISERROR(SEARCH("OFF",G164)))</formula>
    </cfRule>
    <cfRule type="containsText" dxfId="4" priority="822" operator="between" text="OFF">
      <formula>NOT(ISERROR(SEARCH("OFF",G164)))</formula>
    </cfRule>
    <cfRule type="containsText" dxfId="5" priority="823" operator="between" text="S">
      <formula>NOT(ISERROR(SEARCH("S",G164)))</formula>
    </cfRule>
    <cfRule type="containsText" dxfId="6" priority="824" operator="between" text="I">
      <formula>NOT(ISERROR(SEARCH("I",G164)))</formula>
    </cfRule>
    <cfRule type="containsText" dxfId="7" priority="825" operator="between" text="A">
      <formula>NOT(ISERROR(SEARCH("A",G164)))</formula>
    </cfRule>
    <cfRule type="containsText" dxfId="8" priority="826" operator="between" text="L">
      <formula>NOT(ISERROR(SEARCH("L",G164)))</formula>
    </cfRule>
    <cfRule type="containsText" dxfId="6" priority="827" operator="between" text="A">
      <formula>NOT(ISERROR(SEARCH("A",G164)))</formula>
    </cfRule>
    <cfRule type="containsText" dxfId="7" priority="828" operator="between" text="S">
      <formula>NOT(ISERROR(SEARCH("S",G164)))</formula>
    </cfRule>
    <cfRule type="containsText" dxfId="5" priority="829" operator="between" text="OFF">
      <formula>NOT(ISERROR(SEARCH("OFF",G164)))</formula>
    </cfRule>
    <cfRule type="containsText" dxfId="7" priority="830" operator="between" text="OFF">
      <formula>NOT(ISERROR(SEARCH("OFF",G164)))</formula>
    </cfRule>
  </conditionalFormatting>
  <conditionalFormatting sqref="Y164">
    <cfRule type="containsText" dxfId="3" priority="871" operator="between" text="OFF">
      <formula>NOT(ISERROR(SEARCH("OFF",Y164)))</formula>
    </cfRule>
    <cfRule type="containsText" dxfId="4" priority="872" operator="between" text="OFF">
      <formula>NOT(ISERROR(SEARCH("OFF",Y164)))</formula>
    </cfRule>
    <cfRule type="containsText" dxfId="5" priority="873" operator="between" text="S">
      <formula>NOT(ISERROR(SEARCH("S",Y164)))</formula>
    </cfRule>
    <cfRule type="containsText" dxfId="6" priority="874" operator="between" text="I">
      <formula>NOT(ISERROR(SEARCH("I",Y164)))</formula>
    </cfRule>
    <cfRule type="containsText" dxfId="7" priority="875" operator="between" text="A">
      <formula>NOT(ISERROR(SEARCH("A",Y164)))</formula>
    </cfRule>
    <cfRule type="containsText" dxfId="8" priority="876" operator="between" text="L">
      <formula>NOT(ISERROR(SEARCH("L",Y164)))</formula>
    </cfRule>
    <cfRule type="containsText" dxfId="6" priority="877" operator="between" text="A">
      <formula>NOT(ISERROR(SEARCH("A",Y164)))</formula>
    </cfRule>
    <cfRule type="containsText" dxfId="7" priority="878" operator="between" text="S">
      <formula>NOT(ISERROR(SEARCH("S",Y164)))</formula>
    </cfRule>
    <cfRule type="containsText" dxfId="5" priority="879" operator="between" text="OFF">
      <formula>NOT(ISERROR(SEARCH("OFF",Y164)))</formula>
    </cfRule>
    <cfRule type="containsText" dxfId="7" priority="880" operator="between" text="OFF">
      <formula>NOT(ISERROR(SEARCH("OFF",Y164)))</formula>
    </cfRule>
  </conditionalFormatting>
  <conditionalFormatting sqref="H165:I165">
    <cfRule type="containsText" dxfId="3" priority="831" operator="between" text="OFF">
      <formula>NOT(ISERROR(SEARCH("OFF",H165)))</formula>
    </cfRule>
    <cfRule type="containsText" dxfId="4" priority="832" operator="between" text="OFF">
      <formula>NOT(ISERROR(SEARCH("OFF",H165)))</formula>
    </cfRule>
    <cfRule type="containsText" dxfId="5" priority="833" operator="between" text="S">
      <formula>NOT(ISERROR(SEARCH("S",H165)))</formula>
    </cfRule>
    <cfRule type="containsText" dxfId="6" priority="834" operator="between" text="I">
      <formula>NOT(ISERROR(SEARCH("I",H165)))</formula>
    </cfRule>
    <cfRule type="containsText" dxfId="7" priority="835" operator="between" text="A">
      <formula>NOT(ISERROR(SEARCH("A",H165)))</formula>
    </cfRule>
    <cfRule type="containsText" dxfId="8" priority="836" operator="between" text="L">
      <formula>NOT(ISERROR(SEARCH("L",H165)))</formula>
    </cfRule>
    <cfRule type="containsText" dxfId="6" priority="837" operator="between" text="A">
      <formula>NOT(ISERROR(SEARCH("A",H165)))</formula>
    </cfRule>
    <cfRule type="containsText" dxfId="7" priority="838" operator="between" text="S">
      <formula>NOT(ISERROR(SEARCH("S",H165)))</formula>
    </cfRule>
    <cfRule type="containsText" dxfId="5" priority="839" operator="between" text="OFF">
      <formula>NOT(ISERROR(SEARCH("OFF",H165)))</formula>
    </cfRule>
    <cfRule type="containsText" dxfId="7" priority="840" operator="between" text="OFF">
      <formula>NOT(ISERROR(SEARCH("OFF",H165)))</formula>
    </cfRule>
  </conditionalFormatting>
  <conditionalFormatting sqref="S165">
    <cfRule type="containsText" dxfId="3" priority="391" operator="between" text="OFF">
      <formula>NOT(ISERROR(SEARCH("OFF",S165)))</formula>
    </cfRule>
    <cfRule type="containsText" dxfId="4" priority="392" operator="between" text="OFF">
      <formula>NOT(ISERROR(SEARCH("OFF",S165)))</formula>
    </cfRule>
    <cfRule type="containsText" dxfId="5" priority="393" operator="between" text="S">
      <formula>NOT(ISERROR(SEARCH("S",S165)))</formula>
    </cfRule>
    <cfRule type="containsText" dxfId="6" priority="394" operator="between" text="I">
      <formula>NOT(ISERROR(SEARCH("I",S165)))</formula>
    </cfRule>
    <cfRule type="containsText" dxfId="7" priority="395" operator="between" text="A">
      <formula>NOT(ISERROR(SEARCH("A",S165)))</formula>
    </cfRule>
    <cfRule type="containsText" dxfId="8" priority="396" operator="between" text="L">
      <formula>NOT(ISERROR(SEARCH("L",S165)))</formula>
    </cfRule>
    <cfRule type="containsText" dxfId="6" priority="397" operator="between" text="A">
      <formula>NOT(ISERROR(SEARCH("A",S165)))</formula>
    </cfRule>
    <cfRule type="containsText" dxfId="7" priority="398" operator="between" text="S">
      <formula>NOT(ISERROR(SEARCH("S",S165)))</formula>
    </cfRule>
    <cfRule type="containsText" dxfId="5" priority="399" operator="between" text="OFF">
      <formula>NOT(ISERROR(SEARCH("OFF",S165)))</formula>
    </cfRule>
    <cfRule type="containsText" dxfId="7" priority="400" operator="between" text="OFF">
      <formula>NOT(ISERROR(SEARCH("OFF",S165)))</formula>
    </cfRule>
  </conditionalFormatting>
  <conditionalFormatting sqref="AC165">
    <cfRule type="containsText" dxfId="3" priority="91" operator="between" text="OFF">
      <formula>NOT(ISERROR(SEARCH("OFF",AC165)))</formula>
    </cfRule>
    <cfRule type="containsText" dxfId="4" priority="92" operator="between" text="OFF">
      <formula>NOT(ISERROR(SEARCH("OFF",AC165)))</formula>
    </cfRule>
    <cfRule type="containsText" dxfId="5" priority="93" operator="between" text="S">
      <formula>NOT(ISERROR(SEARCH("S",AC165)))</formula>
    </cfRule>
    <cfRule type="containsText" dxfId="6" priority="94" operator="between" text="I">
      <formula>NOT(ISERROR(SEARCH("I",AC165)))</formula>
    </cfRule>
    <cfRule type="containsText" dxfId="7" priority="95" operator="between" text="A">
      <formula>NOT(ISERROR(SEARCH("A",AC165)))</formula>
    </cfRule>
    <cfRule type="containsText" dxfId="8" priority="96" operator="between" text="L">
      <formula>NOT(ISERROR(SEARCH("L",AC165)))</formula>
    </cfRule>
    <cfRule type="containsText" dxfId="6" priority="97" operator="between" text="A">
      <formula>NOT(ISERROR(SEARCH("A",AC165)))</formula>
    </cfRule>
    <cfRule type="containsText" dxfId="7" priority="98" operator="between" text="S">
      <formula>NOT(ISERROR(SEARCH("S",AC165)))</formula>
    </cfRule>
    <cfRule type="containsText" dxfId="5" priority="99" operator="between" text="OFF">
      <formula>NOT(ISERROR(SEARCH("OFF",AC165)))</formula>
    </cfRule>
    <cfRule type="containsText" dxfId="7" priority="100" operator="between" text="OFF">
      <formula>NOT(ISERROR(SEARCH("OFF",AC165)))</formula>
    </cfRule>
  </conditionalFormatting>
  <conditionalFormatting sqref="AH165:AI165">
    <cfRule type="containsText" dxfId="3" priority="861" operator="between" text="OFF">
      <formula>NOT(ISERROR(SEARCH("OFF",AH165)))</formula>
    </cfRule>
    <cfRule type="containsText" dxfId="4" priority="862" operator="between" text="OFF">
      <formula>NOT(ISERROR(SEARCH("OFF",AH165)))</formula>
    </cfRule>
    <cfRule type="containsText" dxfId="5" priority="863" operator="between" text="S">
      <formula>NOT(ISERROR(SEARCH("S",AH165)))</formula>
    </cfRule>
    <cfRule type="containsText" dxfId="6" priority="864" operator="between" text="I">
      <formula>NOT(ISERROR(SEARCH("I",AH165)))</formula>
    </cfRule>
    <cfRule type="containsText" dxfId="7" priority="865" operator="between" text="A">
      <formula>NOT(ISERROR(SEARCH("A",AH165)))</formula>
    </cfRule>
    <cfRule type="containsText" dxfId="8" priority="866" operator="between" text="L">
      <formula>NOT(ISERROR(SEARCH("L",AH165)))</formula>
    </cfRule>
    <cfRule type="containsText" dxfId="6" priority="867" operator="between" text="A">
      <formula>NOT(ISERROR(SEARCH("A",AH165)))</formula>
    </cfRule>
    <cfRule type="containsText" dxfId="7" priority="868" operator="between" text="S">
      <formula>NOT(ISERROR(SEARCH("S",AH165)))</formula>
    </cfRule>
    <cfRule type="containsText" dxfId="5" priority="869" operator="between" text="OFF">
      <formula>NOT(ISERROR(SEARCH("OFF",AH165)))</formula>
    </cfRule>
    <cfRule type="containsText" dxfId="7" priority="870" operator="between" text="OFF">
      <formula>NOT(ISERROR(SEARCH("OFF",AH165)))</formula>
    </cfRule>
  </conditionalFormatting>
  <conditionalFormatting sqref="H168:AH168">
    <cfRule type="containsText" dxfId="6" priority="894" operator="between" text="I">
      <formula>NOT(ISERROR(SEARCH("I",H168)))</formula>
    </cfRule>
    <cfRule type="containsText" dxfId="7" priority="895" operator="between" text="A">
      <formula>NOT(ISERROR(SEARCH("A",H168)))</formula>
    </cfRule>
    <cfRule type="containsText" dxfId="8" priority="896" operator="between" text="L">
      <formula>NOT(ISERROR(SEARCH("L",H168)))</formula>
    </cfRule>
    <cfRule type="containsText" dxfId="6" priority="897" operator="between" text="A">
      <formula>NOT(ISERROR(SEARCH("A",H168)))</formula>
    </cfRule>
    <cfRule type="containsText" dxfId="7" priority="898" operator="between" text="S">
      <formula>NOT(ISERROR(SEARCH("S",H168)))</formula>
    </cfRule>
    <cfRule type="containsText" dxfId="5" priority="899" operator="between" text="OFF">
      <formula>NOT(ISERROR(SEARCH("OFF",H168)))</formula>
    </cfRule>
    <cfRule type="containsText" dxfId="7" priority="900" operator="between" text="OFF">
      <formula>NOT(ISERROR(SEARCH("OFF",H168)))</formula>
    </cfRule>
  </conditionalFormatting>
  <conditionalFormatting sqref="H169:L169">
    <cfRule type="containsText" dxfId="6" priority="674" operator="between" text="I">
      <formula>NOT(ISERROR(SEARCH("I",H169)))</formula>
    </cfRule>
    <cfRule type="containsText" dxfId="7" priority="675" operator="between" text="A">
      <formula>NOT(ISERROR(SEARCH("A",H169)))</formula>
    </cfRule>
    <cfRule type="containsText" dxfId="8" priority="676" operator="between" text="L">
      <formula>NOT(ISERROR(SEARCH("L",H169)))</formula>
    </cfRule>
    <cfRule type="containsText" dxfId="6" priority="677" operator="between" text="A">
      <formula>NOT(ISERROR(SEARCH("A",H169)))</formula>
    </cfRule>
    <cfRule type="containsText" dxfId="7" priority="678" operator="between" text="S">
      <formula>NOT(ISERROR(SEARCH("S",H169)))</formula>
    </cfRule>
    <cfRule type="containsText" dxfId="5" priority="679" operator="between" text="OFF">
      <formula>NOT(ISERROR(SEARCH("OFF",H169)))</formula>
    </cfRule>
    <cfRule type="containsText" dxfId="7" priority="680" operator="between" text="OFF">
      <formula>NOT(ISERROR(SEARCH("OFF",H169)))</formula>
    </cfRule>
  </conditionalFormatting>
  <conditionalFormatting sqref="I180">
    <cfRule type="containsText" dxfId="3" priority="581" operator="between" text="OFF">
      <formula>NOT(ISERROR(SEARCH("OFF",I180)))</formula>
    </cfRule>
    <cfRule type="containsText" dxfId="4" priority="582" operator="between" text="OFF">
      <formula>NOT(ISERROR(SEARCH("OFF",I180)))</formula>
    </cfRule>
    <cfRule type="containsText" dxfId="5" priority="583" operator="between" text="S">
      <formula>NOT(ISERROR(SEARCH("S",I180)))</formula>
    </cfRule>
    <cfRule type="containsText" dxfId="6" priority="584" operator="between" text="I">
      <formula>NOT(ISERROR(SEARCH("I",I180)))</formula>
    </cfRule>
    <cfRule type="containsText" dxfId="7" priority="585" operator="between" text="A">
      <formula>NOT(ISERROR(SEARCH("A",I180)))</formula>
    </cfRule>
    <cfRule type="containsText" dxfId="8" priority="586" operator="between" text="L">
      <formula>NOT(ISERROR(SEARCH("L",I180)))</formula>
    </cfRule>
    <cfRule type="containsText" dxfId="6" priority="587" operator="between" text="A">
      <formula>NOT(ISERROR(SEARCH("A",I180)))</formula>
    </cfRule>
    <cfRule type="containsText" dxfId="7" priority="588" operator="between" text="S">
      <formula>NOT(ISERROR(SEARCH("S",I180)))</formula>
    </cfRule>
    <cfRule type="containsText" dxfId="5" priority="589" operator="between" text="OFF">
      <formula>NOT(ISERROR(SEARCH("OFF",I180)))</formula>
    </cfRule>
    <cfRule type="containsText" dxfId="7" priority="590" operator="between" text="OFF">
      <formula>NOT(ISERROR(SEARCH("OFF",I180)))</formula>
    </cfRule>
  </conditionalFormatting>
  <conditionalFormatting sqref="Y180">
    <cfRule type="containsText" dxfId="3" priority="171" operator="between" text="OFF">
      <formula>NOT(ISERROR(SEARCH("OFF",Y180)))</formula>
    </cfRule>
    <cfRule type="containsText" dxfId="4" priority="172" operator="between" text="OFF">
      <formula>NOT(ISERROR(SEARCH("OFF",Y180)))</formula>
    </cfRule>
    <cfRule type="containsText" dxfId="5" priority="173" operator="between" text="S">
      <formula>NOT(ISERROR(SEARCH("S",Y180)))</formula>
    </cfRule>
    <cfRule type="containsText" dxfId="6" priority="174" operator="between" text="I">
      <formula>NOT(ISERROR(SEARCH("I",Y180)))</formula>
    </cfRule>
    <cfRule type="containsText" dxfId="7" priority="175" operator="between" text="A">
      <formula>NOT(ISERROR(SEARCH("A",Y180)))</formula>
    </cfRule>
    <cfRule type="containsText" dxfId="8" priority="176" operator="between" text="L">
      <formula>NOT(ISERROR(SEARCH("L",Y180)))</formula>
    </cfRule>
    <cfRule type="containsText" dxfId="6" priority="177" operator="between" text="A">
      <formula>NOT(ISERROR(SEARCH("A",Y180)))</formula>
    </cfRule>
    <cfRule type="containsText" dxfId="7" priority="178" operator="between" text="S">
      <formula>NOT(ISERROR(SEARCH("S",Y180)))</formula>
    </cfRule>
    <cfRule type="containsText" dxfId="5" priority="179" operator="between" text="OFF">
      <formula>NOT(ISERROR(SEARCH("OFF",Y180)))</formula>
    </cfRule>
    <cfRule type="containsText" dxfId="7" priority="180" operator="between" text="OFF">
      <formula>NOT(ISERROR(SEARCH("OFF",Y180)))</formula>
    </cfRule>
  </conditionalFormatting>
  <conditionalFormatting sqref="AA180">
    <cfRule type="containsText" dxfId="3" priority="791" operator="between" text="OFF">
      <formula>NOT(ISERROR(SEARCH("OFF",AA180)))</formula>
    </cfRule>
    <cfRule type="containsText" dxfId="4" priority="792" operator="between" text="OFF">
      <formula>NOT(ISERROR(SEARCH("OFF",AA180)))</formula>
    </cfRule>
    <cfRule type="containsText" dxfId="5" priority="793" operator="between" text="S">
      <formula>NOT(ISERROR(SEARCH("S",AA180)))</formula>
    </cfRule>
    <cfRule type="containsText" dxfId="6" priority="794" operator="between" text="I">
      <formula>NOT(ISERROR(SEARCH("I",AA180)))</formula>
    </cfRule>
    <cfRule type="containsText" dxfId="7" priority="795" operator="between" text="A">
      <formula>NOT(ISERROR(SEARCH("A",AA180)))</formula>
    </cfRule>
    <cfRule type="containsText" dxfId="8" priority="796" operator="between" text="L">
      <formula>NOT(ISERROR(SEARCH("L",AA180)))</formula>
    </cfRule>
    <cfRule type="containsText" dxfId="6" priority="797" operator="between" text="A">
      <formula>NOT(ISERROR(SEARCH("A",AA180)))</formula>
    </cfRule>
    <cfRule type="containsText" dxfId="7" priority="798" operator="between" text="S">
      <formula>NOT(ISERROR(SEARCH("S",AA180)))</formula>
    </cfRule>
    <cfRule type="containsText" dxfId="5" priority="799" operator="between" text="OFF">
      <formula>NOT(ISERROR(SEARCH("OFF",AA180)))</formula>
    </cfRule>
    <cfRule type="containsText" dxfId="7" priority="800" operator="between" text="OFF">
      <formula>NOT(ISERROR(SEARCH("OFF",AA180)))</formula>
    </cfRule>
  </conditionalFormatting>
  <conditionalFormatting sqref="AD182">
    <cfRule type="containsText" dxfId="3" priority="71" operator="between" text="OFF">
      <formula>NOT(ISERROR(SEARCH("OFF",AD182)))</formula>
    </cfRule>
    <cfRule type="containsText" dxfId="4" priority="72" operator="between" text="OFF">
      <formula>NOT(ISERROR(SEARCH("OFF",AD182)))</formula>
    </cfRule>
    <cfRule type="containsText" dxfId="5" priority="73" operator="between" text="S">
      <formula>NOT(ISERROR(SEARCH("S",AD182)))</formula>
    </cfRule>
    <cfRule type="containsText" dxfId="6" priority="74" operator="between" text="I">
      <formula>NOT(ISERROR(SEARCH("I",AD182)))</formula>
    </cfRule>
    <cfRule type="containsText" dxfId="7" priority="75" operator="between" text="A">
      <formula>NOT(ISERROR(SEARCH("A",AD182)))</formula>
    </cfRule>
    <cfRule type="containsText" dxfId="8" priority="76" operator="between" text="L">
      <formula>NOT(ISERROR(SEARCH("L",AD182)))</formula>
    </cfRule>
    <cfRule type="containsText" dxfId="6" priority="77" operator="between" text="A">
      <formula>NOT(ISERROR(SEARCH("A",AD182)))</formula>
    </cfRule>
    <cfRule type="containsText" dxfId="7" priority="78" operator="between" text="S">
      <formula>NOT(ISERROR(SEARCH("S",AD182)))</formula>
    </cfRule>
    <cfRule type="containsText" dxfId="5" priority="79" operator="between" text="OFF">
      <formula>NOT(ISERROR(SEARCH("OFF",AD182)))</formula>
    </cfRule>
    <cfRule type="containsText" dxfId="7" priority="80" operator="between" text="OFF">
      <formula>NOT(ISERROR(SEARCH("OFF",AD182)))</formula>
    </cfRule>
  </conditionalFormatting>
  <conditionalFormatting sqref="I183">
    <cfRule type="containsText" dxfId="3" priority="641" operator="between" text="OFF">
      <formula>NOT(ISERROR(SEARCH("OFF",I183)))</formula>
    </cfRule>
    <cfRule type="containsText" dxfId="4" priority="642" operator="between" text="OFF">
      <formula>NOT(ISERROR(SEARCH("OFF",I183)))</formula>
    </cfRule>
    <cfRule type="containsText" dxfId="5" priority="643" operator="between" text="S">
      <formula>NOT(ISERROR(SEARCH("S",I183)))</formula>
    </cfRule>
    <cfRule type="containsText" dxfId="6" priority="644" operator="between" text="I">
      <formula>NOT(ISERROR(SEARCH("I",I183)))</formula>
    </cfRule>
    <cfRule type="containsText" dxfId="7" priority="645" operator="between" text="A">
      <formula>NOT(ISERROR(SEARCH("A",I183)))</formula>
    </cfRule>
    <cfRule type="containsText" dxfId="8" priority="646" operator="between" text="L">
      <formula>NOT(ISERROR(SEARCH("L",I183)))</formula>
    </cfRule>
    <cfRule type="containsText" dxfId="6" priority="647" operator="between" text="A">
      <formula>NOT(ISERROR(SEARCH("A",I183)))</formula>
    </cfRule>
    <cfRule type="containsText" dxfId="7" priority="648" operator="between" text="S">
      <formula>NOT(ISERROR(SEARCH("S",I183)))</formula>
    </cfRule>
    <cfRule type="containsText" dxfId="5" priority="649" operator="between" text="OFF">
      <formula>NOT(ISERROR(SEARCH("OFF",I183)))</formula>
    </cfRule>
    <cfRule type="containsText" dxfId="7" priority="650" operator="between" text="OFF">
      <formula>NOT(ISERROR(SEARCH("OFF",I183)))</formula>
    </cfRule>
  </conditionalFormatting>
  <conditionalFormatting sqref="X183:Z183">
    <cfRule type="containsText" dxfId="3" priority="131" operator="between" text="OFF">
      <formula>NOT(ISERROR(SEARCH("OFF",X183)))</formula>
    </cfRule>
    <cfRule type="containsText" dxfId="4" priority="132" operator="between" text="OFF">
      <formula>NOT(ISERROR(SEARCH("OFF",X183)))</formula>
    </cfRule>
    <cfRule type="containsText" dxfId="5" priority="133" operator="between" text="S">
      <formula>NOT(ISERROR(SEARCH("S",X183)))</formula>
    </cfRule>
    <cfRule type="containsText" dxfId="6" priority="134" operator="between" text="I">
      <formula>NOT(ISERROR(SEARCH("I",X183)))</formula>
    </cfRule>
    <cfRule type="containsText" dxfId="7" priority="135" operator="between" text="A">
      <formula>NOT(ISERROR(SEARCH("A",X183)))</formula>
    </cfRule>
    <cfRule type="containsText" dxfId="8" priority="136" operator="between" text="L">
      <formula>NOT(ISERROR(SEARCH("L",X183)))</formula>
    </cfRule>
    <cfRule type="containsText" dxfId="6" priority="137" operator="between" text="A">
      <formula>NOT(ISERROR(SEARCH("A",X183)))</formula>
    </cfRule>
    <cfRule type="containsText" dxfId="7" priority="138" operator="between" text="S">
      <formula>NOT(ISERROR(SEARCH("S",X183)))</formula>
    </cfRule>
    <cfRule type="containsText" dxfId="5" priority="139" operator="between" text="OFF">
      <formula>NOT(ISERROR(SEARCH("OFF",X183)))</formula>
    </cfRule>
    <cfRule type="containsText" dxfId="7" priority="140" operator="between" text="OFF">
      <formula>NOT(ISERROR(SEARCH("OFF",X183)))</formula>
    </cfRule>
  </conditionalFormatting>
  <conditionalFormatting sqref="U184">
    <cfRule type="containsText" dxfId="3" priority="321" operator="between" text="OFF">
      <formula>NOT(ISERROR(SEARCH("OFF",U184)))</formula>
    </cfRule>
    <cfRule type="containsText" dxfId="4" priority="322" operator="between" text="OFF">
      <formula>NOT(ISERROR(SEARCH("OFF",U184)))</formula>
    </cfRule>
    <cfRule type="containsText" dxfId="5" priority="323" operator="between" text="S">
      <formula>NOT(ISERROR(SEARCH("S",U184)))</formula>
    </cfRule>
    <cfRule type="containsText" dxfId="6" priority="324" operator="between" text="I">
      <formula>NOT(ISERROR(SEARCH("I",U184)))</formula>
    </cfRule>
    <cfRule type="containsText" dxfId="7" priority="325" operator="between" text="A">
      <formula>NOT(ISERROR(SEARCH("A",U184)))</formula>
    </cfRule>
    <cfRule type="containsText" dxfId="8" priority="326" operator="between" text="L">
      <formula>NOT(ISERROR(SEARCH("L",U184)))</formula>
    </cfRule>
    <cfRule type="containsText" dxfId="6" priority="327" operator="between" text="A">
      <formula>NOT(ISERROR(SEARCH("A",U184)))</formula>
    </cfRule>
    <cfRule type="containsText" dxfId="7" priority="328" operator="between" text="S">
      <formula>NOT(ISERROR(SEARCH("S",U184)))</formula>
    </cfRule>
    <cfRule type="containsText" dxfId="5" priority="329" operator="between" text="OFF">
      <formula>NOT(ISERROR(SEARCH("OFF",U184)))</formula>
    </cfRule>
    <cfRule type="containsText" dxfId="7" priority="330" operator="between" text="OFF">
      <formula>NOT(ISERROR(SEARCH("OFF",U184)))</formula>
    </cfRule>
  </conditionalFormatting>
  <conditionalFormatting sqref="W185">
    <cfRule type="containsText" dxfId="3" priority="221" operator="between" text="OFF">
      <formula>NOT(ISERROR(SEARCH("OFF",W185)))</formula>
    </cfRule>
    <cfRule type="containsText" dxfId="4" priority="222" operator="between" text="OFF">
      <formula>NOT(ISERROR(SEARCH("OFF",W185)))</formula>
    </cfRule>
    <cfRule type="containsText" dxfId="5" priority="223" operator="between" text="S">
      <formula>NOT(ISERROR(SEARCH("S",W185)))</formula>
    </cfRule>
    <cfRule type="containsText" dxfId="6" priority="224" operator="between" text="I">
      <formula>NOT(ISERROR(SEARCH("I",W185)))</formula>
    </cfRule>
    <cfRule type="containsText" dxfId="7" priority="225" operator="between" text="A">
      <formula>NOT(ISERROR(SEARCH("A",W185)))</formula>
    </cfRule>
    <cfRule type="containsText" dxfId="8" priority="226" operator="between" text="L">
      <formula>NOT(ISERROR(SEARCH("L",W185)))</formula>
    </cfRule>
    <cfRule type="containsText" dxfId="6" priority="227" operator="between" text="A">
      <formula>NOT(ISERROR(SEARCH("A",W185)))</formula>
    </cfRule>
    <cfRule type="containsText" dxfId="7" priority="228" operator="between" text="S">
      <formula>NOT(ISERROR(SEARCH("S",W185)))</formula>
    </cfRule>
    <cfRule type="containsText" dxfId="5" priority="229" operator="between" text="OFF">
      <formula>NOT(ISERROR(SEARCH("OFF",W185)))</formula>
    </cfRule>
    <cfRule type="containsText" dxfId="7" priority="230" operator="between" text="OFF">
      <formula>NOT(ISERROR(SEARCH("OFF",W185)))</formula>
    </cfRule>
  </conditionalFormatting>
  <conditionalFormatting sqref="AB185">
    <cfRule type="containsText" dxfId="3" priority="111" operator="between" text="OFF">
      <formula>NOT(ISERROR(SEARCH("OFF",AB185)))</formula>
    </cfRule>
    <cfRule type="containsText" dxfId="4" priority="112" operator="between" text="OFF">
      <formula>NOT(ISERROR(SEARCH("OFF",AB185)))</formula>
    </cfRule>
    <cfRule type="containsText" dxfId="5" priority="113" operator="between" text="S">
      <formula>NOT(ISERROR(SEARCH("S",AB185)))</formula>
    </cfRule>
    <cfRule type="containsText" dxfId="6" priority="114" operator="between" text="I">
      <formula>NOT(ISERROR(SEARCH("I",AB185)))</formula>
    </cfRule>
    <cfRule type="containsText" dxfId="7" priority="115" operator="between" text="A">
      <formula>NOT(ISERROR(SEARCH("A",AB185)))</formula>
    </cfRule>
    <cfRule type="containsText" dxfId="8" priority="116" operator="between" text="L">
      <formula>NOT(ISERROR(SEARCH("L",AB185)))</formula>
    </cfRule>
    <cfRule type="containsText" dxfId="6" priority="117" operator="between" text="A">
      <formula>NOT(ISERROR(SEARCH("A",AB185)))</formula>
    </cfRule>
    <cfRule type="containsText" dxfId="7" priority="118" operator="between" text="S">
      <formula>NOT(ISERROR(SEARCH("S",AB185)))</formula>
    </cfRule>
    <cfRule type="containsText" dxfId="5" priority="119" operator="between" text="OFF">
      <formula>NOT(ISERROR(SEARCH("OFF",AB185)))</formula>
    </cfRule>
    <cfRule type="containsText" dxfId="7" priority="120" operator="between" text="OFF">
      <formula>NOT(ISERROR(SEARCH("OFF",AB185)))</formula>
    </cfRule>
  </conditionalFormatting>
  <conditionalFormatting sqref="N188">
    <cfRule type="containsText" dxfId="3" priority="501" operator="between" text="OFF">
      <formula>NOT(ISERROR(SEARCH("OFF",N188)))</formula>
    </cfRule>
    <cfRule type="containsText" dxfId="4" priority="502" operator="between" text="OFF">
      <formula>NOT(ISERROR(SEARCH("OFF",N188)))</formula>
    </cfRule>
    <cfRule type="containsText" dxfId="5" priority="503" operator="between" text="S">
      <formula>NOT(ISERROR(SEARCH("S",N188)))</formula>
    </cfRule>
    <cfRule type="containsText" dxfId="6" priority="504" operator="between" text="I">
      <formula>NOT(ISERROR(SEARCH("I",N188)))</formula>
    </cfRule>
    <cfRule type="containsText" dxfId="7" priority="505" operator="between" text="A">
      <formula>NOT(ISERROR(SEARCH("A",N188)))</formula>
    </cfRule>
    <cfRule type="containsText" dxfId="8" priority="506" operator="between" text="L">
      <formula>NOT(ISERROR(SEARCH("L",N188)))</formula>
    </cfRule>
    <cfRule type="containsText" dxfId="6" priority="507" operator="between" text="A">
      <formula>NOT(ISERROR(SEARCH("A",N188)))</formula>
    </cfRule>
    <cfRule type="containsText" dxfId="7" priority="508" operator="between" text="S">
      <formula>NOT(ISERROR(SEARCH("S",N188)))</formula>
    </cfRule>
    <cfRule type="containsText" dxfId="5" priority="509" operator="between" text="OFF">
      <formula>NOT(ISERROR(SEARCH("OFF",N188)))</formula>
    </cfRule>
    <cfRule type="containsText" dxfId="7" priority="510" operator="between" text="OFF">
      <formula>NOT(ISERROR(SEARCH("OFF",N188)))</formula>
    </cfRule>
  </conditionalFormatting>
  <conditionalFormatting sqref="P188">
    <cfRule type="containsText" dxfId="3" priority="431" operator="between" text="OFF">
      <formula>NOT(ISERROR(SEARCH("OFF",P188)))</formula>
    </cfRule>
    <cfRule type="containsText" dxfId="4" priority="432" operator="between" text="OFF">
      <formula>NOT(ISERROR(SEARCH("OFF",P188)))</formula>
    </cfRule>
    <cfRule type="containsText" dxfId="5" priority="433" operator="between" text="S">
      <formula>NOT(ISERROR(SEARCH("S",P188)))</formula>
    </cfRule>
    <cfRule type="containsText" dxfId="6" priority="434" operator="between" text="I">
      <formula>NOT(ISERROR(SEARCH("I",P188)))</formula>
    </cfRule>
    <cfRule type="containsText" dxfId="7" priority="435" operator="between" text="A">
      <formula>NOT(ISERROR(SEARCH("A",P188)))</formula>
    </cfRule>
    <cfRule type="containsText" dxfId="8" priority="436" operator="between" text="L">
      <formula>NOT(ISERROR(SEARCH("L",P188)))</formula>
    </cfRule>
    <cfRule type="containsText" dxfId="6" priority="437" operator="between" text="A">
      <formula>NOT(ISERROR(SEARCH("A",P188)))</formula>
    </cfRule>
    <cfRule type="containsText" dxfId="7" priority="438" operator="between" text="S">
      <formula>NOT(ISERROR(SEARCH("S",P188)))</formula>
    </cfRule>
    <cfRule type="containsText" dxfId="5" priority="439" operator="between" text="OFF">
      <formula>NOT(ISERROR(SEARCH("OFF",P188)))</formula>
    </cfRule>
    <cfRule type="containsText" dxfId="7" priority="440" operator="between" text="OFF">
      <formula>NOT(ISERROR(SEARCH("OFF",P188)))</formula>
    </cfRule>
  </conditionalFormatting>
  <conditionalFormatting sqref="U188">
    <cfRule type="containsText" dxfId="3" priority="351" operator="between" text="OFF">
      <formula>NOT(ISERROR(SEARCH("OFF",U188)))</formula>
    </cfRule>
    <cfRule type="containsText" dxfId="4" priority="352" operator="between" text="OFF">
      <formula>NOT(ISERROR(SEARCH("OFF",U188)))</formula>
    </cfRule>
    <cfRule type="containsText" dxfId="5" priority="353" operator="between" text="S">
      <formula>NOT(ISERROR(SEARCH("S",U188)))</formula>
    </cfRule>
    <cfRule type="containsText" dxfId="6" priority="354" operator="between" text="I">
      <formula>NOT(ISERROR(SEARCH("I",U188)))</formula>
    </cfRule>
    <cfRule type="containsText" dxfId="7" priority="355" operator="between" text="A">
      <formula>NOT(ISERROR(SEARCH("A",U188)))</formula>
    </cfRule>
    <cfRule type="containsText" dxfId="8" priority="356" operator="between" text="L">
      <formula>NOT(ISERROR(SEARCH("L",U188)))</formula>
    </cfRule>
    <cfRule type="containsText" dxfId="6" priority="357" operator="between" text="A">
      <formula>NOT(ISERROR(SEARCH("A",U188)))</formula>
    </cfRule>
    <cfRule type="containsText" dxfId="7" priority="358" operator="between" text="S">
      <formula>NOT(ISERROR(SEARCH("S",U188)))</formula>
    </cfRule>
    <cfRule type="containsText" dxfId="5" priority="359" operator="between" text="OFF">
      <formula>NOT(ISERROR(SEARCH("OFF",U188)))</formula>
    </cfRule>
    <cfRule type="containsText" dxfId="7" priority="360" operator="between" text="OFF">
      <formula>NOT(ISERROR(SEARCH("OFF",U188)))</formula>
    </cfRule>
  </conditionalFormatting>
  <conditionalFormatting sqref="Y188">
    <cfRule type="containsText" dxfId="3" priority="201" operator="between" text="OFF">
      <formula>NOT(ISERROR(SEARCH("OFF",Y188)))</formula>
    </cfRule>
    <cfRule type="containsText" dxfId="4" priority="202" operator="between" text="OFF">
      <formula>NOT(ISERROR(SEARCH("OFF",Y188)))</formula>
    </cfRule>
    <cfRule type="containsText" dxfId="5" priority="203" operator="between" text="S">
      <formula>NOT(ISERROR(SEARCH("S",Y188)))</formula>
    </cfRule>
    <cfRule type="containsText" dxfId="6" priority="204" operator="between" text="I">
      <formula>NOT(ISERROR(SEARCH("I",Y188)))</formula>
    </cfRule>
    <cfRule type="containsText" dxfId="7" priority="205" operator="between" text="A">
      <formula>NOT(ISERROR(SEARCH("A",Y188)))</formula>
    </cfRule>
    <cfRule type="containsText" dxfId="8" priority="206" operator="between" text="L">
      <formula>NOT(ISERROR(SEARCH("L",Y188)))</formula>
    </cfRule>
    <cfRule type="containsText" dxfId="6" priority="207" operator="between" text="A">
      <formula>NOT(ISERROR(SEARCH("A",Y188)))</formula>
    </cfRule>
    <cfRule type="containsText" dxfId="7" priority="208" operator="between" text="S">
      <formula>NOT(ISERROR(SEARCH("S",Y188)))</formula>
    </cfRule>
    <cfRule type="containsText" dxfId="5" priority="209" operator="between" text="OFF">
      <formula>NOT(ISERROR(SEARCH("OFF",Y188)))</formula>
    </cfRule>
    <cfRule type="containsText" dxfId="7" priority="210" operator="between" text="OFF">
      <formula>NOT(ISERROR(SEARCH("OFF",Y188)))</formula>
    </cfRule>
  </conditionalFormatting>
  <conditionalFormatting sqref="AI188">
    <cfRule type="containsText" dxfId="3" priority="21" operator="between" text="OFF">
      <formula>NOT(ISERROR(SEARCH("OFF",AI188)))</formula>
    </cfRule>
    <cfRule type="containsText" dxfId="4" priority="22" operator="between" text="OFF">
      <formula>NOT(ISERROR(SEARCH("OFF",AI188)))</formula>
    </cfRule>
    <cfRule type="containsText" dxfId="5" priority="23" operator="between" text="S">
      <formula>NOT(ISERROR(SEARCH("S",AI188)))</formula>
    </cfRule>
    <cfRule type="containsText" dxfId="6" priority="24" operator="between" text="I">
      <formula>NOT(ISERROR(SEARCH("I",AI188)))</formula>
    </cfRule>
    <cfRule type="containsText" dxfId="7" priority="25" operator="between" text="A">
      <formula>NOT(ISERROR(SEARCH("A",AI188)))</formula>
    </cfRule>
    <cfRule type="containsText" dxfId="8" priority="26" operator="between" text="L">
      <formula>NOT(ISERROR(SEARCH("L",AI188)))</formula>
    </cfRule>
    <cfRule type="containsText" dxfId="6" priority="27" operator="between" text="A">
      <formula>NOT(ISERROR(SEARCH("A",AI188)))</formula>
    </cfRule>
    <cfRule type="containsText" dxfId="7" priority="28" operator="between" text="S">
      <formula>NOT(ISERROR(SEARCH("S",AI188)))</formula>
    </cfRule>
    <cfRule type="containsText" dxfId="5" priority="29" operator="between" text="OFF">
      <formula>NOT(ISERROR(SEARCH("OFF",AI188)))</formula>
    </cfRule>
    <cfRule type="containsText" dxfId="7" priority="30" operator="between" text="OFF">
      <formula>NOT(ISERROR(SEARCH("OFF",AI188)))</formula>
    </cfRule>
  </conditionalFormatting>
  <conditionalFormatting sqref="J189">
    <cfRule type="containsText" dxfId="3" priority="601" operator="between" text="OFF">
      <formula>NOT(ISERROR(SEARCH("OFF",J189)))</formula>
    </cfRule>
    <cfRule type="containsText" dxfId="4" priority="602" operator="between" text="OFF">
      <formula>NOT(ISERROR(SEARCH("OFF",J189)))</formula>
    </cfRule>
    <cfRule type="containsText" dxfId="5" priority="603" operator="between" text="S">
      <formula>NOT(ISERROR(SEARCH("S",J189)))</formula>
    </cfRule>
    <cfRule type="containsText" dxfId="6" priority="604" operator="between" text="I">
      <formula>NOT(ISERROR(SEARCH("I",J189)))</formula>
    </cfRule>
    <cfRule type="containsText" dxfId="7" priority="605" operator="between" text="A">
      <formula>NOT(ISERROR(SEARCH("A",J189)))</formula>
    </cfRule>
    <cfRule type="containsText" dxfId="8" priority="606" operator="between" text="L">
      <formula>NOT(ISERROR(SEARCH("L",J189)))</formula>
    </cfRule>
    <cfRule type="containsText" dxfId="6" priority="607" operator="between" text="A">
      <formula>NOT(ISERROR(SEARCH("A",J189)))</formula>
    </cfRule>
    <cfRule type="containsText" dxfId="7" priority="608" operator="between" text="S">
      <formula>NOT(ISERROR(SEARCH("S",J189)))</formula>
    </cfRule>
    <cfRule type="containsText" dxfId="5" priority="609" operator="between" text="OFF">
      <formula>NOT(ISERROR(SEARCH("OFF",J189)))</formula>
    </cfRule>
    <cfRule type="containsText" dxfId="7" priority="610" operator="between" text="OFF">
      <formula>NOT(ISERROR(SEARCH("OFF",J189)))</formula>
    </cfRule>
  </conditionalFormatting>
  <conditionalFormatting sqref="Q189">
    <cfRule type="containsText" dxfId="3" priority="411" operator="between" text="OFF">
      <formula>NOT(ISERROR(SEARCH("OFF",Q189)))</formula>
    </cfRule>
    <cfRule type="containsText" dxfId="4" priority="412" operator="between" text="OFF">
      <formula>NOT(ISERROR(SEARCH("OFF",Q189)))</formula>
    </cfRule>
    <cfRule type="containsText" dxfId="5" priority="413" operator="between" text="S">
      <formula>NOT(ISERROR(SEARCH("S",Q189)))</formula>
    </cfRule>
    <cfRule type="containsText" dxfId="6" priority="414" operator="between" text="I">
      <formula>NOT(ISERROR(SEARCH("I",Q189)))</formula>
    </cfRule>
    <cfRule type="containsText" dxfId="7" priority="415" operator="between" text="A">
      <formula>NOT(ISERROR(SEARCH("A",Q189)))</formula>
    </cfRule>
    <cfRule type="containsText" dxfId="8" priority="416" operator="between" text="L">
      <formula>NOT(ISERROR(SEARCH("L",Q189)))</formula>
    </cfRule>
    <cfRule type="containsText" dxfId="6" priority="417" operator="between" text="A">
      <formula>NOT(ISERROR(SEARCH("A",Q189)))</formula>
    </cfRule>
    <cfRule type="containsText" dxfId="7" priority="418" operator="between" text="S">
      <formula>NOT(ISERROR(SEARCH("S",Q189)))</formula>
    </cfRule>
    <cfRule type="containsText" dxfId="5" priority="419" operator="between" text="OFF">
      <formula>NOT(ISERROR(SEARCH("OFF",Q189)))</formula>
    </cfRule>
    <cfRule type="containsText" dxfId="7" priority="420" operator="between" text="OFF">
      <formula>NOT(ISERROR(SEARCH("OFF",Q189)))</formula>
    </cfRule>
  </conditionalFormatting>
  <conditionalFormatting sqref="S189">
    <cfRule type="containsText" dxfId="3" priority="681" operator="between" text="OFF">
      <formula>NOT(ISERROR(SEARCH("OFF",S189)))</formula>
    </cfRule>
    <cfRule type="containsText" dxfId="4" priority="682" operator="between" text="OFF">
      <formula>NOT(ISERROR(SEARCH("OFF",S189)))</formula>
    </cfRule>
    <cfRule type="containsText" dxfId="5" priority="683" operator="between" text="S">
      <formula>NOT(ISERROR(SEARCH("S",S189)))</formula>
    </cfRule>
    <cfRule type="containsText" dxfId="6" priority="684" operator="between" text="I">
      <formula>NOT(ISERROR(SEARCH("I",S189)))</formula>
    </cfRule>
    <cfRule type="containsText" dxfId="7" priority="685" operator="between" text="A">
      <formula>NOT(ISERROR(SEARCH("A",S189)))</formula>
    </cfRule>
    <cfRule type="containsText" dxfId="8" priority="686" operator="between" text="L">
      <formula>NOT(ISERROR(SEARCH("L",S189)))</formula>
    </cfRule>
    <cfRule type="containsText" dxfId="6" priority="687" operator="between" text="A">
      <formula>NOT(ISERROR(SEARCH("A",S189)))</formula>
    </cfRule>
    <cfRule type="containsText" dxfId="7" priority="688" operator="between" text="S">
      <formula>NOT(ISERROR(SEARCH("S",S189)))</formula>
    </cfRule>
    <cfRule type="containsText" dxfId="5" priority="689" operator="between" text="OFF">
      <formula>NOT(ISERROR(SEARCH("OFF",S189)))</formula>
    </cfRule>
    <cfRule type="containsText" dxfId="7" priority="690" operator="between" text="OFF">
      <formula>NOT(ISERROR(SEARCH("OFF",S189)))</formula>
    </cfRule>
  </conditionalFormatting>
  <conditionalFormatting sqref="X189">
    <cfRule type="containsText" dxfId="3" priority="691" operator="between" text="OFF">
      <formula>NOT(ISERROR(SEARCH("OFF",X189)))</formula>
    </cfRule>
    <cfRule type="containsText" dxfId="4" priority="692" operator="between" text="OFF">
      <formula>NOT(ISERROR(SEARCH("OFF",X189)))</formula>
    </cfRule>
    <cfRule type="containsText" dxfId="5" priority="693" operator="between" text="S">
      <formula>NOT(ISERROR(SEARCH("S",X189)))</formula>
    </cfRule>
    <cfRule type="containsText" dxfId="6" priority="694" operator="between" text="I">
      <formula>NOT(ISERROR(SEARCH("I",X189)))</formula>
    </cfRule>
    <cfRule type="containsText" dxfId="7" priority="695" operator="between" text="A">
      <formula>NOT(ISERROR(SEARCH("A",X189)))</formula>
    </cfRule>
    <cfRule type="containsText" dxfId="8" priority="696" operator="between" text="L">
      <formula>NOT(ISERROR(SEARCH("L",X189)))</formula>
    </cfRule>
    <cfRule type="containsText" dxfId="6" priority="697" operator="between" text="A">
      <formula>NOT(ISERROR(SEARCH("A",X189)))</formula>
    </cfRule>
    <cfRule type="containsText" dxfId="7" priority="698" operator="between" text="S">
      <formula>NOT(ISERROR(SEARCH("S",X189)))</formula>
    </cfRule>
    <cfRule type="containsText" dxfId="5" priority="699" operator="between" text="OFF">
      <formula>NOT(ISERROR(SEARCH("OFF",X189)))</formula>
    </cfRule>
    <cfRule type="containsText" dxfId="7" priority="700" operator="between" text="OFF">
      <formula>NOT(ISERROR(SEARCH("OFF",X189)))</formula>
    </cfRule>
  </conditionalFormatting>
  <conditionalFormatting sqref="N190">
    <cfRule type="containsText" dxfId="3" priority="521" operator="between" text="OFF">
      <formula>NOT(ISERROR(SEARCH("OFF",N190)))</formula>
    </cfRule>
    <cfRule type="containsText" dxfId="4" priority="522" operator="between" text="OFF">
      <formula>NOT(ISERROR(SEARCH("OFF",N190)))</formula>
    </cfRule>
    <cfRule type="containsText" dxfId="5" priority="523" operator="between" text="S">
      <formula>NOT(ISERROR(SEARCH("S",N190)))</formula>
    </cfRule>
    <cfRule type="containsText" dxfId="6" priority="524" operator="between" text="I">
      <formula>NOT(ISERROR(SEARCH("I",N190)))</formula>
    </cfRule>
    <cfRule type="containsText" dxfId="7" priority="525" operator="between" text="A">
      <formula>NOT(ISERROR(SEARCH("A",N190)))</formula>
    </cfRule>
    <cfRule type="containsText" dxfId="8" priority="526" operator="between" text="L">
      <formula>NOT(ISERROR(SEARCH("L",N190)))</formula>
    </cfRule>
    <cfRule type="containsText" dxfId="6" priority="527" operator="between" text="A">
      <formula>NOT(ISERROR(SEARCH("A",N190)))</formula>
    </cfRule>
    <cfRule type="containsText" dxfId="7" priority="528" operator="between" text="S">
      <formula>NOT(ISERROR(SEARCH("S",N190)))</formula>
    </cfRule>
    <cfRule type="containsText" dxfId="5" priority="529" operator="between" text="OFF">
      <formula>NOT(ISERROR(SEARCH("OFF",N190)))</formula>
    </cfRule>
    <cfRule type="containsText" dxfId="7" priority="530" operator="between" text="OFF">
      <formula>NOT(ISERROR(SEARCH("OFF",N190)))</formula>
    </cfRule>
  </conditionalFormatting>
  <conditionalFormatting sqref="W190">
    <cfRule type="containsText" dxfId="3" priority="701" operator="between" text="OFF">
      <formula>NOT(ISERROR(SEARCH("OFF",W190)))</formula>
    </cfRule>
    <cfRule type="containsText" dxfId="4" priority="702" operator="between" text="OFF">
      <formula>NOT(ISERROR(SEARCH("OFF",W190)))</formula>
    </cfRule>
    <cfRule type="containsText" dxfId="5" priority="703" operator="between" text="S">
      <formula>NOT(ISERROR(SEARCH("S",W190)))</formula>
    </cfRule>
    <cfRule type="containsText" dxfId="6" priority="704" operator="between" text="I">
      <formula>NOT(ISERROR(SEARCH("I",W190)))</formula>
    </cfRule>
    <cfRule type="containsText" dxfId="7" priority="705" operator="between" text="A">
      <formula>NOT(ISERROR(SEARCH("A",W190)))</formula>
    </cfRule>
    <cfRule type="containsText" dxfId="8" priority="706" operator="between" text="L">
      <formula>NOT(ISERROR(SEARCH("L",W190)))</formula>
    </cfRule>
    <cfRule type="containsText" dxfId="6" priority="707" operator="between" text="A">
      <formula>NOT(ISERROR(SEARCH("A",W190)))</formula>
    </cfRule>
    <cfRule type="containsText" dxfId="7" priority="708" operator="between" text="S">
      <formula>NOT(ISERROR(SEARCH("S",W190)))</formula>
    </cfRule>
    <cfRule type="containsText" dxfId="5" priority="709" operator="between" text="OFF">
      <formula>NOT(ISERROR(SEARCH("OFF",W190)))</formula>
    </cfRule>
    <cfRule type="containsText" dxfId="7" priority="710" operator="between" text="OFF">
      <formula>NOT(ISERROR(SEARCH("OFF",W190)))</formula>
    </cfRule>
  </conditionalFormatting>
  <conditionalFormatting sqref="T191">
    <cfRule type="containsText" dxfId="3" priority="711" operator="between" text="OFF">
      <formula>NOT(ISERROR(SEARCH("OFF",T191)))</formula>
    </cfRule>
    <cfRule type="containsText" dxfId="4" priority="712" operator="between" text="OFF">
      <formula>NOT(ISERROR(SEARCH("OFF",T191)))</formula>
    </cfRule>
    <cfRule type="containsText" dxfId="5" priority="713" operator="between" text="S">
      <formula>NOT(ISERROR(SEARCH("S",T191)))</formula>
    </cfRule>
    <cfRule type="containsText" dxfId="6" priority="714" operator="between" text="I">
      <formula>NOT(ISERROR(SEARCH("I",T191)))</formula>
    </cfRule>
    <cfRule type="containsText" dxfId="7" priority="715" operator="between" text="A">
      <formula>NOT(ISERROR(SEARCH("A",T191)))</formula>
    </cfRule>
    <cfRule type="containsText" dxfId="8" priority="716" operator="between" text="L">
      <formula>NOT(ISERROR(SEARCH("L",T191)))</formula>
    </cfRule>
    <cfRule type="containsText" dxfId="6" priority="717" operator="between" text="A">
      <formula>NOT(ISERROR(SEARCH("A",T191)))</formula>
    </cfRule>
    <cfRule type="containsText" dxfId="7" priority="718" operator="between" text="S">
      <formula>NOT(ISERROR(SEARCH("S",T191)))</formula>
    </cfRule>
    <cfRule type="containsText" dxfId="5" priority="719" operator="between" text="OFF">
      <formula>NOT(ISERROR(SEARCH("OFF",T191)))</formula>
    </cfRule>
    <cfRule type="containsText" dxfId="7" priority="720" operator="between" text="OFF">
      <formula>NOT(ISERROR(SEARCH("OFF",T191)))</formula>
    </cfRule>
  </conditionalFormatting>
  <conditionalFormatting sqref="Z191">
    <cfRule type="containsText" dxfId="3" priority="141" operator="between" text="OFF">
      <formula>NOT(ISERROR(SEARCH("OFF",Z191)))</formula>
    </cfRule>
    <cfRule type="containsText" dxfId="4" priority="142" operator="between" text="OFF">
      <formula>NOT(ISERROR(SEARCH("OFF",Z191)))</formula>
    </cfRule>
    <cfRule type="containsText" dxfId="5" priority="143" operator="between" text="S">
      <formula>NOT(ISERROR(SEARCH("S",Z191)))</formula>
    </cfRule>
    <cfRule type="containsText" dxfId="6" priority="144" operator="between" text="I">
      <formula>NOT(ISERROR(SEARCH("I",Z191)))</formula>
    </cfRule>
    <cfRule type="containsText" dxfId="7" priority="145" operator="between" text="A">
      <formula>NOT(ISERROR(SEARCH("A",Z191)))</formula>
    </cfRule>
    <cfRule type="containsText" dxfId="8" priority="146" operator="between" text="L">
      <formula>NOT(ISERROR(SEARCH("L",Z191)))</formula>
    </cfRule>
    <cfRule type="containsText" dxfId="6" priority="147" operator="between" text="A">
      <formula>NOT(ISERROR(SEARCH("A",Z191)))</formula>
    </cfRule>
    <cfRule type="containsText" dxfId="7" priority="148" operator="between" text="S">
      <formula>NOT(ISERROR(SEARCH("S",Z191)))</formula>
    </cfRule>
    <cfRule type="containsText" dxfId="5" priority="149" operator="between" text="OFF">
      <formula>NOT(ISERROR(SEARCH("OFF",Z191)))</formula>
    </cfRule>
    <cfRule type="containsText" dxfId="7" priority="150" operator="between" text="OFF">
      <formula>NOT(ISERROR(SEARCH("OFF",Z191)))</formula>
    </cfRule>
  </conditionalFormatting>
  <conditionalFormatting sqref="AE191">
    <cfRule type="containsText" dxfId="3" priority="61" operator="between" text="OFF">
      <formula>NOT(ISERROR(SEARCH("OFF",AE191)))</formula>
    </cfRule>
    <cfRule type="containsText" dxfId="4" priority="62" operator="between" text="OFF">
      <formula>NOT(ISERROR(SEARCH("OFF",AE191)))</formula>
    </cfRule>
    <cfRule type="containsText" dxfId="5" priority="63" operator="between" text="S">
      <formula>NOT(ISERROR(SEARCH("S",AE191)))</formula>
    </cfRule>
    <cfRule type="containsText" dxfId="6" priority="64" operator="between" text="I">
      <formula>NOT(ISERROR(SEARCH("I",AE191)))</formula>
    </cfRule>
    <cfRule type="containsText" dxfId="7" priority="65" operator="between" text="A">
      <formula>NOT(ISERROR(SEARCH("A",AE191)))</formula>
    </cfRule>
    <cfRule type="containsText" dxfId="8" priority="66" operator="between" text="L">
      <formula>NOT(ISERROR(SEARCH("L",AE191)))</formula>
    </cfRule>
    <cfRule type="containsText" dxfId="6" priority="67" operator="between" text="A">
      <formula>NOT(ISERROR(SEARCH("A",AE191)))</formula>
    </cfRule>
    <cfRule type="containsText" dxfId="7" priority="68" operator="between" text="S">
      <formula>NOT(ISERROR(SEARCH("S",AE191)))</formula>
    </cfRule>
    <cfRule type="containsText" dxfId="5" priority="69" operator="between" text="OFF">
      <formula>NOT(ISERROR(SEARCH("OFF",AE191)))</formula>
    </cfRule>
    <cfRule type="containsText" dxfId="7" priority="70" operator="between" text="OFF">
      <formula>NOT(ISERROR(SEARCH("OFF",AE191)))</formula>
    </cfRule>
  </conditionalFormatting>
  <conditionalFormatting sqref="AJ191">
    <cfRule type="containsText" dxfId="3" priority="31" operator="between" text="OFF">
      <formula>NOT(ISERROR(SEARCH("OFF",AJ191)))</formula>
    </cfRule>
    <cfRule type="containsText" dxfId="4" priority="32" operator="between" text="OFF">
      <formula>NOT(ISERROR(SEARCH("OFF",AJ191)))</formula>
    </cfRule>
    <cfRule type="containsText" dxfId="5" priority="33" operator="between" text="S">
      <formula>NOT(ISERROR(SEARCH("S",AJ191)))</formula>
    </cfRule>
    <cfRule type="containsText" dxfId="6" priority="34" operator="between" text="I">
      <formula>NOT(ISERROR(SEARCH("I",AJ191)))</formula>
    </cfRule>
    <cfRule type="containsText" dxfId="7" priority="35" operator="between" text="A">
      <formula>NOT(ISERROR(SEARCH("A",AJ191)))</formula>
    </cfRule>
    <cfRule type="containsText" dxfId="8" priority="36" operator="between" text="L">
      <formula>NOT(ISERROR(SEARCH("L",AJ191)))</formula>
    </cfRule>
    <cfRule type="containsText" dxfId="6" priority="37" operator="between" text="A">
      <formula>NOT(ISERROR(SEARCH("A",AJ191)))</formula>
    </cfRule>
    <cfRule type="containsText" dxfId="7" priority="38" operator="between" text="S">
      <formula>NOT(ISERROR(SEARCH("S",AJ191)))</formula>
    </cfRule>
    <cfRule type="containsText" dxfId="5" priority="39" operator="between" text="OFF">
      <formula>NOT(ISERROR(SEARCH("OFF",AJ191)))</formula>
    </cfRule>
    <cfRule type="containsText" dxfId="7" priority="40" operator="between" text="OFF">
      <formula>NOT(ISERROR(SEARCH("OFF",AJ191)))</formula>
    </cfRule>
  </conditionalFormatting>
  <conditionalFormatting sqref="O192">
    <cfRule type="containsText" dxfId="3" priority="481" operator="between" text="OFF">
      <formula>NOT(ISERROR(SEARCH("OFF",O192)))</formula>
    </cfRule>
    <cfRule type="containsText" dxfId="4" priority="482" operator="between" text="OFF">
      <formula>NOT(ISERROR(SEARCH("OFF",O192)))</formula>
    </cfRule>
    <cfRule type="containsText" dxfId="5" priority="483" operator="between" text="S">
      <formula>NOT(ISERROR(SEARCH("S",O192)))</formula>
    </cfRule>
    <cfRule type="containsText" dxfId="6" priority="484" operator="between" text="I">
      <formula>NOT(ISERROR(SEARCH("I",O192)))</formula>
    </cfRule>
    <cfRule type="containsText" dxfId="7" priority="485" operator="between" text="A">
      <formula>NOT(ISERROR(SEARCH("A",O192)))</formula>
    </cfRule>
    <cfRule type="containsText" dxfId="8" priority="486" operator="between" text="L">
      <formula>NOT(ISERROR(SEARCH("L",O192)))</formula>
    </cfRule>
    <cfRule type="containsText" dxfId="6" priority="487" operator="between" text="A">
      <formula>NOT(ISERROR(SEARCH("A",O192)))</formula>
    </cfRule>
    <cfRule type="containsText" dxfId="7" priority="488" operator="between" text="S">
      <formula>NOT(ISERROR(SEARCH("S",O192)))</formula>
    </cfRule>
    <cfRule type="containsText" dxfId="5" priority="489" operator="between" text="OFF">
      <formula>NOT(ISERROR(SEARCH("OFF",O192)))</formula>
    </cfRule>
    <cfRule type="containsText" dxfId="7" priority="490" operator="between" text="OFF">
      <formula>NOT(ISERROR(SEARCH("OFF",O192)))</formula>
    </cfRule>
  </conditionalFormatting>
  <conditionalFormatting sqref="X192">
    <cfRule type="containsText" dxfId="3" priority="231" operator="between" text="OFF">
      <formula>NOT(ISERROR(SEARCH("OFF",X192)))</formula>
    </cfRule>
    <cfRule type="containsText" dxfId="4" priority="232" operator="between" text="OFF">
      <formula>NOT(ISERROR(SEARCH("OFF",X192)))</formula>
    </cfRule>
    <cfRule type="containsText" dxfId="5" priority="233" operator="between" text="S">
      <formula>NOT(ISERROR(SEARCH("S",X192)))</formula>
    </cfRule>
    <cfRule type="containsText" dxfId="6" priority="234" operator="between" text="I">
      <formula>NOT(ISERROR(SEARCH("I",X192)))</formula>
    </cfRule>
    <cfRule type="containsText" dxfId="7" priority="235" operator="between" text="A">
      <formula>NOT(ISERROR(SEARCH("A",X192)))</formula>
    </cfRule>
    <cfRule type="containsText" dxfId="8" priority="236" operator="between" text="L">
      <formula>NOT(ISERROR(SEARCH("L",X192)))</formula>
    </cfRule>
    <cfRule type="containsText" dxfId="6" priority="237" operator="between" text="A">
      <formula>NOT(ISERROR(SEARCH("A",X192)))</formula>
    </cfRule>
    <cfRule type="containsText" dxfId="7" priority="238" operator="between" text="S">
      <formula>NOT(ISERROR(SEARCH("S",X192)))</formula>
    </cfRule>
    <cfRule type="containsText" dxfId="5" priority="239" operator="between" text="OFF">
      <formula>NOT(ISERROR(SEARCH("OFF",X192)))</formula>
    </cfRule>
    <cfRule type="containsText" dxfId="7" priority="240" operator="between" text="OFF">
      <formula>NOT(ISERROR(SEARCH("OFF",X192)))</formula>
    </cfRule>
  </conditionalFormatting>
  <conditionalFormatting sqref="T193:U193">
    <cfRule type="containsText" dxfId="3" priority="291" operator="between" text="OFF">
      <formula>NOT(ISERROR(SEARCH("OFF",T193)))</formula>
    </cfRule>
    <cfRule type="containsText" dxfId="4" priority="292" operator="between" text="OFF">
      <formula>NOT(ISERROR(SEARCH("OFF",T193)))</formula>
    </cfRule>
    <cfRule type="containsText" dxfId="5" priority="293" operator="between" text="S">
      <formula>NOT(ISERROR(SEARCH("S",T193)))</formula>
    </cfRule>
    <cfRule type="containsText" dxfId="6" priority="294" operator="between" text="I">
      <formula>NOT(ISERROR(SEARCH("I",T193)))</formula>
    </cfRule>
    <cfRule type="containsText" dxfId="7" priority="295" operator="between" text="A">
      <formula>NOT(ISERROR(SEARCH("A",T193)))</formula>
    </cfRule>
    <cfRule type="containsText" dxfId="8" priority="296" operator="between" text="L">
      <formula>NOT(ISERROR(SEARCH("L",T193)))</formula>
    </cfRule>
    <cfRule type="containsText" dxfId="6" priority="297" operator="between" text="A">
      <formula>NOT(ISERROR(SEARCH("A",T193)))</formula>
    </cfRule>
    <cfRule type="containsText" dxfId="7" priority="298" operator="between" text="S">
      <formula>NOT(ISERROR(SEARCH("S",T193)))</formula>
    </cfRule>
    <cfRule type="containsText" dxfId="5" priority="299" operator="between" text="OFF">
      <formula>NOT(ISERROR(SEARCH("OFF",T193)))</formula>
    </cfRule>
    <cfRule type="containsText" dxfId="7" priority="300" operator="between" text="OFF">
      <formula>NOT(ISERROR(SEARCH("OFF",T193)))</formula>
    </cfRule>
  </conditionalFormatting>
  <conditionalFormatting sqref="W193">
    <cfRule type="containsText" dxfId="3" priority="261" operator="between" text="OFF">
      <formula>NOT(ISERROR(SEARCH("OFF",W193)))</formula>
    </cfRule>
    <cfRule type="containsText" dxfId="4" priority="262" operator="between" text="OFF">
      <formula>NOT(ISERROR(SEARCH("OFF",W193)))</formula>
    </cfRule>
    <cfRule type="containsText" dxfId="5" priority="263" operator="between" text="S">
      <formula>NOT(ISERROR(SEARCH("S",W193)))</formula>
    </cfRule>
    <cfRule type="containsText" dxfId="6" priority="264" operator="between" text="I">
      <formula>NOT(ISERROR(SEARCH("I",W193)))</formula>
    </cfRule>
    <cfRule type="containsText" dxfId="7" priority="265" operator="between" text="A">
      <formula>NOT(ISERROR(SEARCH("A",W193)))</formula>
    </cfRule>
    <cfRule type="containsText" dxfId="8" priority="266" operator="between" text="L">
      <formula>NOT(ISERROR(SEARCH("L",W193)))</formula>
    </cfRule>
    <cfRule type="containsText" dxfId="6" priority="267" operator="between" text="A">
      <formula>NOT(ISERROR(SEARCH("A",W193)))</formula>
    </cfRule>
    <cfRule type="containsText" dxfId="7" priority="268" operator="between" text="S">
      <formula>NOT(ISERROR(SEARCH("S",W193)))</formula>
    </cfRule>
    <cfRule type="containsText" dxfId="5" priority="269" operator="between" text="OFF">
      <formula>NOT(ISERROR(SEARCH("OFF",W193)))</formula>
    </cfRule>
    <cfRule type="containsText" dxfId="7" priority="270" operator="between" text="OFF">
      <formula>NOT(ISERROR(SEARCH("OFF",W193)))</formula>
    </cfRule>
  </conditionalFormatting>
  <conditionalFormatting sqref="AD193">
    <cfRule type="containsText" dxfId="3" priority="41" operator="between" text="OFF">
      <formula>NOT(ISERROR(SEARCH("OFF",AD193)))</formula>
    </cfRule>
    <cfRule type="containsText" dxfId="4" priority="42" operator="between" text="OFF">
      <formula>NOT(ISERROR(SEARCH("OFF",AD193)))</formula>
    </cfRule>
    <cfRule type="containsText" dxfId="5" priority="43" operator="between" text="S">
      <formula>NOT(ISERROR(SEARCH("S",AD193)))</formula>
    </cfRule>
    <cfRule type="containsText" dxfId="6" priority="44" operator="between" text="I">
      <formula>NOT(ISERROR(SEARCH("I",AD193)))</formula>
    </cfRule>
    <cfRule type="containsText" dxfId="7" priority="45" operator="between" text="A">
      <formula>NOT(ISERROR(SEARCH("A",AD193)))</formula>
    </cfRule>
    <cfRule type="containsText" dxfId="8" priority="46" operator="between" text="L">
      <formula>NOT(ISERROR(SEARCH("L",AD193)))</formula>
    </cfRule>
    <cfRule type="containsText" dxfId="6" priority="47" operator="between" text="A">
      <formula>NOT(ISERROR(SEARCH("A",AD193)))</formula>
    </cfRule>
    <cfRule type="containsText" dxfId="7" priority="48" operator="between" text="S">
      <formula>NOT(ISERROR(SEARCH("S",AD193)))</formula>
    </cfRule>
    <cfRule type="containsText" dxfId="5" priority="49" operator="between" text="OFF">
      <formula>NOT(ISERROR(SEARCH("OFF",AD193)))</formula>
    </cfRule>
    <cfRule type="containsText" dxfId="7" priority="50" operator="between" text="OFF">
      <formula>NOT(ISERROR(SEARCH("OFF",AD193)))</formula>
    </cfRule>
  </conditionalFormatting>
  <conditionalFormatting sqref="V194:W194">
    <cfRule type="containsText" dxfId="3" priority="741" operator="between" text="OFF">
      <formula>NOT(ISERROR(SEARCH("OFF",V194)))</formula>
    </cfRule>
    <cfRule type="containsText" dxfId="4" priority="742" operator="between" text="OFF">
      <formula>NOT(ISERROR(SEARCH("OFF",V194)))</formula>
    </cfRule>
    <cfRule type="containsText" dxfId="5" priority="743" operator="between" text="S">
      <formula>NOT(ISERROR(SEARCH("S",V194)))</formula>
    </cfRule>
    <cfRule type="containsText" dxfId="6" priority="744" operator="between" text="I">
      <formula>NOT(ISERROR(SEARCH("I",V194)))</formula>
    </cfRule>
    <cfRule type="containsText" dxfId="7" priority="745" operator="between" text="A">
      <formula>NOT(ISERROR(SEARCH("A",V194)))</formula>
    </cfRule>
    <cfRule type="containsText" dxfId="8" priority="746" operator="between" text="L">
      <formula>NOT(ISERROR(SEARCH("L",V194)))</formula>
    </cfRule>
    <cfRule type="containsText" dxfId="6" priority="747" operator="between" text="A">
      <formula>NOT(ISERROR(SEARCH("A",V194)))</formula>
    </cfRule>
    <cfRule type="containsText" dxfId="7" priority="748" operator="between" text="S">
      <formula>NOT(ISERROR(SEARCH("S",V194)))</formula>
    </cfRule>
    <cfRule type="containsText" dxfId="5" priority="749" operator="between" text="OFF">
      <formula>NOT(ISERROR(SEARCH("OFF",V194)))</formula>
    </cfRule>
    <cfRule type="containsText" dxfId="7" priority="750" operator="between" text="OFF">
      <formula>NOT(ISERROR(SEARCH("OFF",V194)))</formula>
    </cfRule>
  </conditionalFormatting>
  <conditionalFormatting sqref="O195">
    <cfRule type="containsText" dxfId="3" priority="461" operator="between" text="OFF">
      <formula>NOT(ISERROR(SEARCH("OFF",O195)))</formula>
    </cfRule>
    <cfRule type="containsText" dxfId="4" priority="462" operator="between" text="OFF">
      <formula>NOT(ISERROR(SEARCH("OFF",O195)))</formula>
    </cfRule>
    <cfRule type="containsText" dxfId="5" priority="463" operator="between" text="S">
      <formula>NOT(ISERROR(SEARCH("S",O195)))</formula>
    </cfRule>
    <cfRule type="containsText" dxfId="6" priority="464" operator="between" text="I">
      <formula>NOT(ISERROR(SEARCH("I",O195)))</formula>
    </cfRule>
    <cfRule type="containsText" dxfId="7" priority="465" operator="between" text="A">
      <formula>NOT(ISERROR(SEARCH("A",O195)))</formula>
    </cfRule>
    <cfRule type="containsText" dxfId="8" priority="466" operator="between" text="L">
      <formula>NOT(ISERROR(SEARCH("L",O195)))</formula>
    </cfRule>
    <cfRule type="containsText" dxfId="6" priority="467" operator="between" text="A">
      <formula>NOT(ISERROR(SEARCH("A",O195)))</formula>
    </cfRule>
    <cfRule type="containsText" dxfId="7" priority="468" operator="between" text="S">
      <formula>NOT(ISERROR(SEARCH("S",O195)))</formula>
    </cfRule>
    <cfRule type="containsText" dxfId="5" priority="469" operator="between" text="OFF">
      <formula>NOT(ISERROR(SEARCH("OFF",O195)))</formula>
    </cfRule>
    <cfRule type="containsText" dxfId="7" priority="470" operator="between" text="OFF">
      <formula>NOT(ISERROR(SEARCH("OFF",O195)))</formula>
    </cfRule>
  </conditionalFormatting>
  <conditionalFormatting sqref="U197">
    <cfRule type="containsText" dxfId="3" priority="331" operator="between" text="OFF">
      <formula>NOT(ISERROR(SEARCH("OFF",U197)))</formula>
    </cfRule>
    <cfRule type="containsText" dxfId="4" priority="332" operator="between" text="OFF">
      <formula>NOT(ISERROR(SEARCH("OFF",U197)))</formula>
    </cfRule>
    <cfRule type="containsText" dxfId="5" priority="333" operator="between" text="S">
      <formula>NOT(ISERROR(SEARCH("S",U197)))</formula>
    </cfRule>
    <cfRule type="containsText" dxfId="6" priority="334" operator="between" text="I">
      <formula>NOT(ISERROR(SEARCH("I",U197)))</formula>
    </cfRule>
    <cfRule type="containsText" dxfId="7" priority="335" operator="between" text="A">
      <formula>NOT(ISERROR(SEARCH("A",U197)))</formula>
    </cfRule>
    <cfRule type="containsText" dxfId="8" priority="336" operator="between" text="L">
      <formula>NOT(ISERROR(SEARCH("L",U197)))</formula>
    </cfRule>
    <cfRule type="containsText" dxfId="6" priority="337" operator="between" text="A">
      <formula>NOT(ISERROR(SEARCH("A",U197)))</formula>
    </cfRule>
    <cfRule type="containsText" dxfId="7" priority="338" operator="between" text="S">
      <formula>NOT(ISERROR(SEARCH("S",U197)))</formula>
    </cfRule>
    <cfRule type="containsText" dxfId="5" priority="339" operator="between" text="OFF">
      <formula>NOT(ISERROR(SEARCH("OFF",U197)))</formula>
    </cfRule>
    <cfRule type="containsText" dxfId="7" priority="340" operator="between" text="OFF">
      <formula>NOT(ISERROR(SEARCH("OFF",U197)))</formula>
    </cfRule>
  </conditionalFormatting>
  <conditionalFormatting sqref="Q198">
    <cfRule type="containsText" dxfId="3" priority="421" operator="between" text="OFF">
      <formula>NOT(ISERROR(SEARCH("OFF",Q198)))</formula>
    </cfRule>
    <cfRule type="containsText" dxfId="4" priority="422" operator="between" text="OFF">
      <formula>NOT(ISERROR(SEARCH("OFF",Q198)))</formula>
    </cfRule>
    <cfRule type="containsText" dxfId="5" priority="423" operator="between" text="S">
      <formula>NOT(ISERROR(SEARCH("S",Q198)))</formula>
    </cfRule>
    <cfRule type="containsText" dxfId="6" priority="424" operator="between" text="I">
      <formula>NOT(ISERROR(SEARCH("I",Q198)))</formula>
    </cfRule>
    <cfRule type="containsText" dxfId="7" priority="425" operator="between" text="A">
      <formula>NOT(ISERROR(SEARCH("A",Q198)))</formula>
    </cfRule>
    <cfRule type="containsText" dxfId="8" priority="426" operator="between" text="L">
      <formula>NOT(ISERROR(SEARCH("L",Q198)))</formula>
    </cfRule>
    <cfRule type="containsText" dxfId="6" priority="427" operator="between" text="A">
      <formula>NOT(ISERROR(SEARCH("A",Q198)))</formula>
    </cfRule>
    <cfRule type="containsText" dxfId="7" priority="428" operator="between" text="S">
      <formula>NOT(ISERROR(SEARCH("S",Q198)))</formula>
    </cfRule>
    <cfRule type="containsText" dxfId="5" priority="429" operator="between" text="OFF">
      <formula>NOT(ISERROR(SEARCH("OFF",Q198)))</formula>
    </cfRule>
    <cfRule type="containsText" dxfId="7" priority="430" operator="between" text="OFF">
      <formula>NOT(ISERROR(SEARCH("OFF",Q198)))</formula>
    </cfRule>
  </conditionalFormatting>
  <conditionalFormatting sqref="Z198">
    <cfRule type="containsText" dxfId="3" priority="121" operator="between" text="OFF">
      <formula>NOT(ISERROR(SEARCH("OFF",Z198)))</formula>
    </cfRule>
    <cfRule type="containsText" dxfId="4" priority="122" operator="between" text="OFF">
      <formula>NOT(ISERROR(SEARCH("OFF",Z198)))</formula>
    </cfRule>
    <cfRule type="containsText" dxfId="5" priority="123" operator="between" text="S">
      <formula>NOT(ISERROR(SEARCH("S",Z198)))</formula>
    </cfRule>
    <cfRule type="containsText" dxfId="6" priority="124" operator="between" text="I">
      <formula>NOT(ISERROR(SEARCH("I",Z198)))</formula>
    </cfRule>
    <cfRule type="containsText" dxfId="7" priority="125" operator="between" text="A">
      <formula>NOT(ISERROR(SEARCH("A",Z198)))</formula>
    </cfRule>
    <cfRule type="containsText" dxfId="8" priority="126" operator="between" text="L">
      <formula>NOT(ISERROR(SEARCH("L",Z198)))</formula>
    </cfRule>
    <cfRule type="containsText" dxfId="6" priority="127" operator="between" text="A">
      <formula>NOT(ISERROR(SEARCH("A",Z198)))</formula>
    </cfRule>
    <cfRule type="containsText" dxfId="7" priority="128" operator="between" text="S">
      <formula>NOT(ISERROR(SEARCH("S",Z198)))</formula>
    </cfRule>
    <cfRule type="containsText" dxfId="5" priority="129" operator="between" text="OFF">
      <formula>NOT(ISERROR(SEARCH("OFF",Z198)))</formula>
    </cfRule>
    <cfRule type="containsText" dxfId="7" priority="130" operator="between" text="OFF">
      <formula>NOT(ISERROR(SEARCH("OFF",Z198)))</formula>
    </cfRule>
  </conditionalFormatting>
  <conditionalFormatting sqref="M199">
    <cfRule type="containsText" dxfId="3" priority="531" operator="between" text="OFF">
      <formula>NOT(ISERROR(SEARCH("OFF",M199)))</formula>
    </cfRule>
    <cfRule type="containsText" dxfId="4" priority="532" operator="between" text="OFF">
      <formula>NOT(ISERROR(SEARCH("OFF",M199)))</formula>
    </cfRule>
    <cfRule type="containsText" dxfId="5" priority="533" operator="between" text="S">
      <formula>NOT(ISERROR(SEARCH("S",M199)))</formula>
    </cfRule>
    <cfRule type="containsText" dxfId="6" priority="534" operator="between" text="I">
      <formula>NOT(ISERROR(SEARCH("I",M199)))</formula>
    </cfRule>
    <cfRule type="containsText" dxfId="7" priority="535" operator="between" text="A">
      <formula>NOT(ISERROR(SEARCH("A",M199)))</formula>
    </cfRule>
    <cfRule type="containsText" dxfId="8" priority="536" operator="between" text="L">
      <formula>NOT(ISERROR(SEARCH("L",M199)))</formula>
    </cfRule>
    <cfRule type="containsText" dxfId="6" priority="537" operator="between" text="A">
      <formula>NOT(ISERROR(SEARCH("A",M199)))</formula>
    </cfRule>
    <cfRule type="containsText" dxfId="7" priority="538" operator="between" text="S">
      <formula>NOT(ISERROR(SEARCH("S",M199)))</formula>
    </cfRule>
    <cfRule type="containsText" dxfId="5" priority="539" operator="between" text="OFF">
      <formula>NOT(ISERROR(SEARCH("OFF",M199)))</formula>
    </cfRule>
    <cfRule type="containsText" dxfId="7" priority="540" operator="between" text="OFF">
      <formula>NOT(ISERROR(SEARCH("OFF",M199)))</formula>
    </cfRule>
  </conditionalFormatting>
  <conditionalFormatting sqref="S199">
    <cfRule type="containsText" dxfId="3" priority="401" operator="between" text="OFF">
      <formula>NOT(ISERROR(SEARCH("OFF",S199)))</formula>
    </cfRule>
    <cfRule type="containsText" dxfId="4" priority="402" operator="between" text="OFF">
      <formula>NOT(ISERROR(SEARCH("OFF",S199)))</formula>
    </cfRule>
    <cfRule type="containsText" dxfId="5" priority="403" operator="between" text="S">
      <formula>NOT(ISERROR(SEARCH("S",S199)))</formula>
    </cfRule>
    <cfRule type="containsText" dxfId="6" priority="404" operator="between" text="I">
      <formula>NOT(ISERROR(SEARCH("I",S199)))</formula>
    </cfRule>
    <cfRule type="containsText" dxfId="7" priority="405" operator="between" text="A">
      <formula>NOT(ISERROR(SEARCH("A",S199)))</formula>
    </cfRule>
    <cfRule type="containsText" dxfId="8" priority="406" operator="between" text="L">
      <formula>NOT(ISERROR(SEARCH("L",S199)))</formula>
    </cfRule>
    <cfRule type="containsText" dxfId="6" priority="407" operator="between" text="A">
      <formula>NOT(ISERROR(SEARCH("A",S199)))</formula>
    </cfRule>
    <cfRule type="containsText" dxfId="7" priority="408" operator="between" text="S">
      <formula>NOT(ISERROR(SEARCH("S",S199)))</formula>
    </cfRule>
    <cfRule type="containsText" dxfId="5" priority="409" operator="between" text="OFF">
      <formula>NOT(ISERROR(SEARCH("OFF",S199)))</formula>
    </cfRule>
    <cfRule type="containsText" dxfId="7" priority="410" operator="between" text="OFF">
      <formula>NOT(ISERROR(SEARCH("OFF",S199)))</formula>
    </cfRule>
  </conditionalFormatting>
  <conditionalFormatting sqref="U200">
    <cfRule type="containsText" dxfId="3" priority="361" operator="between" text="OFF">
      <formula>NOT(ISERROR(SEARCH("OFF",U200)))</formula>
    </cfRule>
    <cfRule type="containsText" dxfId="4" priority="362" operator="between" text="OFF">
      <formula>NOT(ISERROR(SEARCH("OFF",U200)))</formula>
    </cfRule>
    <cfRule type="containsText" dxfId="5" priority="363" operator="between" text="S">
      <formula>NOT(ISERROR(SEARCH("S",U200)))</formula>
    </cfRule>
    <cfRule type="containsText" dxfId="6" priority="364" operator="between" text="I">
      <formula>NOT(ISERROR(SEARCH("I",U200)))</formula>
    </cfRule>
    <cfRule type="containsText" dxfId="7" priority="365" operator="between" text="A">
      <formula>NOT(ISERROR(SEARCH("A",U200)))</formula>
    </cfRule>
    <cfRule type="containsText" dxfId="8" priority="366" operator="between" text="L">
      <formula>NOT(ISERROR(SEARCH("L",U200)))</formula>
    </cfRule>
    <cfRule type="containsText" dxfId="6" priority="367" operator="between" text="A">
      <formula>NOT(ISERROR(SEARCH("A",U200)))</formula>
    </cfRule>
    <cfRule type="containsText" dxfId="7" priority="368" operator="between" text="S">
      <formula>NOT(ISERROR(SEARCH("S",U200)))</formula>
    </cfRule>
    <cfRule type="containsText" dxfId="5" priority="369" operator="between" text="OFF">
      <formula>NOT(ISERROR(SEARCH("OFF",U200)))</formula>
    </cfRule>
    <cfRule type="containsText" dxfId="7" priority="370" operator="between" text="OFF">
      <formula>NOT(ISERROR(SEARCH("OFF",U200)))</formula>
    </cfRule>
  </conditionalFormatting>
  <conditionalFormatting sqref="R201">
    <cfRule type="containsText" dxfId="3" priority="381" operator="between" text="OFF">
      <formula>NOT(ISERROR(SEARCH("OFF",R201)))</formula>
    </cfRule>
    <cfRule type="containsText" dxfId="4" priority="382" operator="between" text="OFF">
      <formula>NOT(ISERROR(SEARCH("OFF",R201)))</formula>
    </cfRule>
    <cfRule type="containsText" dxfId="5" priority="383" operator="between" text="S">
      <formula>NOT(ISERROR(SEARCH("S",R201)))</formula>
    </cfRule>
    <cfRule type="containsText" dxfId="6" priority="384" operator="between" text="I">
      <formula>NOT(ISERROR(SEARCH("I",R201)))</formula>
    </cfRule>
    <cfRule type="containsText" dxfId="7" priority="385" operator="between" text="A">
      <formula>NOT(ISERROR(SEARCH("A",R201)))</formula>
    </cfRule>
    <cfRule type="containsText" dxfId="8" priority="386" operator="between" text="L">
      <formula>NOT(ISERROR(SEARCH("L",R201)))</formula>
    </cfRule>
    <cfRule type="containsText" dxfId="6" priority="387" operator="between" text="A">
      <formula>NOT(ISERROR(SEARCH("A",R201)))</formula>
    </cfRule>
    <cfRule type="containsText" dxfId="7" priority="388" operator="between" text="S">
      <formula>NOT(ISERROR(SEARCH("S",R201)))</formula>
    </cfRule>
    <cfRule type="containsText" dxfId="5" priority="389" operator="between" text="OFF">
      <formula>NOT(ISERROR(SEARCH("OFF",R201)))</formula>
    </cfRule>
    <cfRule type="containsText" dxfId="7" priority="390" operator="between" text="OFF">
      <formula>NOT(ISERROR(SEARCH("OFF",R201)))</formula>
    </cfRule>
  </conditionalFormatting>
  <conditionalFormatting sqref="Y201">
    <cfRule type="containsText" dxfId="3" priority="661" operator="between" text="OFF">
      <formula>NOT(ISERROR(SEARCH("OFF",Y201)))</formula>
    </cfRule>
    <cfRule type="containsText" dxfId="4" priority="662" operator="between" text="OFF">
      <formula>NOT(ISERROR(SEARCH("OFF",Y201)))</formula>
    </cfRule>
    <cfRule type="containsText" dxfId="5" priority="663" operator="between" text="S">
      <formula>NOT(ISERROR(SEARCH("S",Y201)))</formula>
    </cfRule>
    <cfRule type="containsText" dxfId="6" priority="664" operator="between" text="I">
      <formula>NOT(ISERROR(SEARCH("I",Y201)))</formula>
    </cfRule>
    <cfRule type="containsText" dxfId="7" priority="665" operator="between" text="A">
      <formula>NOT(ISERROR(SEARCH("A",Y201)))</formula>
    </cfRule>
    <cfRule type="containsText" dxfId="8" priority="666" operator="between" text="L">
      <formula>NOT(ISERROR(SEARCH("L",Y201)))</formula>
    </cfRule>
    <cfRule type="containsText" dxfId="6" priority="667" operator="between" text="A">
      <formula>NOT(ISERROR(SEARCH("A",Y201)))</formula>
    </cfRule>
    <cfRule type="containsText" dxfId="7" priority="668" operator="between" text="S">
      <formula>NOT(ISERROR(SEARCH("S",Y201)))</formula>
    </cfRule>
    <cfRule type="containsText" dxfId="5" priority="669" operator="between" text="OFF">
      <formula>NOT(ISERROR(SEARCH("OFF",Y201)))</formula>
    </cfRule>
    <cfRule type="containsText" dxfId="7" priority="670" operator="between" text="OFF">
      <formula>NOT(ISERROR(SEARCH("OFF",Y201)))</formula>
    </cfRule>
  </conditionalFormatting>
  <conditionalFormatting sqref="O203">
    <cfRule type="containsText" dxfId="3" priority="451" operator="between" text="OFF">
      <formula>NOT(ISERROR(SEARCH("OFF",O203)))</formula>
    </cfRule>
    <cfRule type="containsText" dxfId="4" priority="452" operator="between" text="OFF">
      <formula>NOT(ISERROR(SEARCH("OFF",O203)))</formula>
    </cfRule>
    <cfRule type="containsText" dxfId="5" priority="453" operator="between" text="S">
      <formula>NOT(ISERROR(SEARCH("S",O203)))</formula>
    </cfRule>
    <cfRule type="containsText" dxfId="6" priority="454" operator="between" text="I">
      <formula>NOT(ISERROR(SEARCH("I",O203)))</formula>
    </cfRule>
    <cfRule type="containsText" dxfId="7" priority="455" operator="between" text="A">
      <formula>NOT(ISERROR(SEARCH("A",O203)))</formula>
    </cfRule>
    <cfRule type="containsText" dxfId="8" priority="456" operator="between" text="L">
      <formula>NOT(ISERROR(SEARCH("L",O203)))</formula>
    </cfRule>
    <cfRule type="containsText" dxfId="6" priority="457" operator="between" text="A">
      <formula>NOT(ISERROR(SEARCH("A",O203)))</formula>
    </cfRule>
    <cfRule type="containsText" dxfId="7" priority="458" operator="between" text="S">
      <formula>NOT(ISERROR(SEARCH("S",O203)))</formula>
    </cfRule>
    <cfRule type="containsText" dxfId="5" priority="459" operator="between" text="OFF">
      <formula>NOT(ISERROR(SEARCH("OFF",O203)))</formula>
    </cfRule>
    <cfRule type="containsText" dxfId="7" priority="460" operator="between" text="OFF">
      <formula>NOT(ISERROR(SEARCH("OFF",O203)))</formula>
    </cfRule>
  </conditionalFormatting>
  <conditionalFormatting sqref="Q203">
    <cfRule type="containsText" dxfId="3" priority="441" operator="between" text="OFF">
      <formula>NOT(ISERROR(SEARCH("OFF",Q203)))</formula>
    </cfRule>
    <cfRule type="containsText" dxfId="4" priority="442" operator="between" text="OFF">
      <formula>NOT(ISERROR(SEARCH("OFF",Q203)))</formula>
    </cfRule>
    <cfRule type="containsText" dxfId="5" priority="443" operator="between" text="S">
      <formula>NOT(ISERROR(SEARCH("S",Q203)))</formula>
    </cfRule>
    <cfRule type="containsText" dxfId="6" priority="444" operator="between" text="I">
      <formula>NOT(ISERROR(SEARCH("I",Q203)))</formula>
    </cfRule>
    <cfRule type="containsText" dxfId="7" priority="445" operator="between" text="A">
      <formula>NOT(ISERROR(SEARCH("A",Q203)))</formula>
    </cfRule>
    <cfRule type="containsText" dxfId="8" priority="446" operator="between" text="L">
      <formula>NOT(ISERROR(SEARCH("L",Q203)))</formula>
    </cfRule>
    <cfRule type="containsText" dxfId="6" priority="447" operator="between" text="A">
      <formula>NOT(ISERROR(SEARCH("A",Q203)))</formula>
    </cfRule>
    <cfRule type="containsText" dxfId="7" priority="448" operator="between" text="S">
      <formula>NOT(ISERROR(SEARCH("S",Q203)))</formula>
    </cfRule>
    <cfRule type="containsText" dxfId="5" priority="449" operator="between" text="OFF">
      <formula>NOT(ISERROR(SEARCH("OFF",Q203)))</formula>
    </cfRule>
    <cfRule type="containsText" dxfId="7" priority="450" operator="between" text="OFF">
      <formula>NOT(ISERROR(SEARCH("OFF",Q203)))</formula>
    </cfRule>
  </conditionalFormatting>
  <conditionalFormatting sqref="X203:Y203">
    <cfRule type="containsText" dxfId="3" priority="191" operator="between" text="OFF">
      <formula>NOT(ISERROR(SEARCH("OFF",X203)))</formula>
    </cfRule>
    <cfRule type="containsText" dxfId="4" priority="192" operator="between" text="OFF">
      <formula>NOT(ISERROR(SEARCH("OFF",X203)))</formula>
    </cfRule>
    <cfRule type="containsText" dxfId="5" priority="193" operator="between" text="S">
      <formula>NOT(ISERROR(SEARCH("S",X203)))</formula>
    </cfRule>
    <cfRule type="containsText" dxfId="6" priority="194" operator="between" text="I">
      <formula>NOT(ISERROR(SEARCH("I",X203)))</formula>
    </cfRule>
    <cfRule type="containsText" dxfId="7" priority="195" operator="between" text="A">
      <formula>NOT(ISERROR(SEARCH("A",X203)))</formula>
    </cfRule>
    <cfRule type="containsText" dxfId="8" priority="196" operator="between" text="L">
      <formula>NOT(ISERROR(SEARCH("L",X203)))</formula>
    </cfRule>
    <cfRule type="containsText" dxfId="6" priority="197" operator="between" text="A">
      <formula>NOT(ISERROR(SEARCH("A",X203)))</formula>
    </cfRule>
    <cfRule type="containsText" dxfId="7" priority="198" operator="between" text="S">
      <formula>NOT(ISERROR(SEARCH("S",X203)))</formula>
    </cfRule>
    <cfRule type="containsText" dxfId="5" priority="199" operator="between" text="OFF">
      <formula>NOT(ISERROR(SEARCH("OFF",X203)))</formula>
    </cfRule>
    <cfRule type="containsText" dxfId="7" priority="200" operator="between" text="OFF">
      <formula>NOT(ISERROR(SEARCH("OFF",X203)))</formula>
    </cfRule>
  </conditionalFormatting>
  <conditionalFormatting sqref="AE203">
    <cfRule type="containsText" dxfId="3" priority="51" operator="between" text="OFF">
      <formula>NOT(ISERROR(SEARCH("OFF",AE203)))</formula>
    </cfRule>
    <cfRule type="containsText" dxfId="4" priority="52" operator="between" text="OFF">
      <formula>NOT(ISERROR(SEARCH("OFF",AE203)))</formula>
    </cfRule>
    <cfRule type="containsText" dxfId="5" priority="53" operator="between" text="S">
      <formula>NOT(ISERROR(SEARCH("S",AE203)))</formula>
    </cfRule>
    <cfRule type="containsText" dxfId="6" priority="54" operator="between" text="I">
      <formula>NOT(ISERROR(SEARCH("I",AE203)))</formula>
    </cfRule>
    <cfRule type="containsText" dxfId="7" priority="55" operator="between" text="A">
      <formula>NOT(ISERROR(SEARCH("A",AE203)))</formula>
    </cfRule>
    <cfRule type="containsText" dxfId="8" priority="56" operator="between" text="L">
      <formula>NOT(ISERROR(SEARCH("L",AE203)))</formula>
    </cfRule>
    <cfRule type="containsText" dxfId="6" priority="57" operator="between" text="A">
      <formula>NOT(ISERROR(SEARCH("A",AE203)))</formula>
    </cfRule>
    <cfRule type="containsText" dxfId="7" priority="58" operator="between" text="S">
      <formula>NOT(ISERROR(SEARCH("S",AE203)))</formula>
    </cfRule>
    <cfRule type="containsText" dxfId="5" priority="59" operator="between" text="OFF">
      <formula>NOT(ISERROR(SEARCH("OFF",AE203)))</formula>
    </cfRule>
    <cfRule type="containsText" dxfId="7" priority="60" operator="between" text="OFF">
      <formula>NOT(ISERROR(SEARCH("OFF",AE203)))</formula>
    </cfRule>
  </conditionalFormatting>
  <conditionalFormatting sqref="N204:O204">
    <cfRule type="containsText" dxfId="3" priority="471" operator="between" text="OFF">
      <formula>NOT(ISERROR(SEARCH("OFF",N204)))</formula>
    </cfRule>
    <cfRule type="containsText" dxfId="4" priority="472" operator="between" text="OFF">
      <formula>NOT(ISERROR(SEARCH("OFF",N204)))</formula>
    </cfRule>
    <cfRule type="containsText" dxfId="5" priority="473" operator="between" text="S">
      <formula>NOT(ISERROR(SEARCH("S",N204)))</formula>
    </cfRule>
    <cfRule type="containsText" dxfId="6" priority="474" operator="between" text="I">
      <formula>NOT(ISERROR(SEARCH("I",N204)))</formula>
    </cfRule>
    <cfRule type="containsText" dxfId="7" priority="475" operator="between" text="A">
      <formula>NOT(ISERROR(SEARCH("A",N204)))</formula>
    </cfRule>
    <cfRule type="containsText" dxfId="8" priority="476" operator="between" text="L">
      <formula>NOT(ISERROR(SEARCH("L",N204)))</formula>
    </cfRule>
    <cfRule type="containsText" dxfId="6" priority="477" operator="between" text="A">
      <formula>NOT(ISERROR(SEARCH("A",N204)))</formula>
    </cfRule>
    <cfRule type="containsText" dxfId="7" priority="478" operator="between" text="S">
      <formula>NOT(ISERROR(SEARCH("S",N204)))</formula>
    </cfRule>
    <cfRule type="containsText" dxfId="5" priority="479" operator="between" text="OFF">
      <formula>NOT(ISERROR(SEARCH("OFF",N204)))</formula>
    </cfRule>
    <cfRule type="containsText" dxfId="7" priority="480" operator="between" text="OFF">
      <formula>NOT(ISERROR(SEARCH("OFF",N204)))</formula>
    </cfRule>
  </conditionalFormatting>
  <conditionalFormatting sqref="W204">
    <cfRule type="containsText" dxfId="3" priority="281" operator="between" text="OFF">
      <formula>NOT(ISERROR(SEARCH("OFF",W204)))</formula>
    </cfRule>
    <cfRule type="containsText" dxfId="4" priority="282" operator="between" text="OFF">
      <formula>NOT(ISERROR(SEARCH("OFF",W204)))</formula>
    </cfRule>
    <cfRule type="containsText" dxfId="5" priority="283" operator="between" text="S">
      <formula>NOT(ISERROR(SEARCH("S",W204)))</formula>
    </cfRule>
    <cfRule type="containsText" dxfId="6" priority="284" operator="between" text="I">
      <formula>NOT(ISERROR(SEARCH("I",W204)))</formula>
    </cfRule>
    <cfRule type="containsText" dxfId="7" priority="285" operator="between" text="A">
      <formula>NOT(ISERROR(SEARCH("A",W204)))</formula>
    </cfRule>
    <cfRule type="containsText" dxfId="8" priority="286" operator="between" text="L">
      <formula>NOT(ISERROR(SEARCH("L",W204)))</formula>
    </cfRule>
    <cfRule type="containsText" dxfId="6" priority="287" operator="between" text="A">
      <formula>NOT(ISERROR(SEARCH("A",W204)))</formula>
    </cfRule>
    <cfRule type="containsText" dxfId="7" priority="288" operator="between" text="S">
      <formula>NOT(ISERROR(SEARCH("S",W204)))</formula>
    </cfRule>
    <cfRule type="containsText" dxfId="5" priority="289" operator="between" text="OFF">
      <formula>NOT(ISERROR(SEARCH("OFF",W204)))</formula>
    </cfRule>
    <cfRule type="containsText" dxfId="7" priority="290" operator="between" text="OFF">
      <formula>NOT(ISERROR(SEARCH("OFF",W204)))</formula>
    </cfRule>
  </conditionalFormatting>
  <conditionalFormatting sqref="M205">
    <cfRule type="containsText" dxfId="3" priority="541" operator="between" text="OFF">
      <formula>NOT(ISERROR(SEARCH("OFF",M205)))</formula>
    </cfRule>
    <cfRule type="containsText" dxfId="4" priority="542" operator="between" text="OFF">
      <formula>NOT(ISERROR(SEARCH("OFF",M205)))</formula>
    </cfRule>
    <cfRule type="containsText" dxfId="5" priority="543" operator="between" text="S">
      <formula>NOT(ISERROR(SEARCH("S",M205)))</formula>
    </cfRule>
    <cfRule type="containsText" dxfId="6" priority="544" operator="between" text="I">
      <formula>NOT(ISERROR(SEARCH("I",M205)))</formula>
    </cfRule>
    <cfRule type="containsText" dxfId="7" priority="545" operator="between" text="A">
      <formula>NOT(ISERROR(SEARCH("A",M205)))</formula>
    </cfRule>
    <cfRule type="containsText" dxfId="8" priority="546" operator="between" text="L">
      <formula>NOT(ISERROR(SEARCH("L",M205)))</formula>
    </cfRule>
    <cfRule type="containsText" dxfId="6" priority="547" operator="between" text="A">
      <formula>NOT(ISERROR(SEARCH("A",M205)))</formula>
    </cfRule>
    <cfRule type="containsText" dxfId="7" priority="548" operator="between" text="S">
      <formula>NOT(ISERROR(SEARCH("S",M205)))</formula>
    </cfRule>
    <cfRule type="containsText" dxfId="5" priority="549" operator="between" text="OFF">
      <formula>NOT(ISERROR(SEARCH("OFF",M205)))</formula>
    </cfRule>
    <cfRule type="containsText" dxfId="7" priority="550" operator="between" text="OFF">
      <formula>NOT(ISERROR(SEARCH("OFF",M205)))</formula>
    </cfRule>
  </conditionalFormatting>
  <conditionalFormatting sqref="I206:J206">
    <cfRule type="containsText" dxfId="3" priority="561" operator="between" text="OFF">
      <formula>NOT(ISERROR(SEARCH("OFF",I206)))</formula>
    </cfRule>
    <cfRule type="containsText" dxfId="4" priority="562" operator="between" text="OFF">
      <formula>NOT(ISERROR(SEARCH("OFF",I206)))</formula>
    </cfRule>
    <cfRule type="containsText" dxfId="5" priority="563" operator="between" text="S">
      <formula>NOT(ISERROR(SEARCH("S",I206)))</formula>
    </cfRule>
    <cfRule type="containsText" dxfId="6" priority="564" operator="between" text="I">
      <formula>NOT(ISERROR(SEARCH("I",I206)))</formula>
    </cfRule>
    <cfRule type="containsText" dxfId="7" priority="565" operator="between" text="A">
      <formula>NOT(ISERROR(SEARCH("A",I206)))</formula>
    </cfRule>
    <cfRule type="containsText" dxfId="8" priority="566" operator="between" text="L">
      <formula>NOT(ISERROR(SEARCH("L",I206)))</formula>
    </cfRule>
    <cfRule type="containsText" dxfId="6" priority="567" operator="between" text="A">
      <formula>NOT(ISERROR(SEARCH("A",I206)))</formula>
    </cfRule>
    <cfRule type="containsText" dxfId="7" priority="568" operator="between" text="S">
      <formula>NOT(ISERROR(SEARCH("S",I206)))</formula>
    </cfRule>
    <cfRule type="containsText" dxfId="5" priority="569" operator="between" text="OFF">
      <formula>NOT(ISERROR(SEARCH("OFF",I206)))</formula>
    </cfRule>
    <cfRule type="containsText" dxfId="7" priority="570" operator="between" text="OFF">
      <formula>NOT(ISERROR(SEARCH("OFF",I206)))</formula>
    </cfRule>
  </conditionalFormatting>
  <conditionalFormatting sqref="U206">
    <cfRule type="containsText" dxfId="3" priority="371" operator="between" text="OFF">
      <formula>NOT(ISERROR(SEARCH("OFF",U206)))</formula>
    </cfRule>
    <cfRule type="containsText" dxfId="4" priority="372" operator="between" text="OFF">
      <formula>NOT(ISERROR(SEARCH("OFF",U206)))</formula>
    </cfRule>
    <cfRule type="containsText" dxfId="5" priority="373" operator="between" text="S">
      <formula>NOT(ISERROR(SEARCH("S",U206)))</formula>
    </cfRule>
    <cfRule type="containsText" dxfId="6" priority="374" operator="between" text="I">
      <formula>NOT(ISERROR(SEARCH("I",U206)))</formula>
    </cfRule>
    <cfRule type="containsText" dxfId="7" priority="375" operator="between" text="A">
      <formula>NOT(ISERROR(SEARCH("A",U206)))</formula>
    </cfRule>
    <cfRule type="containsText" dxfId="8" priority="376" operator="between" text="L">
      <formula>NOT(ISERROR(SEARCH("L",U206)))</formula>
    </cfRule>
    <cfRule type="containsText" dxfId="6" priority="377" operator="between" text="A">
      <formula>NOT(ISERROR(SEARCH("A",U206)))</formula>
    </cfRule>
    <cfRule type="containsText" dxfId="7" priority="378" operator="between" text="S">
      <formula>NOT(ISERROR(SEARCH("S",U206)))</formula>
    </cfRule>
    <cfRule type="containsText" dxfId="5" priority="379" operator="between" text="OFF">
      <formula>NOT(ISERROR(SEARCH("OFF",U206)))</formula>
    </cfRule>
    <cfRule type="containsText" dxfId="7" priority="380" operator="between" text="OFF">
      <formula>NOT(ISERROR(SEARCH("OFF",U206)))</formula>
    </cfRule>
  </conditionalFormatting>
  <conditionalFormatting sqref="M207">
    <cfRule type="containsText" dxfId="3" priority="511" operator="between" text="OFF">
      <formula>NOT(ISERROR(SEARCH("OFF",M207)))</formula>
    </cfRule>
    <cfRule type="containsText" dxfId="4" priority="512" operator="between" text="OFF">
      <formula>NOT(ISERROR(SEARCH("OFF",M207)))</formula>
    </cfRule>
    <cfRule type="containsText" dxfId="5" priority="513" operator="between" text="S">
      <formula>NOT(ISERROR(SEARCH("S",M207)))</formula>
    </cfRule>
    <cfRule type="containsText" dxfId="6" priority="514" operator="between" text="I">
      <formula>NOT(ISERROR(SEARCH("I",M207)))</formula>
    </cfRule>
    <cfRule type="containsText" dxfId="7" priority="515" operator="between" text="A">
      <formula>NOT(ISERROR(SEARCH("A",M207)))</formula>
    </cfRule>
    <cfRule type="containsText" dxfId="8" priority="516" operator="between" text="L">
      <formula>NOT(ISERROR(SEARCH("L",M207)))</formula>
    </cfRule>
    <cfRule type="containsText" dxfId="6" priority="517" operator="between" text="A">
      <formula>NOT(ISERROR(SEARCH("A",M207)))</formula>
    </cfRule>
    <cfRule type="containsText" dxfId="7" priority="518" operator="between" text="S">
      <formula>NOT(ISERROR(SEARCH("S",M207)))</formula>
    </cfRule>
    <cfRule type="containsText" dxfId="5" priority="519" operator="between" text="OFF">
      <formula>NOT(ISERROR(SEARCH("OFF",M207)))</formula>
    </cfRule>
    <cfRule type="containsText" dxfId="7" priority="520" operator="between" text="OFF">
      <formula>NOT(ISERROR(SEARCH("OFF",M207)))</formula>
    </cfRule>
  </conditionalFormatting>
  <conditionalFormatting sqref="K208">
    <cfRule type="containsText" dxfId="3" priority="341" operator="between" text="OFF">
      <formula>NOT(ISERROR(SEARCH("OFF",K208)))</formula>
    </cfRule>
    <cfRule type="containsText" dxfId="4" priority="342" operator="between" text="OFF">
      <formula>NOT(ISERROR(SEARCH("OFF",K208)))</formula>
    </cfRule>
    <cfRule type="containsText" dxfId="5" priority="343" operator="between" text="S">
      <formula>NOT(ISERROR(SEARCH("S",K208)))</formula>
    </cfRule>
    <cfRule type="containsText" dxfId="6" priority="344" operator="between" text="I">
      <formula>NOT(ISERROR(SEARCH("I",K208)))</formula>
    </cfRule>
    <cfRule type="containsText" dxfId="7" priority="345" operator="between" text="A">
      <formula>NOT(ISERROR(SEARCH("A",K208)))</formula>
    </cfRule>
    <cfRule type="containsText" dxfId="8" priority="346" operator="between" text="L">
      <formula>NOT(ISERROR(SEARCH("L",K208)))</formula>
    </cfRule>
    <cfRule type="containsText" dxfId="6" priority="347" operator="between" text="A">
      <formula>NOT(ISERROR(SEARCH("A",K208)))</formula>
    </cfRule>
    <cfRule type="containsText" dxfId="7" priority="348" operator="between" text="S">
      <formula>NOT(ISERROR(SEARCH("S",K208)))</formula>
    </cfRule>
    <cfRule type="containsText" dxfId="5" priority="349" operator="between" text="OFF">
      <formula>NOT(ISERROR(SEARCH("OFF",K208)))</formula>
    </cfRule>
    <cfRule type="containsText" dxfId="7" priority="350" operator="between" text="OFF">
      <formula>NOT(ISERROR(SEARCH("OFF",K208)))</formula>
    </cfRule>
  </conditionalFormatting>
  <conditionalFormatting sqref="W210">
    <cfRule type="containsText" dxfId="3" priority="241" operator="between" text="OFF">
      <formula>NOT(ISERROR(SEARCH("OFF",W210)))</formula>
    </cfRule>
    <cfRule type="containsText" dxfId="4" priority="242" operator="between" text="OFF">
      <formula>NOT(ISERROR(SEARCH("OFF",W210)))</formula>
    </cfRule>
    <cfRule type="containsText" dxfId="5" priority="243" operator="between" text="S">
      <formula>NOT(ISERROR(SEARCH("S",W210)))</formula>
    </cfRule>
    <cfRule type="containsText" dxfId="6" priority="244" operator="between" text="I">
      <formula>NOT(ISERROR(SEARCH("I",W210)))</formula>
    </cfRule>
    <cfRule type="containsText" dxfId="7" priority="245" operator="between" text="A">
      <formula>NOT(ISERROR(SEARCH("A",W210)))</formula>
    </cfRule>
    <cfRule type="containsText" dxfId="8" priority="246" operator="between" text="L">
      <formula>NOT(ISERROR(SEARCH("L",W210)))</formula>
    </cfRule>
    <cfRule type="containsText" dxfId="6" priority="247" operator="between" text="A">
      <formula>NOT(ISERROR(SEARCH("A",W210)))</formula>
    </cfRule>
    <cfRule type="containsText" dxfId="7" priority="248" operator="between" text="S">
      <formula>NOT(ISERROR(SEARCH("S",W210)))</formula>
    </cfRule>
    <cfRule type="containsText" dxfId="5" priority="249" operator="between" text="OFF">
      <formula>NOT(ISERROR(SEARCH("OFF",W210)))</formula>
    </cfRule>
    <cfRule type="containsText" dxfId="7" priority="250" operator="between" text="OFF">
      <formula>NOT(ISERROR(SEARCH("OFF",W210)))</formula>
    </cfRule>
  </conditionalFormatting>
  <conditionalFormatting sqref="Y210">
    <cfRule type="containsText" dxfId="3" priority="161" operator="between" text="OFF">
      <formula>NOT(ISERROR(SEARCH("OFF",Y210)))</formula>
    </cfRule>
    <cfRule type="containsText" dxfId="4" priority="162" operator="between" text="OFF">
      <formula>NOT(ISERROR(SEARCH("OFF",Y210)))</formula>
    </cfRule>
    <cfRule type="containsText" dxfId="5" priority="163" operator="between" text="S">
      <formula>NOT(ISERROR(SEARCH("S",Y210)))</formula>
    </cfRule>
    <cfRule type="containsText" dxfId="6" priority="164" operator="between" text="I">
      <formula>NOT(ISERROR(SEARCH("I",Y210)))</formula>
    </cfRule>
    <cfRule type="containsText" dxfId="7" priority="165" operator="between" text="A">
      <formula>NOT(ISERROR(SEARCH("A",Y210)))</formula>
    </cfRule>
    <cfRule type="containsText" dxfId="8" priority="166" operator="between" text="L">
      <formula>NOT(ISERROR(SEARCH("L",Y210)))</formula>
    </cfRule>
    <cfRule type="containsText" dxfId="6" priority="167" operator="between" text="A">
      <formula>NOT(ISERROR(SEARCH("A",Y210)))</formula>
    </cfRule>
    <cfRule type="containsText" dxfId="7" priority="168" operator="between" text="S">
      <formula>NOT(ISERROR(SEARCH("S",Y210)))</formula>
    </cfRule>
    <cfRule type="containsText" dxfId="5" priority="169" operator="between" text="OFF">
      <formula>NOT(ISERROR(SEARCH("OFF",Y210)))</formula>
    </cfRule>
    <cfRule type="containsText" dxfId="7" priority="170" operator="between" text="OFF">
      <formula>NOT(ISERROR(SEARCH("OFF",Y210)))</formula>
    </cfRule>
  </conditionalFormatting>
  <conditionalFormatting sqref="AD211">
    <cfRule type="containsText" dxfId="3" priority="81" operator="between" text="OFF">
      <formula>NOT(ISERROR(SEARCH("OFF",AD211)))</formula>
    </cfRule>
    <cfRule type="containsText" dxfId="4" priority="82" operator="between" text="OFF">
      <formula>NOT(ISERROR(SEARCH("OFF",AD211)))</formula>
    </cfRule>
    <cfRule type="containsText" dxfId="5" priority="83" operator="between" text="S">
      <formula>NOT(ISERROR(SEARCH("S",AD211)))</formula>
    </cfRule>
    <cfRule type="containsText" dxfId="6" priority="84" operator="between" text="I">
      <formula>NOT(ISERROR(SEARCH("I",AD211)))</formula>
    </cfRule>
    <cfRule type="containsText" dxfId="7" priority="85" operator="between" text="A">
      <formula>NOT(ISERROR(SEARCH("A",AD211)))</formula>
    </cfRule>
    <cfRule type="containsText" dxfId="8" priority="86" operator="between" text="L">
      <formula>NOT(ISERROR(SEARCH("L",AD211)))</formula>
    </cfRule>
    <cfRule type="containsText" dxfId="6" priority="87" operator="between" text="A">
      <formula>NOT(ISERROR(SEARCH("A",AD211)))</formula>
    </cfRule>
    <cfRule type="containsText" dxfId="7" priority="88" operator="between" text="S">
      <formula>NOT(ISERROR(SEARCH("S",AD211)))</formula>
    </cfRule>
    <cfRule type="containsText" dxfId="5" priority="89" operator="between" text="OFF">
      <formula>NOT(ISERROR(SEARCH("OFF",AD211)))</formula>
    </cfRule>
    <cfRule type="containsText" dxfId="7" priority="90" operator="between" text="OFF">
      <formula>NOT(ISERROR(SEARCH("OFF",AD211)))</formula>
    </cfRule>
  </conditionalFormatting>
  <conditionalFormatting sqref="A168:A179">
    <cfRule type="containsText" dxfId="3" priority="921" operator="between" text="OFF">
      <formula>NOT(ISERROR(SEARCH("OFF",A168)))</formula>
    </cfRule>
    <cfRule type="containsText" dxfId="4" priority="922" operator="between" text="OFF">
      <formula>NOT(ISERROR(SEARCH("OFF",A168)))</formula>
    </cfRule>
    <cfRule type="containsText" dxfId="5" priority="923" operator="between" text="S">
      <formula>NOT(ISERROR(SEARCH("S",A168)))</formula>
    </cfRule>
    <cfRule type="containsText" dxfId="6" priority="924" operator="between" text="I">
      <formula>NOT(ISERROR(SEARCH("I",A168)))</formula>
    </cfRule>
    <cfRule type="containsText" dxfId="7" priority="925" operator="between" text="A">
      <formula>NOT(ISERROR(SEARCH("A",A168)))</formula>
    </cfRule>
    <cfRule type="containsText" dxfId="8" priority="926" operator="between" text="L">
      <formula>NOT(ISERROR(SEARCH("L",A168)))</formula>
    </cfRule>
    <cfRule type="containsText" dxfId="6" priority="927" operator="between" text="A">
      <formula>NOT(ISERROR(SEARCH("A",A168)))</formula>
    </cfRule>
    <cfRule type="containsText" dxfId="7" priority="928" operator="between" text="S">
      <formula>NOT(ISERROR(SEARCH("S",A168)))</formula>
    </cfRule>
    <cfRule type="containsText" dxfId="5" priority="929" operator="between" text="OFF">
      <formula>NOT(ISERROR(SEARCH("OFF",A168)))</formula>
    </cfRule>
    <cfRule type="containsText" dxfId="7" priority="930" operator="between" text="OFF">
      <formula>NOT(ISERROR(SEARCH("OFF",A168)))</formula>
    </cfRule>
  </conditionalFormatting>
  <conditionalFormatting sqref="I188:I189">
    <cfRule type="containsText" dxfId="3" priority="611" operator="between" text="OFF">
      <formula>NOT(ISERROR(SEARCH("OFF",I188)))</formula>
    </cfRule>
    <cfRule type="containsText" dxfId="4" priority="612" operator="between" text="OFF">
      <formula>NOT(ISERROR(SEARCH("OFF",I188)))</formula>
    </cfRule>
    <cfRule type="containsText" dxfId="5" priority="613" operator="between" text="S">
      <formula>NOT(ISERROR(SEARCH("S",I188)))</formula>
    </cfRule>
    <cfRule type="containsText" dxfId="6" priority="614" operator="between" text="I">
      <formula>NOT(ISERROR(SEARCH("I",I188)))</formula>
    </cfRule>
    <cfRule type="containsText" dxfId="7" priority="615" operator="between" text="A">
      <formula>NOT(ISERROR(SEARCH("A",I188)))</formula>
    </cfRule>
    <cfRule type="containsText" dxfId="8" priority="616" operator="between" text="L">
      <formula>NOT(ISERROR(SEARCH("L",I188)))</formula>
    </cfRule>
    <cfRule type="containsText" dxfId="6" priority="617" operator="between" text="A">
      <formula>NOT(ISERROR(SEARCH("A",I188)))</formula>
    </cfRule>
    <cfRule type="containsText" dxfId="7" priority="618" operator="between" text="S">
      <formula>NOT(ISERROR(SEARCH("S",I188)))</formula>
    </cfRule>
    <cfRule type="containsText" dxfId="5" priority="619" operator="between" text="OFF">
      <formula>NOT(ISERROR(SEARCH("OFF",I188)))</formula>
    </cfRule>
    <cfRule type="containsText" dxfId="7" priority="620" operator="between" text="OFF">
      <formula>NOT(ISERROR(SEARCH("OFF",I188)))</formula>
    </cfRule>
  </conditionalFormatting>
  <conditionalFormatting sqref="I201:I203">
    <cfRule type="containsText" dxfId="3" priority="101" operator="between" text="OFF">
      <formula>NOT(ISERROR(SEARCH("OFF",I201)))</formula>
    </cfRule>
    <cfRule type="containsText" dxfId="4" priority="102" operator="between" text="OFF">
      <formula>NOT(ISERROR(SEARCH("OFF",I201)))</formula>
    </cfRule>
    <cfRule type="containsText" dxfId="5" priority="103" operator="between" text="S">
      <formula>NOT(ISERROR(SEARCH("S",I201)))</formula>
    </cfRule>
    <cfRule type="containsText" dxfId="6" priority="104" operator="between" text="I">
      <formula>NOT(ISERROR(SEARCH("I",I201)))</formula>
    </cfRule>
    <cfRule type="containsText" dxfId="7" priority="105" operator="between" text="A">
      <formula>NOT(ISERROR(SEARCH("A",I201)))</formula>
    </cfRule>
    <cfRule type="containsText" dxfId="8" priority="106" operator="between" text="L">
      <formula>NOT(ISERROR(SEARCH("L",I201)))</formula>
    </cfRule>
    <cfRule type="containsText" dxfId="6" priority="107" operator="between" text="A">
      <formula>NOT(ISERROR(SEARCH("A",I201)))</formula>
    </cfRule>
    <cfRule type="containsText" dxfId="7" priority="108" operator="between" text="S">
      <formula>NOT(ISERROR(SEARCH("S",I201)))</formula>
    </cfRule>
    <cfRule type="containsText" dxfId="5" priority="109" operator="between" text="OFF">
      <formula>NOT(ISERROR(SEARCH("OFF",I201)))</formula>
    </cfRule>
    <cfRule type="containsText" dxfId="7" priority="110" operator="between" text="OFF">
      <formula>NOT(ISERROR(SEARCH("OFF",I201)))</formula>
    </cfRule>
  </conditionalFormatting>
  <conditionalFormatting sqref="K205:K206">
    <cfRule type="containsText" dxfId="3" priority="551" operator="between" text="OFF">
      <formula>NOT(ISERROR(SEARCH("OFF",K205)))</formula>
    </cfRule>
    <cfRule type="containsText" dxfId="4" priority="552" operator="between" text="OFF">
      <formula>NOT(ISERROR(SEARCH("OFF",K205)))</formula>
    </cfRule>
    <cfRule type="containsText" dxfId="5" priority="553" operator="between" text="S">
      <formula>NOT(ISERROR(SEARCH("S",K205)))</formula>
    </cfRule>
    <cfRule type="containsText" dxfId="6" priority="554" operator="between" text="I">
      <formula>NOT(ISERROR(SEARCH("I",K205)))</formula>
    </cfRule>
    <cfRule type="containsText" dxfId="7" priority="555" operator="between" text="A">
      <formula>NOT(ISERROR(SEARCH("A",K205)))</formula>
    </cfRule>
    <cfRule type="containsText" dxfId="8" priority="556" operator="between" text="L">
      <formula>NOT(ISERROR(SEARCH("L",K205)))</formula>
    </cfRule>
    <cfRule type="containsText" dxfId="6" priority="557" operator="between" text="A">
      <formula>NOT(ISERROR(SEARCH("A",K205)))</formula>
    </cfRule>
    <cfRule type="containsText" dxfId="7" priority="558" operator="between" text="S">
      <formula>NOT(ISERROR(SEARCH("S",K205)))</formula>
    </cfRule>
    <cfRule type="containsText" dxfId="5" priority="559" operator="between" text="OFF">
      <formula>NOT(ISERROR(SEARCH("OFF",K205)))</formula>
    </cfRule>
    <cfRule type="containsText" dxfId="7" priority="560" operator="between" text="OFF">
      <formula>NOT(ISERROR(SEARCH("OFF",K205)))</formula>
    </cfRule>
  </conditionalFormatting>
  <conditionalFormatting sqref="U209:U210">
    <cfRule type="containsText" dxfId="3" priority="301" operator="between" text="OFF">
      <formula>NOT(ISERROR(SEARCH("OFF",U209)))</formula>
    </cfRule>
    <cfRule type="containsText" dxfId="4" priority="302" operator="between" text="OFF">
      <formula>NOT(ISERROR(SEARCH("OFF",U209)))</formula>
    </cfRule>
    <cfRule type="containsText" dxfId="5" priority="303" operator="between" text="S">
      <formula>NOT(ISERROR(SEARCH("S",U209)))</formula>
    </cfRule>
    <cfRule type="containsText" dxfId="6" priority="304" operator="between" text="I">
      <formula>NOT(ISERROR(SEARCH("I",U209)))</formula>
    </cfRule>
    <cfRule type="containsText" dxfId="7" priority="305" operator="between" text="A">
      <formula>NOT(ISERROR(SEARCH("A",U209)))</formula>
    </cfRule>
    <cfRule type="containsText" dxfId="8" priority="306" operator="between" text="L">
      <formula>NOT(ISERROR(SEARCH("L",U209)))</formula>
    </cfRule>
    <cfRule type="containsText" dxfId="6" priority="307" operator="between" text="A">
      <formula>NOT(ISERROR(SEARCH("A",U209)))</formula>
    </cfRule>
    <cfRule type="containsText" dxfId="7" priority="308" operator="between" text="S">
      <formula>NOT(ISERROR(SEARCH("S",U209)))</formula>
    </cfRule>
    <cfRule type="containsText" dxfId="5" priority="309" operator="between" text="OFF">
      <formula>NOT(ISERROR(SEARCH("OFF",U209)))</formula>
    </cfRule>
    <cfRule type="containsText" dxfId="7" priority="310" operator="between" text="OFF">
      <formula>NOT(ISERROR(SEARCH("OFF",U209)))</formula>
    </cfRule>
  </conditionalFormatting>
  <conditionalFormatting sqref="V192:V193">
    <cfRule type="containsText" dxfId="3" priority="271" operator="between" text="OFF">
      <formula>NOT(ISERROR(SEARCH("OFF",V192)))</formula>
    </cfRule>
    <cfRule type="containsText" dxfId="4" priority="272" operator="between" text="OFF">
      <formula>NOT(ISERROR(SEARCH("OFF",V192)))</formula>
    </cfRule>
    <cfRule type="containsText" dxfId="5" priority="273" operator="between" text="S">
      <formula>NOT(ISERROR(SEARCH("S",V192)))</formula>
    </cfRule>
    <cfRule type="containsText" dxfId="6" priority="274" operator="between" text="I">
      <formula>NOT(ISERROR(SEARCH("I",V192)))</formula>
    </cfRule>
    <cfRule type="containsText" dxfId="7" priority="275" operator="between" text="A">
      <formula>NOT(ISERROR(SEARCH("A",V192)))</formula>
    </cfRule>
    <cfRule type="containsText" dxfId="8" priority="276" operator="between" text="L">
      <formula>NOT(ISERROR(SEARCH("L",V192)))</formula>
    </cfRule>
    <cfRule type="containsText" dxfId="6" priority="277" operator="between" text="A">
      <formula>NOT(ISERROR(SEARCH("A",V192)))</formula>
    </cfRule>
    <cfRule type="containsText" dxfId="7" priority="278" operator="between" text="S">
      <formula>NOT(ISERROR(SEARCH("S",V192)))</formula>
    </cfRule>
    <cfRule type="containsText" dxfId="5" priority="279" operator="between" text="OFF">
      <formula>NOT(ISERROR(SEARCH("OFF",V192)))</formula>
    </cfRule>
    <cfRule type="containsText" dxfId="7" priority="280" operator="between" text="OFF">
      <formula>NOT(ISERROR(SEARCH("OFF",V192)))</formula>
    </cfRule>
  </conditionalFormatting>
  <conditionalFormatting sqref="Y195:Y196">
    <cfRule type="containsText" dxfId="3" priority="771" operator="between" text="OFF">
      <formula>NOT(ISERROR(SEARCH("OFF",Y195)))</formula>
    </cfRule>
    <cfRule type="containsText" dxfId="4" priority="772" operator="between" text="OFF">
      <formula>NOT(ISERROR(SEARCH("OFF",Y195)))</formula>
    </cfRule>
    <cfRule type="containsText" dxfId="5" priority="773" operator="between" text="S">
      <formula>NOT(ISERROR(SEARCH("S",Y195)))</formula>
    </cfRule>
    <cfRule type="containsText" dxfId="6" priority="774" operator="between" text="I">
      <formula>NOT(ISERROR(SEARCH("I",Y195)))</formula>
    </cfRule>
    <cfRule type="containsText" dxfId="7" priority="775" operator="between" text="A">
      <formula>NOT(ISERROR(SEARCH("A",Y195)))</formula>
    </cfRule>
    <cfRule type="containsText" dxfId="8" priority="776" operator="between" text="L">
      <formula>NOT(ISERROR(SEARCH("L",Y195)))</formula>
    </cfRule>
    <cfRule type="containsText" dxfId="6" priority="777" operator="between" text="A">
      <formula>NOT(ISERROR(SEARCH("A",Y195)))</formula>
    </cfRule>
    <cfRule type="containsText" dxfId="7" priority="778" operator="between" text="S">
      <formula>NOT(ISERROR(SEARCH("S",Y195)))</formula>
    </cfRule>
    <cfRule type="containsText" dxfId="5" priority="779" operator="between" text="OFF">
      <formula>NOT(ISERROR(SEARCH("OFF",Y195)))</formula>
    </cfRule>
    <cfRule type="containsText" dxfId="7" priority="780" operator="between" text="OFF">
      <formula>NOT(ISERROR(SEARCH("OFF",Y195)))</formula>
    </cfRule>
  </conditionalFormatting>
  <conditionalFormatting sqref="AA195:AA196">
    <cfRule type="containsText" dxfId="3" priority="781" operator="between" text="OFF">
      <formula>NOT(ISERROR(SEARCH("OFF",AA195)))</formula>
    </cfRule>
    <cfRule type="containsText" dxfId="4" priority="782" operator="between" text="OFF">
      <formula>NOT(ISERROR(SEARCH("OFF",AA195)))</formula>
    </cfRule>
    <cfRule type="containsText" dxfId="5" priority="783" operator="between" text="S">
      <formula>NOT(ISERROR(SEARCH("S",AA195)))</formula>
    </cfRule>
    <cfRule type="containsText" dxfId="6" priority="784" operator="between" text="I">
      <formula>NOT(ISERROR(SEARCH("I",AA195)))</formula>
    </cfRule>
    <cfRule type="containsText" dxfId="7" priority="785" operator="between" text="A">
      <formula>NOT(ISERROR(SEARCH("A",AA195)))</formula>
    </cfRule>
    <cfRule type="containsText" dxfId="8" priority="786" operator="between" text="L">
      <formula>NOT(ISERROR(SEARCH("L",AA195)))</formula>
    </cfRule>
    <cfRule type="containsText" dxfId="6" priority="787" operator="between" text="A">
      <formula>NOT(ISERROR(SEARCH("A",AA195)))</formula>
    </cfRule>
    <cfRule type="containsText" dxfId="7" priority="788" operator="between" text="S">
      <formula>NOT(ISERROR(SEARCH("S",AA195)))</formula>
    </cfRule>
    <cfRule type="containsText" dxfId="5" priority="789" operator="between" text="OFF">
      <formula>NOT(ISERROR(SEARCH("OFF",AA195)))</formula>
    </cfRule>
    <cfRule type="containsText" dxfId="7" priority="790" operator="between" text="OFF">
      <formula>NOT(ISERROR(SEARCH("OFF",AA195)))</formula>
    </cfRule>
  </conditionalFormatting>
  <conditionalFormatting sqref="AK44:AK192">
    <cfRule type="containsText" dxfId="3" priority="951" operator="between" text="OFF">
      <formula>NOT(ISERROR(SEARCH("OFF",AK44)))</formula>
    </cfRule>
    <cfRule type="containsText" dxfId="4" priority="952" operator="between" text="OFF">
      <formula>NOT(ISERROR(SEARCH("OFF",AK44)))</formula>
    </cfRule>
    <cfRule type="containsText" dxfId="5" priority="953" operator="between" text="S">
      <formula>NOT(ISERROR(SEARCH("S",AK44)))</formula>
    </cfRule>
    <cfRule type="containsText" dxfId="6" priority="954" operator="between" text="I">
      <formula>NOT(ISERROR(SEARCH("I",AK44)))</formula>
    </cfRule>
    <cfRule type="containsText" dxfId="7" priority="955" operator="between" text="A">
      <formula>NOT(ISERROR(SEARCH("A",AK44)))</formula>
    </cfRule>
    <cfRule type="containsText" dxfId="8" priority="956" operator="between" text="L">
      <formula>NOT(ISERROR(SEARCH("L",AK44)))</formula>
    </cfRule>
    <cfRule type="containsText" dxfId="6" priority="957" operator="between" text="A">
      <formula>NOT(ISERROR(SEARCH("A",AK44)))</formula>
    </cfRule>
    <cfRule type="containsText" dxfId="7" priority="958" operator="between" text="S">
      <formula>NOT(ISERROR(SEARCH("S",AK44)))</formula>
    </cfRule>
    <cfRule type="containsText" dxfId="5" priority="959" operator="between" text="OFF">
      <formula>NOT(ISERROR(SEARCH("OFF",AK44)))</formula>
    </cfRule>
    <cfRule type="containsText" dxfId="7" priority="960" operator="between" text="OFF">
      <formula>NOT(ISERROR(SEARCH("OFF",AK44)))</formula>
    </cfRule>
  </conditionalFormatting>
  <conditionalFormatting sqref="AP210:AP211">
    <cfRule type="containsText" dxfId="3" priority="251" operator="between" text="OFF">
      <formula>NOT(ISERROR(SEARCH("OFF",AP210)))</formula>
    </cfRule>
    <cfRule type="containsText" dxfId="4" priority="252" operator="between" text="OFF">
      <formula>NOT(ISERROR(SEARCH("OFF",AP210)))</formula>
    </cfRule>
    <cfRule type="containsText" dxfId="5" priority="253" operator="between" text="S">
      <formula>NOT(ISERROR(SEARCH("S",AP210)))</formula>
    </cfRule>
    <cfRule type="containsText" dxfId="6" priority="254" operator="between" text="I">
      <formula>NOT(ISERROR(SEARCH("I",AP210)))</formula>
    </cfRule>
    <cfRule type="containsText" dxfId="7" priority="255" operator="between" text="A">
      <formula>NOT(ISERROR(SEARCH("A",AP210)))</formula>
    </cfRule>
    <cfRule type="containsText" dxfId="8" priority="256" operator="between" text="L">
      <formula>NOT(ISERROR(SEARCH("L",AP210)))</formula>
    </cfRule>
    <cfRule type="containsText" dxfId="6" priority="257" operator="between" text="A">
      <formula>NOT(ISERROR(SEARCH("A",AP210)))</formula>
    </cfRule>
    <cfRule type="containsText" dxfId="7" priority="258" operator="between" text="S">
      <formula>NOT(ISERROR(SEARCH("S",AP210)))</formula>
    </cfRule>
    <cfRule type="containsText" dxfId="5" priority="259" operator="between" text="OFF">
      <formula>NOT(ISERROR(SEARCH("OFF",AP210)))</formula>
    </cfRule>
    <cfRule type="containsText" dxfId="7" priority="260" operator="between" text="OFF">
      <formula>NOT(ISERROR(SEARCH("OFF",AP210)))</formula>
    </cfRule>
  </conditionalFormatting>
  <conditionalFormatting sqref="E12:AG74">
    <cfRule type="containsText" dxfId="3" priority="1021" operator="between" text="OFF">
      <formula>NOT(ISERROR(SEARCH("OFF",E12)))</formula>
    </cfRule>
    <cfRule type="containsText" dxfId="4" priority="1022" operator="between" text="OFF">
      <formula>NOT(ISERROR(SEARCH("OFF",E12)))</formula>
    </cfRule>
    <cfRule type="containsText" dxfId="5" priority="1023" operator="between" text="S">
      <formula>NOT(ISERROR(SEARCH("S",E12)))</formula>
    </cfRule>
    <cfRule type="containsText" dxfId="6" priority="1024" operator="between" text="I">
      <formula>NOT(ISERROR(SEARCH("I",E12)))</formula>
    </cfRule>
    <cfRule type="containsText" dxfId="7" priority="1025" operator="between" text="A">
      <formula>NOT(ISERROR(SEARCH("A",E12)))</formula>
    </cfRule>
    <cfRule type="containsText" dxfId="8" priority="1026" operator="between" text="L">
      <formula>NOT(ISERROR(SEARCH("L",E12)))</formula>
    </cfRule>
    <cfRule type="containsText" dxfId="6" priority="1027" operator="between" text="A">
      <formula>NOT(ISERROR(SEARCH("A",E12)))</formula>
    </cfRule>
    <cfRule type="containsText" dxfId="7" priority="1028" operator="between" text="S">
      <formula>NOT(ISERROR(SEARCH("S",E12)))</formula>
    </cfRule>
    <cfRule type="containsText" dxfId="5" priority="1029" operator="between" text="OFF">
      <formula>NOT(ISERROR(SEARCH("OFF",E12)))</formula>
    </cfRule>
    <cfRule type="containsText" dxfId="7" priority="1030" operator="between" text="OFF">
      <formula>NOT(ISERROR(SEARCH("OFF",E12)))</formula>
    </cfRule>
  </conditionalFormatting>
  <conditionalFormatting sqref="E75:O163">
    <cfRule type="containsText" dxfId="3" priority="881" operator="between" text="OFF">
      <formula>NOT(ISERROR(SEARCH("OFF",E75)))</formula>
    </cfRule>
    <cfRule type="containsText" dxfId="4" priority="882" operator="between" text="OFF">
      <formula>NOT(ISERROR(SEARCH("OFF",E75)))</formula>
    </cfRule>
    <cfRule type="containsText" dxfId="5" priority="883" operator="between" text="S">
      <formula>NOT(ISERROR(SEARCH("S",E75)))</formula>
    </cfRule>
    <cfRule type="containsText" dxfId="6" priority="884" operator="between" text="I">
      <formula>NOT(ISERROR(SEARCH("I",E75)))</formula>
    </cfRule>
    <cfRule type="containsText" dxfId="7" priority="885" operator="between" text="A">
      <formula>NOT(ISERROR(SEARCH("A",E75)))</formula>
    </cfRule>
    <cfRule type="containsText" dxfId="8" priority="886" operator="between" text="L">
      <formula>NOT(ISERROR(SEARCH("L",E75)))</formula>
    </cfRule>
    <cfRule type="containsText" dxfId="6" priority="887" operator="between" text="A">
      <formula>NOT(ISERROR(SEARCH("A",E75)))</formula>
    </cfRule>
    <cfRule type="containsText" dxfId="7" priority="888" operator="between" text="S">
      <formula>NOT(ISERROR(SEARCH("S",E75)))</formula>
    </cfRule>
    <cfRule type="containsText" dxfId="5" priority="889" operator="between" text="OFF">
      <formula>NOT(ISERROR(SEARCH("OFF",E75)))</formula>
    </cfRule>
    <cfRule type="containsText" dxfId="7" priority="890" operator="between" text="OFF">
      <formula>NOT(ISERROR(SEARCH("OFF",E75)))</formula>
    </cfRule>
  </conditionalFormatting>
  <conditionalFormatting sqref="P160:AJ163">
    <cfRule type="containsText" dxfId="3" priority="1001" operator="between" text="OFF">
      <formula>NOT(ISERROR(SEARCH("OFF",P160)))</formula>
    </cfRule>
    <cfRule type="containsText" dxfId="4" priority="1002" operator="between" text="OFF">
      <formula>NOT(ISERROR(SEARCH("OFF",P160)))</formula>
    </cfRule>
    <cfRule type="containsText" dxfId="5" priority="1003" operator="between" text="S">
      <formula>NOT(ISERROR(SEARCH("S",P160)))</formula>
    </cfRule>
    <cfRule type="containsText" dxfId="6" priority="1004" operator="between" text="I">
      <formula>NOT(ISERROR(SEARCH("I",P160)))</formula>
    </cfRule>
    <cfRule type="containsText" dxfId="7" priority="1005" operator="between" text="A">
      <formula>NOT(ISERROR(SEARCH("A",P160)))</formula>
    </cfRule>
    <cfRule type="containsText" dxfId="8" priority="1006" operator="between" text="L">
      <formula>NOT(ISERROR(SEARCH("L",P160)))</formula>
    </cfRule>
    <cfRule type="containsText" dxfId="6" priority="1007" operator="between" text="A">
      <formula>NOT(ISERROR(SEARCH("A",P160)))</formula>
    </cfRule>
    <cfRule type="containsText" dxfId="7" priority="1008" operator="between" text="S">
      <formula>NOT(ISERROR(SEARCH("S",P160)))</formula>
    </cfRule>
    <cfRule type="containsText" dxfId="5" priority="1009" operator="between" text="OFF">
      <formula>NOT(ISERROR(SEARCH("OFF",P160)))</formula>
    </cfRule>
    <cfRule type="containsText" dxfId="7" priority="1010" operator="between" text="OFF">
      <formula>NOT(ISERROR(SEARCH("OFF",P160)))</formula>
    </cfRule>
  </conditionalFormatting>
  <conditionalFormatting sqref="Z164:AA165">
    <cfRule type="containsText" dxfId="3" priority="961" operator="between" text="OFF">
      <formula>NOT(ISERROR(SEARCH("OFF",Z164)))</formula>
    </cfRule>
    <cfRule type="containsText" dxfId="4" priority="962" operator="between" text="OFF">
      <formula>NOT(ISERROR(SEARCH("OFF",Z164)))</formula>
    </cfRule>
    <cfRule type="containsText" dxfId="5" priority="963" operator="between" text="S">
      <formula>NOT(ISERROR(SEARCH("S",Z164)))</formula>
    </cfRule>
    <cfRule type="containsText" dxfId="6" priority="964" operator="between" text="I">
      <formula>NOT(ISERROR(SEARCH("I",Z164)))</formula>
    </cfRule>
    <cfRule type="containsText" dxfId="7" priority="965" operator="between" text="A">
      <formula>NOT(ISERROR(SEARCH("A",Z164)))</formula>
    </cfRule>
    <cfRule type="containsText" dxfId="8" priority="966" operator="between" text="L">
      <formula>NOT(ISERROR(SEARCH("L",Z164)))</formula>
    </cfRule>
    <cfRule type="containsText" dxfId="6" priority="967" operator="between" text="A">
      <formula>NOT(ISERROR(SEARCH("A",Z164)))</formula>
    </cfRule>
    <cfRule type="containsText" dxfId="7" priority="968" operator="between" text="S">
      <formula>NOT(ISERROR(SEARCH("S",Z164)))</formula>
    </cfRule>
    <cfRule type="containsText" dxfId="5" priority="969" operator="between" text="OFF">
      <formula>NOT(ISERROR(SEARCH("OFF",Z164)))</formula>
    </cfRule>
    <cfRule type="containsText" dxfId="7" priority="970" operator="between" text="OFF">
      <formula>NOT(ISERROR(SEARCH("OFF",Z164)))</formula>
    </cfRule>
  </conditionalFormatting>
  <conditionalFormatting sqref="E166:AJ179">
    <cfRule type="containsText" dxfId="3" priority="1" operator="between" text="OFF">
      <formula>NOT(ISERROR(SEARCH("OFF",E166)))</formula>
    </cfRule>
    <cfRule type="containsText" dxfId="4" priority="2" operator="between" text="OFF">
      <formula>NOT(ISERROR(SEARCH("OFF",E166)))</formula>
    </cfRule>
    <cfRule type="containsText" dxfId="5" priority="3" operator="between" text="S">
      <formula>NOT(ISERROR(SEARCH("S",E166)))</formula>
    </cfRule>
  </conditionalFormatting>
  <conditionalFormatting sqref="E168:G169">
    <cfRule type="containsText" dxfId="6" priority="934" operator="between" text="I">
      <formula>NOT(ISERROR(SEARCH("I",E168)))</formula>
    </cfRule>
    <cfRule type="containsText" dxfId="7" priority="935" operator="between" text="A">
      <formula>NOT(ISERROR(SEARCH("A",E168)))</formula>
    </cfRule>
    <cfRule type="containsText" dxfId="8" priority="936" operator="between" text="L">
      <formula>NOT(ISERROR(SEARCH("L",E168)))</formula>
    </cfRule>
    <cfRule type="containsText" dxfId="6" priority="937" operator="between" text="A">
      <formula>NOT(ISERROR(SEARCH("A",E168)))</formula>
    </cfRule>
    <cfRule type="containsText" dxfId="7" priority="938" operator="between" text="S">
      <formula>NOT(ISERROR(SEARCH("S",E168)))</formula>
    </cfRule>
    <cfRule type="containsText" dxfId="5" priority="939" operator="between" text="OFF">
      <formula>NOT(ISERROR(SEARCH("OFF",E168)))</formula>
    </cfRule>
    <cfRule type="containsText" dxfId="7" priority="940" operator="between" text="OFF">
      <formula>NOT(ISERROR(SEARCH("OFF",E168)))</formula>
    </cfRule>
  </conditionalFormatting>
  <conditionalFormatting sqref="AI168:AJ179">
    <cfRule type="containsText" dxfId="6" priority="4" operator="between" text="I">
      <formula>NOT(ISERROR(SEARCH("I",AI168)))</formula>
    </cfRule>
    <cfRule type="containsText" dxfId="7" priority="5" operator="between" text="A">
      <formula>NOT(ISERROR(SEARCH("A",AI168)))</formula>
    </cfRule>
    <cfRule type="containsText" dxfId="8" priority="6" operator="between" text="L">
      <formula>NOT(ISERROR(SEARCH("L",AI168)))</formula>
    </cfRule>
    <cfRule type="containsText" dxfId="6" priority="7" operator="between" text="A">
      <formula>NOT(ISERROR(SEARCH("A",AI168)))</formula>
    </cfRule>
    <cfRule type="containsText" dxfId="7" priority="8" operator="between" text="S">
      <formula>NOT(ISERROR(SEARCH("S",AI168)))</formula>
    </cfRule>
    <cfRule type="containsText" dxfId="5" priority="9" operator="between" text="OFF">
      <formula>NOT(ISERROR(SEARCH("OFF",AI168)))</formula>
    </cfRule>
    <cfRule type="containsText" dxfId="7" priority="10" operator="between" text="OFF">
      <formula>NOT(ISERROR(SEARCH("OFF",AI168)))</formula>
    </cfRule>
  </conditionalFormatting>
  <conditionalFormatting sqref="AB195:AM200">
    <cfRule type="containsText" dxfId="3" priority="11" operator="between" text="OFF">
      <formula>NOT(ISERROR(SEARCH("OFF",AB195)))</formula>
    </cfRule>
    <cfRule type="containsText" dxfId="4" priority="12" operator="between" text="OFF">
      <formula>NOT(ISERROR(SEARCH("OFF",AB195)))</formula>
    </cfRule>
    <cfRule type="containsText" dxfId="5" priority="13" operator="between" text="S">
      <formula>NOT(ISERROR(SEARCH("S",AB195)))</formula>
    </cfRule>
    <cfRule type="containsText" dxfId="6" priority="14" operator="between" text="I">
      <formula>NOT(ISERROR(SEARCH("I",AB195)))</formula>
    </cfRule>
    <cfRule type="containsText" dxfId="7" priority="15" operator="between" text="A">
      <formula>NOT(ISERROR(SEARCH("A",AB195)))</formula>
    </cfRule>
    <cfRule type="containsText" dxfId="8" priority="16" operator="between" text="L">
      <formula>NOT(ISERROR(SEARCH("L",AB195)))</formula>
    </cfRule>
    <cfRule type="containsText" dxfId="6" priority="17" operator="between" text="A">
      <formula>NOT(ISERROR(SEARCH("A",AB195)))</formula>
    </cfRule>
    <cfRule type="containsText" dxfId="7" priority="18" operator="between" text="S">
      <formula>NOT(ISERROR(SEARCH("S",AB195)))</formula>
    </cfRule>
    <cfRule type="containsText" dxfId="5" priority="19" operator="between" text="OFF">
      <formula>NOT(ISERROR(SEARCH("OFF",AB195)))</formula>
    </cfRule>
    <cfRule type="containsText" dxfId="7" priority="20" operator="between" text="OFF">
      <formula>NOT(ISERROR(SEARCH("OFF",AB195)))</formula>
    </cfRule>
  </conditionalFormatting>
  <printOptions horizontalCentered="1"/>
  <pageMargins left="0" right="0" top="0" bottom="0" header="0" footer="0"/>
  <pageSetup paperSize="9" scale="23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U217"/>
  <sheetViews>
    <sheetView zoomScale="70" zoomScaleNormal="70" topLeftCell="A10" workbookViewId="0">
      <pane xSplit="2" ySplit="2" topLeftCell="C142" activePane="bottomRight" state="frozen"/>
      <selection/>
      <selection pane="topRight"/>
      <selection pane="bottomLeft"/>
      <selection pane="bottomRight" activeCell="S142" sqref="S142"/>
    </sheetView>
  </sheetViews>
  <sheetFormatPr defaultColWidth="9" defaultRowHeight="14.5"/>
  <cols>
    <col min="1" max="1" width="10.3636363636364" hidden="1" customWidth="1"/>
    <col min="2" max="2" width="20.0909090909091" customWidth="1"/>
    <col min="3" max="3" width="14.5454545454545" customWidth="1"/>
    <col min="4" max="4" width="14.3636363636364" customWidth="1"/>
    <col min="5" max="8" width="7.63636363636364" customWidth="1"/>
    <col min="9" max="9" width="6.36363636363636" customWidth="1"/>
    <col min="10" max="10" width="6.45454545454545" customWidth="1"/>
    <col min="11" max="11" width="5.90909090909091" customWidth="1"/>
    <col min="12" max="12" width="9.90909090909091" customWidth="1"/>
    <col min="13" max="15" width="7.90909090909091" customWidth="1"/>
    <col min="16" max="16" width="7" customWidth="1"/>
    <col min="17" max="18" width="7.63636363636364" customWidth="1"/>
    <col min="19" max="19" width="10.0909090909091" customWidth="1"/>
    <col min="20" max="20" width="7.09090909090909" customWidth="1"/>
    <col min="21" max="21" width="12.4545454545455" customWidth="1"/>
    <col min="22" max="22" width="7.45454545454545" customWidth="1"/>
    <col min="23" max="26" width="7.63636363636364" customWidth="1"/>
    <col min="27" max="27" width="6.63636363636364" customWidth="1"/>
    <col min="28" max="33" width="7.63636363636364" customWidth="1"/>
    <col min="34" max="35" width="7.90909090909091" customWidth="1"/>
    <col min="36" max="37" width="7.45454545454545" customWidth="1"/>
    <col min="38" max="38" width="8" style="116" customWidth="1"/>
    <col min="39" max="39" width="4.09090909090909" customWidth="1"/>
    <col min="40" max="40" width="6.90909090909091" customWidth="1"/>
    <col min="41" max="42" width="6.36363636363636" customWidth="1"/>
    <col min="43" max="43" width="7" customWidth="1"/>
    <col min="44" max="44" width="7.36363636363636" customWidth="1"/>
    <col min="45" max="45" width="30.6363636363636" customWidth="1"/>
    <col min="46" max="47" width="15.6363636363636" customWidth="1"/>
    <col min="48" max="48" width="9" customWidth="1"/>
  </cols>
  <sheetData>
    <row r="2" ht="20.15" customHeight="1" spans="1:47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133"/>
    </row>
    <row r="3" ht="20.15" customHeight="1" spans="1:47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133"/>
    </row>
    <row r="4" ht="20.15" customHeight="1" spans="1:47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134"/>
    </row>
    <row r="5" ht="20.15" customHeight="1" spans="1:47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134"/>
    </row>
    <row r="6" ht="20.15" customHeight="1" spans="1:47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134"/>
    </row>
    <row r="7" ht="20.15" customHeight="1" spans="1:47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135"/>
    </row>
    <row r="8" ht="20.15" customHeight="1" spans="1:47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135"/>
    </row>
    <row r="9" ht="20.15" customHeight="1" spans="1:47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133"/>
    </row>
    <row r="10" s="20" customFormat="1" ht="16.5" spans="1:47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39"/>
      <c r="AM10" s="56"/>
      <c r="AN10" s="23" t="s">
        <v>5</v>
      </c>
      <c r="AO10" s="24"/>
      <c r="AP10" s="24"/>
      <c r="AQ10" s="25"/>
      <c r="AR10" s="2" t="s">
        <v>6</v>
      </c>
      <c r="AS10" s="2" t="s">
        <v>5</v>
      </c>
      <c r="AT10" s="26" t="s">
        <v>8</v>
      </c>
      <c r="AU10" s="27" t="s">
        <v>9</v>
      </c>
    </row>
    <row r="11" s="21" customFormat="1" ht="23.15" customHeight="1" spans="1:47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58">
        <v>24</v>
      </c>
      <c r="I11" s="58">
        <v>25</v>
      </c>
      <c r="J11" s="235">
        <v>26</v>
      </c>
      <c r="K11" s="58">
        <v>27</v>
      </c>
      <c r="L11" s="58">
        <v>28</v>
      </c>
      <c r="M11" s="58">
        <v>29</v>
      </c>
      <c r="N11" s="58">
        <v>30</v>
      </c>
      <c r="O11" s="58">
        <v>31</v>
      </c>
      <c r="P11" s="58">
        <v>1</v>
      </c>
      <c r="Q11" s="58">
        <v>2</v>
      </c>
      <c r="R11" s="58">
        <v>3</v>
      </c>
      <c r="S11" s="58">
        <v>4</v>
      </c>
      <c r="T11" s="58">
        <v>5</v>
      </c>
      <c r="U11" s="58">
        <v>6</v>
      </c>
      <c r="V11" s="58">
        <v>7</v>
      </c>
      <c r="W11" s="58">
        <v>8</v>
      </c>
      <c r="X11" s="58">
        <v>9</v>
      </c>
      <c r="Y11" s="58">
        <v>10</v>
      </c>
      <c r="Z11" s="58">
        <v>11</v>
      </c>
      <c r="AA11" s="58">
        <v>12</v>
      </c>
      <c r="AB11" s="58">
        <v>13</v>
      </c>
      <c r="AC11" s="58">
        <v>14</v>
      </c>
      <c r="AD11" s="58">
        <v>15</v>
      </c>
      <c r="AE11" s="58">
        <v>16</v>
      </c>
      <c r="AF11" s="58">
        <v>17</v>
      </c>
      <c r="AG11" s="58">
        <v>18</v>
      </c>
      <c r="AH11" s="58">
        <v>19</v>
      </c>
      <c r="AI11" s="58">
        <v>20</v>
      </c>
      <c r="AJ11" s="58">
        <v>21</v>
      </c>
      <c r="AK11" s="58">
        <v>22</v>
      </c>
      <c r="AL11" s="140"/>
      <c r="AM11" s="148" t="s">
        <v>10</v>
      </c>
      <c r="AN11" s="11" t="s">
        <v>11</v>
      </c>
      <c r="AO11" s="11" t="s">
        <v>12</v>
      </c>
      <c r="AP11" s="11" t="s">
        <v>13</v>
      </c>
      <c r="AQ11" s="11" t="s">
        <v>14</v>
      </c>
      <c r="AR11" s="32"/>
      <c r="AS11" s="32"/>
      <c r="AT11" s="33"/>
      <c r="AU11" s="34"/>
    </row>
    <row r="12" s="105" customFormat="1" ht="20.15" customHeight="1" spans="1:47">
      <c r="A12" s="68">
        <v>1</v>
      </c>
      <c r="B12" s="149" t="s">
        <v>15</v>
      </c>
      <c r="C12" s="164" t="s">
        <v>20</v>
      </c>
      <c r="D12" s="149" t="s">
        <v>217</v>
      </c>
      <c r="E12" s="62"/>
      <c r="F12" s="62"/>
      <c r="G12" s="62"/>
      <c r="H12" s="62"/>
      <c r="I12" s="62"/>
      <c r="J12" s="62"/>
      <c r="K12" s="62"/>
      <c r="L12" s="62"/>
      <c r="M12" s="62" t="s">
        <v>12</v>
      </c>
      <c r="N12" s="62" t="s">
        <v>12</v>
      </c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113"/>
      <c r="AM12" s="151">
        <f t="shared" ref="AM12:AM75" si="0">COUNTIF(E12:AK12,"H")</f>
        <v>0</v>
      </c>
      <c r="AN12" s="35">
        <f t="shared" ref="AN12:AN75" si="1">COUNTIF(E12:AK12,"S")</f>
        <v>0</v>
      </c>
      <c r="AO12" s="36">
        <f t="shared" ref="AO12:AO75" si="2">COUNTIF(E12:AK12,"I")</f>
        <v>2</v>
      </c>
      <c r="AP12" s="35">
        <f t="shared" ref="AP12:AP75" si="3">COUNTIF(E12:AK12,"A")</f>
        <v>0</v>
      </c>
      <c r="AQ12" s="36">
        <f t="shared" ref="AQ12:AQ75" si="4">COUNTIF(E12:AK12,"OFF")</f>
        <v>0</v>
      </c>
      <c r="AR12" s="37">
        <f t="shared" ref="AR12:AR75" si="5">SUM(AM12:AP12)</f>
        <v>2</v>
      </c>
      <c r="AS12" s="37"/>
      <c r="AT12" s="38">
        <v>16</v>
      </c>
      <c r="AU12" s="39">
        <f t="shared" ref="AU12:AU75" si="6">AR12/AT12</f>
        <v>0.125</v>
      </c>
    </row>
    <row r="13" s="105" customFormat="1" ht="20.15" customHeight="1" spans="1:47">
      <c r="A13" s="68">
        <v>2</v>
      </c>
      <c r="B13" s="149" t="s">
        <v>419</v>
      </c>
      <c r="C13" s="150" t="s">
        <v>59</v>
      </c>
      <c r="D13" s="152" t="s">
        <v>420</v>
      </c>
      <c r="E13" s="62"/>
      <c r="F13" s="62" t="s">
        <v>11</v>
      </c>
      <c r="G13" s="62"/>
      <c r="H13" s="62"/>
      <c r="I13" s="62" t="s">
        <v>11</v>
      </c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113"/>
      <c r="AM13" s="151">
        <f t="shared" si="0"/>
        <v>0</v>
      </c>
      <c r="AN13" s="35">
        <f t="shared" si="1"/>
        <v>2</v>
      </c>
      <c r="AO13" s="36">
        <f t="shared" si="2"/>
        <v>0</v>
      </c>
      <c r="AP13" s="35">
        <f t="shared" si="3"/>
        <v>0</v>
      </c>
      <c r="AQ13" s="36">
        <f t="shared" si="4"/>
        <v>0</v>
      </c>
      <c r="AR13" s="37">
        <f t="shared" si="5"/>
        <v>2</v>
      </c>
      <c r="AS13" s="43" t="s">
        <v>382</v>
      </c>
      <c r="AT13" s="38">
        <v>16</v>
      </c>
      <c r="AU13" s="39">
        <f t="shared" si="6"/>
        <v>0.125</v>
      </c>
    </row>
    <row r="14" s="105" customFormat="1" ht="20.15" customHeight="1" spans="1:47">
      <c r="A14" s="68">
        <v>3</v>
      </c>
      <c r="B14" s="149" t="s">
        <v>116</v>
      </c>
      <c r="C14" s="150" t="s">
        <v>59</v>
      </c>
      <c r="D14" s="152" t="s">
        <v>199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113"/>
      <c r="AM14" s="151">
        <f t="shared" si="0"/>
        <v>0</v>
      </c>
      <c r="AN14" s="35">
        <f t="shared" si="1"/>
        <v>0</v>
      </c>
      <c r="AO14" s="35">
        <f t="shared" si="2"/>
        <v>0</v>
      </c>
      <c r="AP14" s="47">
        <f t="shared" si="3"/>
        <v>0</v>
      </c>
      <c r="AQ14" s="36">
        <f t="shared" si="4"/>
        <v>0</v>
      </c>
      <c r="AR14" s="48">
        <f t="shared" si="5"/>
        <v>0</v>
      </c>
      <c r="AS14" s="49"/>
      <c r="AT14" s="38">
        <v>16</v>
      </c>
      <c r="AU14" s="39">
        <f t="shared" si="6"/>
        <v>0</v>
      </c>
    </row>
    <row r="15" s="105" customFormat="1" ht="20.15" customHeight="1" spans="1:47">
      <c r="A15" s="68">
        <v>4</v>
      </c>
      <c r="B15" s="153" t="s">
        <v>21</v>
      </c>
      <c r="C15" s="153" t="s">
        <v>16</v>
      </c>
      <c r="D15" s="149" t="str">
        <f>VLOOKUP(B15,'[1]MASTER DATA 2025'!$C$3:$E$279,3,0)</f>
        <v>0Tahun2 Bulan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113"/>
      <c r="AM15" s="151">
        <f t="shared" si="0"/>
        <v>0</v>
      </c>
      <c r="AN15" s="35">
        <f t="shared" si="1"/>
        <v>0</v>
      </c>
      <c r="AO15" s="36">
        <f t="shared" si="2"/>
        <v>0</v>
      </c>
      <c r="AP15" s="36">
        <f t="shared" si="3"/>
        <v>0</v>
      </c>
      <c r="AQ15" s="36">
        <f t="shared" si="4"/>
        <v>0</v>
      </c>
      <c r="AR15" s="37">
        <f t="shared" si="5"/>
        <v>0</v>
      </c>
      <c r="AS15" s="37"/>
      <c r="AT15" s="38">
        <v>16</v>
      </c>
      <c r="AU15" s="39">
        <f t="shared" si="6"/>
        <v>0</v>
      </c>
    </row>
    <row r="16" s="105" customFormat="1" ht="20.15" customHeight="1" spans="1:47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113"/>
      <c r="AM16" s="151">
        <f t="shared" si="0"/>
        <v>0</v>
      </c>
      <c r="AN16" s="35">
        <f t="shared" si="1"/>
        <v>0</v>
      </c>
      <c r="AO16" s="36">
        <f t="shared" si="2"/>
        <v>0</v>
      </c>
      <c r="AP16" s="36">
        <f t="shared" si="3"/>
        <v>0</v>
      </c>
      <c r="AQ16" s="36">
        <f t="shared" si="4"/>
        <v>0</v>
      </c>
      <c r="AR16" s="37">
        <f t="shared" si="5"/>
        <v>0</v>
      </c>
      <c r="AS16" s="52"/>
      <c r="AT16" s="38">
        <v>16</v>
      </c>
      <c r="AU16" s="39">
        <f t="shared" si="6"/>
        <v>0</v>
      </c>
    </row>
    <row r="17" s="105" customFormat="1" ht="20.15" customHeight="1" spans="1:47">
      <c r="A17" s="68">
        <v>6</v>
      </c>
      <c r="B17" s="154" t="s">
        <v>23</v>
      </c>
      <c r="C17" s="154" t="s">
        <v>16</v>
      </c>
      <c r="D17" s="152" t="s">
        <v>277</v>
      </c>
      <c r="E17" s="62"/>
      <c r="F17" s="62"/>
      <c r="G17" s="62"/>
      <c r="H17" s="62"/>
      <c r="I17" s="62"/>
      <c r="J17" s="62"/>
      <c r="K17" s="62" t="s">
        <v>11</v>
      </c>
      <c r="L17" s="62"/>
      <c r="M17" s="62"/>
      <c r="N17" s="62" t="s">
        <v>13</v>
      </c>
      <c r="O17" s="62"/>
      <c r="P17" s="62"/>
      <c r="Q17" s="62"/>
      <c r="R17" s="62" t="s">
        <v>11</v>
      </c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 t="s">
        <v>13</v>
      </c>
      <c r="AE17" s="62"/>
      <c r="AF17" s="62"/>
      <c r="AG17" s="62"/>
      <c r="AH17" s="62"/>
      <c r="AI17" s="62"/>
      <c r="AJ17" s="62"/>
      <c r="AK17" s="62"/>
      <c r="AL17" s="113"/>
      <c r="AM17" s="151">
        <f t="shared" si="0"/>
        <v>0</v>
      </c>
      <c r="AN17" s="35">
        <f t="shared" si="1"/>
        <v>2</v>
      </c>
      <c r="AO17" s="36">
        <f t="shared" si="2"/>
        <v>0</v>
      </c>
      <c r="AP17" s="35">
        <f t="shared" si="3"/>
        <v>2</v>
      </c>
      <c r="AQ17" s="36">
        <f t="shared" si="4"/>
        <v>0</v>
      </c>
      <c r="AR17" s="37">
        <f t="shared" si="5"/>
        <v>4</v>
      </c>
      <c r="AS17" s="43" t="s">
        <v>421</v>
      </c>
      <c r="AT17" s="38">
        <v>16</v>
      </c>
      <c r="AU17" s="39">
        <f t="shared" si="6"/>
        <v>0.25</v>
      </c>
    </row>
    <row r="18" s="105" customFormat="1" ht="20.15" customHeight="1" spans="1:47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113"/>
      <c r="AM18" s="151">
        <f t="shared" si="0"/>
        <v>0</v>
      </c>
      <c r="AN18" s="36">
        <f t="shared" si="1"/>
        <v>0</v>
      </c>
      <c r="AO18" s="35">
        <f t="shared" si="2"/>
        <v>0</v>
      </c>
      <c r="AP18" s="36">
        <f t="shared" si="3"/>
        <v>0</v>
      </c>
      <c r="AQ18" s="36">
        <f t="shared" si="4"/>
        <v>0</v>
      </c>
      <c r="AR18" s="37">
        <f t="shared" si="5"/>
        <v>0</v>
      </c>
      <c r="AS18" s="37"/>
      <c r="AT18" s="38">
        <v>16</v>
      </c>
      <c r="AU18" s="39">
        <f t="shared" si="6"/>
        <v>0</v>
      </c>
    </row>
    <row r="19" s="105" customFormat="1" ht="20.15" customHeight="1" spans="1:47">
      <c r="A19" s="68">
        <v>8</v>
      </c>
      <c r="B19" s="154" t="s">
        <v>378</v>
      </c>
      <c r="C19" s="150" t="s">
        <v>16</v>
      </c>
      <c r="D19" s="152" t="s">
        <v>178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113"/>
      <c r="AM19" s="151">
        <f t="shared" si="0"/>
        <v>0</v>
      </c>
      <c r="AN19" s="35">
        <f t="shared" si="1"/>
        <v>0</v>
      </c>
      <c r="AO19" s="36">
        <f t="shared" si="2"/>
        <v>0</v>
      </c>
      <c r="AP19" s="36">
        <f t="shared" si="3"/>
        <v>0</v>
      </c>
      <c r="AQ19" s="36">
        <f t="shared" si="4"/>
        <v>0</v>
      </c>
      <c r="AR19" s="37">
        <f t="shared" si="5"/>
        <v>0</v>
      </c>
      <c r="AS19" s="43" t="s">
        <v>336</v>
      </c>
      <c r="AT19" s="38">
        <v>16</v>
      </c>
      <c r="AU19" s="39">
        <f t="shared" si="6"/>
        <v>0</v>
      </c>
    </row>
    <row r="20" s="105" customFormat="1" ht="20.25" customHeight="1" spans="1:47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 t="s">
        <v>11</v>
      </c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113"/>
      <c r="AM20" s="151">
        <f t="shared" si="0"/>
        <v>0</v>
      </c>
      <c r="AN20" s="35">
        <f t="shared" si="1"/>
        <v>1</v>
      </c>
      <c r="AO20" s="36">
        <f t="shared" si="2"/>
        <v>0</v>
      </c>
      <c r="AP20" s="36">
        <f t="shared" si="3"/>
        <v>0</v>
      </c>
      <c r="AQ20" s="36">
        <f t="shared" si="4"/>
        <v>0</v>
      </c>
      <c r="AR20" s="37">
        <f t="shared" si="5"/>
        <v>1</v>
      </c>
      <c r="AS20" s="130" t="s">
        <v>193</v>
      </c>
      <c r="AT20" s="38">
        <v>16</v>
      </c>
      <c r="AU20" s="39">
        <f t="shared" si="6"/>
        <v>0.0625</v>
      </c>
    </row>
    <row r="21" s="105" customFormat="1" ht="20.15" customHeight="1" spans="1:47">
      <c r="A21" s="68">
        <v>10</v>
      </c>
      <c r="B21" s="154" t="s">
        <v>28</v>
      </c>
      <c r="C21" s="150" t="s">
        <v>16</v>
      </c>
      <c r="D21" s="152" t="s">
        <v>196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 t="s">
        <v>11</v>
      </c>
      <c r="AG21" s="62"/>
      <c r="AH21" s="62"/>
      <c r="AI21" s="62"/>
      <c r="AJ21" s="62"/>
      <c r="AK21" s="62"/>
      <c r="AL21" s="113"/>
      <c r="AM21" s="151">
        <f t="shared" si="0"/>
        <v>0</v>
      </c>
      <c r="AN21" s="35">
        <f t="shared" si="1"/>
        <v>1</v>
      </c>
      <c r="AO21" s="36">
        <f t="shared" si="2"/>
        <v>0</v>
      </c>
      <c r="AP21" s="36">
        <f t="shared" si="3"/>
        <v>0</v>
      </c>
      <c r="AQ21" s="36">
        <f t="shared" si="4"/>
        <v>0</v>
      </c>
      <c r="AR21" s="37">
        <f t="shared" si="5"/>
        <v>1</v>
      </c>
      <c r="AS21" s="43" t="s">
        <v>336</v>
      </c>
      <c r="AT21" s="38">
        <v>16</v>
      </c>
      <c r="AU21" s="39">
        <f t="shared" si="6"/>
        <v>0.0625</v>
      </c>
    </row>
    <row r="22" s="105" customFormat="1" ht="20.15" customHeight="1" spans="1:47">
      <c r="A22" s="68">
        <v>11</v>
      </c>
      <c r="B22" s="155" t="s">
        <v>29</v>
      </c>
      <c r="C22" s="150" t="s">
        <v>16</v>
      </c>
      <c r="D22" s="149" t="s">
        <v>153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113"/>
      <c r="AM22" s="151">
        <f t="shared" si="0"/>
        <v>0</v>
      </c>
      <c r="AN22" s="35">
        <f t="shared" si="1"/>
        <v>0</v>
      </c>
      <c r="AO22" s="36">
        <f t="shared" si="2"/>
        <v>0</v>
      </c>
      <c r="AP22" s="36">
        <f t="shared" si="3"/>
        <v>0</v>
      </c>
      <c r="AQ22" s="36">
        <f t="shared" si="4"/>
        <v>0</v>
      </c>
      <c r="AR22" s="37">
        <f t="shared" si="5"/>
        <v>0</v>
      </c>
      <c r="AS22" s="37" t="s">
        <v>303</v>
      </c>
      <c r="AT22" s="38">
        <v>16</v>
      </c>
      <c r="AU22" s="39">
        <f t="shared" si="6"/>
        <v>0</v>
      </c>
    </row>
    <row r="23" s="105" customFormat="1" ht="20.15" customHeight="1" spans="1:47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113"/>
      <c r="AM23" s="151">
        <f t="shared" si="0"/>
        <v>0</v>
      </c>
      <c r="AN23" s="35">
        <f t="shared" si="1"/>
        <v>0</v>
      </c>
      <c r="AO23" s="35">
        <f t="shared" si="2"/>
        <v>0</v>
      </c>
      <c r="AP23" s="35">
        <f t="shared" si="3"/>
        <v>0</v>
      </c>
      <c r="AQ23" s="36">
        <f t="shared" si="4"/>
        <v>0</v>
      </c>
      <c r="AR23" s="37">
        <f t="shared" si="5"/>
        <v>0</v>
      </c>
      <c r="AS23" s="37" t="s">
        <v>25</v>
      </c>
      <c r="AT23" s="38">
        <v>16</v>
      </c>
      <c r="AU23" s="39">
        <f t="shared" si="6"/>
        <v>0</v>
      </c>
    </row>
    <row r="24" s="105" customFormat="1" ht="20.15" customHeight="1" spans="1:47">
      <c r="A24" s="68">
        <v>13</v>
      </c>
      <c r="B24" s="155" t="s">
        <v>31</v>
      </c>
      <c r="C24" s="150" t="s">
        <v>16</v>
      </c>
      <c r="D24" s="152" t="s">
        <v>422</v>
      </c>
      <c r="E24" s="62"/>
      <c r="F24" s="62" t="s">
        <v>11</v>
      </c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113"/>
      <c r="AM24" s="151">
        <f t="shared" si="0"/>
        <v>0</v>
      </c>
      <c r="AN24" s="35">
        <f t="shared" si="1"/>
        <v>1</v>
      </c>
      <c r="AO24" s="35">
        <f t="shared" si="2"/>
        <v>0</v>
      </c>
      <c r="AP24" s="36">
        <f t="shared" si="3"/>
        <v>0</v>
      </c>
      <c r="AQ24" s="36">
        <f t="shared" si="4"/>
        <v>0</v>
      </c>
      <c r="AR24" s="37">
        <f t="shared" si="5"/>
        <v>1</v>
      </c>
      <c r="AS24" s="43" t="s">
        <v>423</v>
      </c>
      <c r="AT24" s="38">
        <v>16</v>
      </c>
      <c r="AU24" s="39">
        <f t="shared" si="6"/>
        <v>0.0625</v>
      </c>
    </row>
    <row r="25" s="105" customFormat="1" ht="20.15" customHeight="1" spans="1:47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113"/>
      <c r="AM25" s="151">
        <f t="shared" si="0"/>
        <v>0</v>
      </c>
      <c r="AN25" s="35">
        <f t="shared" si="1"/>
        <v>0</v>
      </c>
      <c r="AO25" s="35">
        <f t="shared" si="2"/>
        <v>0</v>
      </c>
      <c r="AP25" s="47">
        <f t="shared" si="3"/>
        <v>0</v>
      </c>
      <c r="AQ25" s="36">
        <f t="shared" si="4"/>
        <v>0</v>
      </c>
      <c r="AR25" s="37">
        <f t="shared" si="5"/>
        <v>0</v>
      </c>
      <c r="AS25" s="38" t="s">
        <v>168</v>
      </c>
      <c r="AT25" s="38">
        <v>16</v>
      </c>
      <c r="AU25" s="39">
        <f t="shared" si="6"/>
        <v>0</v>
      </c>
    </row>
    <row r="26" s="105" customFormat="1" ht="20.15" customHeight="1" spans="1:47">
      <c r="A26" s="68">
        <v>15</v>
      </c>
      <c r="B26" s="154" t="s">
        <v>33</v>
      </c>
      <c r="C26" s="150" t="s">
        <v>16</v>
      </c>
      <c r="D26" s="149" t="s">
        <v>163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113"/>
      <c r="AM26" s="151">
        <f t="shared" si="0"/>
        <v>0</v>
      </c>
      <c r="AN26" s="35">
        <f t="shared" si="1"/>
        <v>0</v>
      </c>
      <c r="AO26" s="36">
        <f t="shared" si="2"/>
        <v>0</v>
      </c>
      <c r="AP26" s="36">
        <f t="shared" si="3"/>
        <v>0</v>
      </c>
      <c r="AQ26" s="36">
        <f t="shared" si="4"/>
        <v>0</v>
      </c>
      <c r="AR26" s="37">
        <f t="shared" si="5"/>
        <v>0</v>
      </c>
      <c r="AS26" s="37" t="s">
        <v>337</v>
      </c>
      <c r="AT26" s="38">
        <v>16</v>
      </c>
      <c r="AU26" s="39">
        <f t="shared" si="6"/>
        <v>0</v>
      </c>
    </row>
    <row r="27" s="105" customFormat="1" ht="20.15" customHeight="1" spans="1:47">
      <c r="A27" s="68">
        <v>16</v>
      </c>
      <c r="B27" s="154" t="s">
        <v>34</v>
      </c>
      <c r="C27" s="150" t="s">
        <v>16</v>
      </c>
      <c r="D27" s="152" t="s">
        <v>217</v>
      </c>
      <c r="E27" s="62"/>
      <c r="F27" s="62"/>
      <c r="G27" s="62"/>
      <c r="H27" s="62"/>
      <c r="I27" s="62"/>
      <c r="J27" s="62"/>
      <c r="K27" s="62" t="s">
        <v>11</v>
      </c>
      <c r="L27" s="62"/>
      <c r="M27" s="172"/>
      <c r="N27" s="172"/>
      <c r="O27" s="172"/>
      <c r="P27" s="172"/>
      <c r="Q27" s="17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113"/>
      <c r="AM27" s="151">
        <f t="shared" si="0"/>
        <v>0</v>
      </c>
      <c r="AN27" s="131">
        <f t="shared" si="1"/>
        <v>1</v>
      </c>
      <c r="AO27" s="103">
        <f t="shared" si="2"/>
        <v>0</v>
      </c>
      <c r="AP27" s="103">
        <f t="shared" si="3"/>
        <v>0</v>
      </c>
      <c r="AQ27" s="103">
        <f t="shared" si="4"/>
        <v>0</v>
      </c>
      <c r="AR27" s="128">
        <f t="shared" si="5"/>
        <v>1</v>
      </c>
      <c r="AS27" s="43" t="s">
        <v>382</v>
      </c>
      <c r="AT27" s="38">
        <v>16</v>
      </c>
      <c r="AU27" s="39">
        <f t="shared" si="6"/>
        <v>0.0625</v>
      </c>
    </row>
    <row r="28" s="105" customFormat="1" ht="20.15" customHeight="1" spans="1:47">
      <c r="A28" s="68">
        <v>17</v>
      </c>
      <c r="B28" s="154" t="s">
        <v>35</v>
      </c>
      <c r="C28" s="150" t="s">
        <v>16</v>
      </c>
      <c r="D28" s="152" t="s">
        <v>266</v>
      </c>
      <c r="E28" s="62"/>
      <c r="F28" s="62"/>
      <c r="G28" s="62"/>
      <c r="H28" s="62"/>
      <c r="I28" s="62"/>
      <c r="J28" s="62"/>
      <c r="K28" s="62" t="s">
        <v>11</v>
      </c>
      <c r="L28" s="236"/>
      <c r="M28" s="236"/>
      <c r="N28" s="236"/>
      <c r="O28" s="236"/>
      <c r="P28" s="180"/>
      <c r="Q28" s="180"/>
      <c r="R28" s="237"/>
      <c r="S28" s="62"/>
      <c r="T28" s="62" t="s">
        <v>11</v>
      </c>
      <c r="U28" s="62"/>
      <c r="V28" s="62"/>
      <c r="W28" s="62"/>
      <c r="X28" s="62"/>
      <c r="Y28" s="62"/>
      <c r="Z28" s="62" t="s">
        <v>11</v>
      </c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113"/>
      <c r="AM28" s="151">
        <f t="shared" si="0"/>
        <v>0</v>
      </c>
      <c r="AN28" s="43">
        <f t="shared" si="1"/>
        <v>3</v>
      </c>
      <c r="AO28" s="66">
        <f t="shared" si="2"/>
        <v>0</v>
      </c>
      <c r="AP28" s="66">
        <f t="shared" si="3"/>
        <v>0</v>
      </c>
      <c r="AQ28" s="66">
        <f t="shared" si="4"/>
        <v>0</v>
      </c>
      <c r="AR28" s="43">
        <f t="shared" si="5"/>
        <v>3</v>
      </c>
      <c r="AS28" s="43" t="s">
        <v>193</v>
      </c>
      <c r="AT28" s="68">
        <v>16</v>
      </c>
      <c r="AU28" s="39">
        <f t="shared" si="6"/>
        <v>0.1875</v>
      </c>
    </row>
    <row r="29" s="105" customFormat="1" ht="20.15" customHeight="1" spans="1:47">
      <c r="A29" s="68">
        <v>18</v>
      </c>
      <c r="B29" s="149" t="s">
        <v>36</v>
      </c>
      <c r="C29" s="150" t="s">
        <v>20</v>
      </c>
      <c r="D29" s="149" t="s">
        <v>242</v>
      </c>
      <c r="E29" s="62"/>
      <c r="F29" s="62"/>
      <c r="G29" s="62"/>
      <c r="H29" s="62" t="s">
        <v>11</v>
      </c>
      <c r="I29" s="62"/>
      <c r="J29" s="62"/>
      <c r="K29" s="62"/>
      <c r="L29" s="62"/>
      <c r="M29" s="238"/>
      <c r="N29" s="238"/>
      <c r="O29" s="238"/>
      <c r="P29" s="238"/>
      <c r="Q29" s="238"/>
      <c r="R29" s="62"/>
      <c r="S29" s="62"/>
      <c r="T29" s="62"/>
      <c r="U29" s="62"/>
      <c r="V29" s="62"/>
      <c r="W29" s="62"/>
      <c r="X29" s="62"/>
      <c r="Y29" s="62"/>
      <c r="Z29" s="62" t="s">
        <v>11</v>
      </c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113"/>
      <c r="AM29" s="151">
        <f t="shared" si="0"/>
        <v>0</v>
      </c>
      <c r="AN29" s="35">
        <f t="shared" si="1"/>
        <v>2</v>
      </c>
      <c r="AO29" s="35">
        <f t="shared" si="2"/>
        <v>0</v>
      </c>
      <c r="AP29" s="47">
        <f t="shared" si="3"/>
        <v>0</v>
      </c>
      <c r="AQ29" s="36">
        <f t="shared" si="4"/>
        <v>0</v>
      </c>
      <c r="AR29" s="35">
        <f t="shared" si="5"/>
        <v>2</v>
      </c>
      <c r="AS29" s="35" t="s">
        <v>305</v>
      </c>
      <c r="AT29" s="38">
        <v>16</v>
      </c>
      <c r="AU29" s="39">
        <f t="shared" si="6"/>
        <v>0.125</v>
      </c>
    </row>
    <row r="30" s="105" customFormat="1" ht="20.15" customHeight="1" spans="1:47">
      <c r="A30" s="68">
        <v>19</v>
      </c>
      <c r="B30" s="154" t="s">
        <v>38</v>
      </c>
      <c r="C30" s="150" t="s">
        <v>16</v>
      </c>
      <c r="D30" s="149" t="str">
        <f>VLOOKUP(B30,'[1]MASTER DATA 2025'!$C$3:$E$279,3,0)</f>
        <v>2Tahun0 Bulan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 t="s">
        <v>11</v>
      </c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113"/>
      <c r="AM30" s="151">
        <f t="shared" si="0"/>
        <v>0</v>
      </c>
      <c r="AN30" s="35">
        <f t="shared" si="1"/>
        <v>1</v>
      </c>
      <c r="AO30" s="35">
        <f t="shared" si="2"/>
        <v>0</v>
      </c>
      <c r="AP30" s="35">
        <f t="shared" si="3"/>
        <v>0</v>
      </c>
      <c r="AQ30" s="36">
        <f t="shared" si="4"/>
        <v>0</v>
      </c>
      <c r="AR30" s="37">
        <f t="shared" si="5"/>
        <v>1</v>
      </c>
      <c r="AS30" s="52" t="s">
        <v>208</v>
      </c>
      <c r="AT30" s="38">
        <v>16</v>
      </c>
      <c r="AU30" s="39">
        <f t="shared" si="6"/>
        <v>0.0625</v>
      </c>
    </row>
    <row r="31" s="105" customFormat="1" ht="20.15" customHeight="1" spans="1:47">
      <c r="A31" s="68">
        <v>20</v>
      </c>
      <c r="B31" s="154" t="s">
        <v>39</v>
      </c>
      <c r="C31" s="150" t="s">
        <v>16</v>
      </c>
      <c r="D31" s="152" t="s">
        <v>381</v>
      </c>
      <c r="E31" s="62"/>
      <c r="F31" s="62"/>
      <c r="G31" s="62"/>
      <c r="H31" s="62"/>
      <c r="I31" s="62"/>
      <c r="J31" s="62" t="s">
        <v>11</v>
      </c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 t="s">
        <v>11</v>
      </c>
      <c r="Y31" s="62"/>
      <c r="Z31" s="62" t="s">
        <v>11</v>
      </c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113"/>
      <c r="AM31" s="151">
        <f t="shared" si="0"/>
        <v>0</v>
      </c>
      <c r="AN31" s="35">
        <f t="shared" si="1"/>
        <v>3</v>
      </c>
      <c r="AO31" s="36">
        <f t="shared" si="2"/>
        <v>0</v>
      </c>
      <c r="AP31" s="36">
        <f t="shared" si="3"/>
        <v>0</v>
      </c>
      <c r="AQ31" s="36">
        <f t="shared" si="4"/>
        <v>0</v>
      </c>
      <c r="AR31" s="37">
        <f t="shared" si="5"/>
        <v>3</v>
      </c>
      <c r="AS31" s="156" t="s">
        <v>239</v>
      </c>
      <c r="AT31" s="38">
        <v>16</v>
      </c>
      <c r="AU31" s="39">
        <f t="shared" si="6"/>
        <v>0.1875</v>
      </c>
    </row>
    <row r="32" s="105" customFormat="1" ht="20.15" customHeight="1" spans="1:47">
      <c r="A32" s="68">
        <v>21</v>
      </c>
      <c r="B32" s="154" t="s">
        <v>41</v>
      </c>
      <c r="C32" s="150" t="s">
        <v>16</v>
      </c>
      <c r="D32" s="152" t="s">
        <v>153</v>
      </c>
      <c r="E32" s="62"/>
      <c r="F32" s="62"/>
      <c r="G32" s="62"/>
      <c r="H32" s="62"/>
      <c r="I32" s="62"/>
      <c r="J32" s="62"/>
      <c r="K32" s="62" t="s">
        <v>11</v>
      </c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180"/>
      <c r="AA32" s="62"/>
      <c r="AB32" s="62" t="s">
        <v>11</v>
      </c>
      <c r="AC32" s="62"/>
      <c r="AD32" s="62"/>
      <c r="AE32" s="62"/>
      <c r="AF32" s="62"/>
      <c r="AG32" s="62"/>
      <c r="AH32" s="62"/>
      <c r="AI32" s="62"/>
      <c r="AJ32" s="62"/>
      <c r="AK32" s="62"/>
      <c r="AL32" s="113"/>
      <c r="AM32" s="151">
        <f t="shared" si="0"/>
        <v>0</v>
      </c>
      <c r="AN32" s="35">
        <f t="shared" si="1"/>
        <v>2</v>
      </c>
      <c r="AO32" s="35">
        <f t="shared" si="2"/>
        <v>0</v>
      </c>
      <c r="AP32" s="36">
        <f t="shared" si="3"/>
        <v>0</v>
      </c>
      <c r="AQ32" s="36">
        <f t="shared" si="4"/>
        <v>0</v>
      </c>
      <c r="AR32" s="37">
        <f t="shared" si="5"/>
        <v>2</v>
      </c>
      <c r="AS32" s="43" t="s">
        <v>382</v>
      </c>
      <c r="AT32" s="38">
        <v>16</v>
      </c>
      <c r="AU32" s="39">
        <f t="shared" si="6"/>
        <v>0.125</v>
      </c>
    </row>
    <row r="33" s="105" customFormat="1" ht="20.15" customHeight="1" spans="1:47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 t="s">
        <v>13</v>
      </c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 t="s">
        <v>12</v>
      </c>
      <c r="AF33" s="62" t="s">
        <v>12</v>
      </c>
      <c r="AG33" s="62"/>
      <c r="AH33" s="62"/>
      <c r="AI33" s="62"/>
      <c r="AJ33" s="62"/>
      <c r="AK33" s="62"/>
      <c r="AL33" s="113"/>
      <c r="AM33" s="151">
        <f t="shared" si="0"/>
        <v>0</v>
      </c>
      <c r="AN33" s="35">
        <f t="shared" si="1"/>
        <v>0</v>
      </c>
      <c r="AO33" s="36">
        <f t="shared" si="2"/>
        <v>2</v>
      </c>
      <c r="AP33" s="36">
        <f t="shared" si="3"/>
        <v>1</v>
      </c>
      <c r="AQ33" s="36">
        <f t="shared" si="4"/>
        <v>0</v>
      </c>
      <c r="AR33" s="37">
        <f t="shared" si="5"/>
        <v>3</v>
      </c>
      <c r="AS33" s="43"/>
      <c r="AT33" s="38">
        <v>16</v>
      </c>
      <c r="AU33" s="39">
        <f t="shared" si="6"/>
        <v>0.1875</v>
      </c>
    </row>
    <row r="34" s="105" customFormat="1" ht="20.15" customHeight="1" spans="1:47">
      <c r="A34" s="68">
        <v>23</v>
      </c>
      <c r="B34" s="157" t="s">
        <v>44</v>
      </c>
      <c r="C34" s="150" t="s">
        <v>16</v>
      </c>
      <c r="D34" s="149" t="s">
        <v>268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 t="s">
        <v>11</v>
      </c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113"/>
      <c r="AM34" s="151">
        <f t="shared" si="0"/>
        <v>0</v>
      </c>
      <c r="AN34" s="35">
        <f t="shared" si="1"/>
        <v>1</v>
      </c>
      <c r="AO34" s="35">
        <f t="shared" si="2"/>
        <v>0</v>
      </c>
      <c r="AP34" s="36">
        <f t="shared" si="3"/>
        <v>0</v>
      </c>
      <c r="AQ34" s="36">
        <f t="shared" si="4"/>
        <v>0</v>
      </c>
      <c r="AR34" s="37">
        <f t="shared" si="5"/>
        <v>1</v>
      </c>
      <c r="AS34" s="43" t="s">
        <v>193</v>
      </c>
      <c r="AT34" s="38">
        <v>16</v>
      </c>
      <c r="AU34" s="39">
        <f t="shared" si="6"/>
        <v>0.0625</v>
      </c>
    </row>
    <row r="35" s="105" customFormat="1" ht="20.15" customHeight="1" spans="1:47">
      <c r="A35" s="68">
        <v>24</v>
      </c>
      <c r="B35" s="154" t="s">
        <v>117</v>
      </c>
      <c r="C35" s="150" t="s">
        <v>16</v>
      </c>
      <c r="D35" s="152" t="s">
        <v>306</v>
      </c>
      <c r="E35" s="62" t="s">
        <v>11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113"/>
      <c r="AM35" s="151">
        <f t="shared" si="0"/>
        <v>0</v>
      </c>
      <c r="AN35" s="35">
        <f t="shared" si="1"/>
        <v>1</v>
      </c>
      <c r="AO35" s="36">
        <f t="shared" si="2"/>
        <v>0</v>
      </c>
      <c r="AP35" s="35">
        <f t="shared" si="3"/>
        <v>0</v>
      </c>
      <c r="AQ35" s="36">
        <f t="shared" si="4"/>
        <v>0</v>
      </c>
      <c r="AR35" s="37">
        <f t="shared" si="5"/>
        <v>1</v>
      </c>
      <c r="AS35" s="147" t="s">
        <v>382</v>
      </c>
      <c r="AT35" s="38">
        <v>16</v>
      </c>
      <c r="AU35" s="39">
        <f t="shared" si="6"/>
        <v>0.0625</v>
      </c>
    </row>
    <row r="36" s="105" customFormat="1" ht="20.15" customHeight="1" spans="1:47">
      <c r="A36" s="68">
        <v>25</v>
      </c>
      <c r="B36" s="167" t="s">
        <v>46</v>
      </c>
      <c r="C36" s="150" t="s">
        <v>16</v>
      </c>
      <c r="D36" s="152" t="s">
        <v>153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 t="s">
        <v>103</v>
      </c>
      <c r="AE36" s="62"/>
      <c r="AF36" s="62"/>
      <c r="AG36" s="62"/>
      <c r="AH36" s="62"/>
      <c r="AI36" s="62"/>
      <c r="AJ36" s="62"/>
      <c r="AK36" s="62"/>
      <c r="AL36" s="113"/>
      <c r="AM36" s="151">
        <f t="shared" si="0"/>
        <v>0</v>
      </c>
      <c r="AN36" s="35">
        <f t="shared" si="1"/>
        <v>0</v>
      </c>
      <c r="AO36" s="35">
        <f t="shared" si="2"/>
        <v>1</v>
      </c>
      <c r="AP36" s="35">
        <f t="shared" si="3"/>
        <v>0</v>
      </c>
      <c r="AQ36" s="36">
        <f t="shared" si="4"/>
        <v>0</v>
      </c>
      <c r="AR36" s="37">
        <f t="shared" si="5"/>
        <v>1</v>
      </c>
      <c r="AS36" s="156" t="s">
        <v>171</v>
      </c>
      <c r="AT36" s="38">
        <v>16</v>
      </c>
      <c r="AU36" s="39">
        <f t="shared" si="6"/>
        <v>0.0625</v>
      </c>
    </row>
    <row r="37" s="105" customFormat="1" ht="20.15" customHeight="1" spans="1:47">
      <c r="A37" s="68">
        <v>26</v>
      </c>
      <c r="B37" s="149" t="s">
        <v>47</v>
      </c>
      <c r="C37" s="150" t="s">
        <v>211</v>
      </c>
      <c r="D37" s="152" t="s">
        <v>212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113"/>
      <c r="AM37" s="151">
        <f t="shared" si="0"/>
        <v>0</v>
      </c>
      <c r="AN37" s="35">
        <f t="shared" si="1"/>
        <v>0</v>
      </c>
      <c r="AO37" s="36">
        <f t="shared" si="2"/>
        <v>0</v>
      </c>
      <c r="AP37" s="36">
        <f t="shared" si="3"/>
        <v>0</v>
      </c>
      <c r="AQ37" s="36">
        <f t="shared" si="4"/>
        <v>0</v>
      </c>
      <c r="AR37" s="37">
        <f t="shared" si="5"/>
        <v>0</v>
      </c>
      <c r="AS37" s="156" t="s">
        <v>201</v>
      </c>
      <c r="AT37" s="38">
        <v>16</v>
      </c>
      <c r="AU37" s="39">
        <f t="shared" si="6"/>
        <v>0</v>
      </c>
    </row>
    <row r="38" s="105" customFormat="1" ht="20.15" customHeight="1" spans="1:47">
      <c r="A38" s="68">
        <v>27</v>
      </c>
      <c r="B38" s="149" t="s">
        <v>48</v>
      </c>
      <c r="C38" s="150" t="s">
        <v>16</v>
      </c>
      <c r="D38" s="149" t="s">
        <v>217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113"/>
      <c r="AM38" s="151">
        <f t="shared" si="0"/>
        <v>0</v>
      </c>
      <c r="AN38" s="35">
        <f t="shared" si="1"/>
        <v>0</v>
      </c>
      <c r="AO38" s="35">
        <f t="shared" si="2"/>
        <v>0</v>
      </c>
      <c r="AP38" s="35">
        <f t="shared" si="3"/>
        <v>0</v>
      </c>
      <c r="AQ38" s="36">
        <f t="shared" si="4"/>
        <v>0</v>
      </c>
      <c r="AR38" s="37">
        <f t="shared" si="5"/>
        <v>0</v>
      </c>
      <c r="AS38" s="43" t="s">
        <v>336</v>
      </c>
      <c r="AT38" s="38">
        <v>16</v>
      </c>
      <c r="AU38" s="39">
        <f t="shared" si="6"/>
        <v>0</v>
      </c>
    </row>
    <row r="39" s="105" customFormat="1" ht="20.15" customHeight="1" spans="1:47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113"/>
      <c r="AM39" s="151">
        <f t="shared" si="0"/>
        <v>0</v>
      </c>
      <c r="AN39" s="35">
        <f t="shared" si="1"/>
        <v>0</v>
      </c>
      <c r="AO39" s="36">
        <f t="shared" si="2"/>
        <v>0</v>
      </c>
      <c r="AP39" s="35">
        <f t="shared" si="3"/>
        <v>0</v>
      </c>
      <c r="AQ39" s="36">
        <f t="shared" si="4"/>
        <v>0</v>
      </c>
      <c r="AR39" s="37">
        <f t="shared" si="5"/>
        <v>0</v>
      </c>
      <c r="AS39" s="49" t="s">
        <v>118</v>
      </c>
      <c r="AT39" s="38">
        <v>16</v>
      </c>
      <c r="AU39" s="39">
        <f t="shared" si="6"/>
        <v>0</v>
      </c>
    </row>
    <row r="40" s="105" customFormat="1" ht="20.15" customHeight="1" spans="1:47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113"/>
      <c r="AM40" s="151">
        <f t="shared" si="0"/>
        <v>0</v>
      </c>
      <c r="AN40" s="35">
        <f t="shared" si="1"/>
        <v>0</v>
      </c>
      <c r="AO40" s="36">
        <f t="shared" si="2"/>
        <v>0</v>
      </c>
      <c r="AP40" s="36">
        <f t="shared" si="3"/>
        <v>0</v>
      </c>
      <c r="AQ40" s="36">
        <f t="shared" si="4"/>
        <v>0</v>
      </c>
      <c r="AR40" s="128">
        <f t="shared" si="5"/>
        <v>0</v>
      </c>
      <c r="AS40" s="128" t="s">
        <v>336</v>
      </c>
      <c r="AT40" s="38">
        <v>16</v>
      </c>
      <c r="AU40" s="72">
        <f t="shared" si="6"/>
        <v>0</v>
      </c>
    </row>
    <row r="41" s="105" customFormat="1" ht="20.15" customHeight="1" spans="1:47">
      <c r="A41" s="68">
        <v>30</v>
      </c>
      <c r="B41" s="154" t="s">
        <v>51</v>
      </c>
      <c r="C41" s="150" t="s">
        <v>16</v>
      </c>
      <c r="D41" s="149" t="s">
        <v>217</v>
      </c>
      <c r="E41" s="62"/>
      <c r="F41" s="62"/>
      <c r="G41" s="62"/>
      <c r="H41" s="62"/>
      <c r="I41" s="62" t="s">
        <v>11</v>
      </c>
      <c r="J41" s="62"/>
      <c r="K41" s="62"/>
      <c r="L41" s="62"/>
      <c r="M41" s="62"/>
      <c r="N41" s="62"/>
      <c r="O41" s="62"/>
      <c r="P41" s="62"/>
      <c r="Q41" s="62"/>
      <c r="R41" s="62" t="s">
        <v>11</v>
      </c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113"/>
      <c r="AM41" s="151">
        <f t="shared" si="0"/>
        <v>0</v>
      </c>
      <c r="AN41" s="35">
        <f t="shared" si="1"/>
        <v>2</v>
      </c>
      <c r="AO41" s="36">
        <f t="shared" si="2"/>
        <v>0</v>
      </c>
      <c r="AP41" s="36">
        <f t="shared" si="3"/>
        <v>0</v>
      </c>
      <c r="AQ41" s="36">
        <f t="shared" si="4"/>
        <v>0</v>
      </c>
      <c r="AR41" s="37">
        <f t="shared" si="5"/>
        <v>2</v>
      </c>
      <c r="AS41" s="43" t="s">
        <v>193</v>
      </c>
      <c r="AT41" s="38">
        <v>26</v>
      </c>
      <c r="AU41" s="39">
        <f t="shared" si="6"/>
        <v>0.0769230769230769</v>
      </c>
    </row>
    <row r="42" s="105" customFormat="1" ht="20.15" customHeight="1" spans="1:47">
      <c r="A42" s="68">
        <v>31</v>
      </c>
      <c r="B42" s="154" t="s">
        <v>52</v>
      </c>
      <c r="C42" s="150" t="s">
        <v>339</v>
      </c>
      <c r="D42" s="149" t="s">
        <v>394</v>
      </c>
      <c r="E42" s="62"/>
      <c r="F42" s="62"/>
      <c r="G42" s="62"/>
      <c r="H42" s="62"/>
      <c r="I42" s="62"/>
      <c r="J42" s="62"/>
      <c r="K42" s="62"/>
      <c r="L42" s="62"/>
      <c r="M42" s="62"/>
      <c r="N42" s="62" t="s">
        <v>12</v>
      </c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 t="s">
        <v>11</v>
      </c>
      <c r="AE42" s="62"/>
      <c r="AF42" s="62"/>
      <c r="AG42" s="62"/>
      <c r="AH42" s="62"/>
      <c r="AI42" s="62"/>
      <c r="AJ42" s="62"/>
      <c r="AK42" s="62"/>
      <c r="AL42" s="113"/>
      <c r="AM42" s="151">
        <f t="shared" si="0"/>
        <v>0</v>
      </c>
      <c r="AN42" s="35">
        <f t="shared" si="1"/>
        <v>1</v>
      </c>
      <c r="AO42" s="36">
        <f t="shared" si="2"/>
        <v>1</v>
      </c>
      <c r="AP42" s="36">
        <f t="shared" si="3"/>
        <v>0</v>
      </c>
      <c r="AQ42" s="36">
        <f t="shared" si="4"/>
        <v>0</v>
      </c>
      <c r="AR42" s="37">
        <f t="shared" si="5"/>
        <v>2</v>
      </c>
      <c r="AS42" s="43" t="s">
        <v>193</v>
      </c>
      <c r="AT42" s="38">
        <v>26</v>
      </c>
      <c r="AU42" s="39">
        <f t="shared" si="6"/>
        <v>0.0769230769230769</v>
      </c>
    </row>
    <row r="43" s="105" customFormat="1" ht="20.15" customHeight="1" spans="1:47">
      <c r="A43" s="68">
        <v>32</v>
      </c>
      <c r="B43" s="149" t="s">
        <v>53</v>
      </c>
      <c r="C43" s="150" t="s">
        <v>16</v>
      </c>
      <c r="D43" s="149" t="str">
        <f>VLOOKUP(B43,'[1]MASTER DATA 2025'!$C$3:$E$279,3,0)</f>
        <v>1Tahun0 Bulan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142"/>
      <c r="AM43" s="151">
        <f t="shared" si="0"/>
        <v>0</v>
      </c>
      <c r="AN43" s="35">
        <f t="shared" si="1"/>
        <v>0</v>
      </c>
      <c r="AO43" s="36">
        <f t="shared" si="2"/>
        <v>0</v>
      </c>
      <c r="AP43" s="36">
        <f t="shared" si="3"/>
        <v>0</v>
      </c>
      <c r="AQ43" s="36">
        <f t="shared" si="4"/>
        <v>0</v>
      </c>
      <c r="AR43" s="37">
        <f t="shared" si="5"/>
        <v>0</v>
      </c>
      <c r="AS43" s="37" t="s">
        <v>25</v>
      </c>
      <c r="AT43" s="38">
        <v>26</v>
      </c>
      <c r="AU43" s="39">
        <f t="shared" si="6"/>
        <v>0</v>
      </c>
    </row>
    <row r="44" s="105" customFormat="1" ht="20.15" customHeight="1" spans="1:47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113"/>
      <c r="AM44" s="151">
        <f t="shared" si="0"/>
        <v>0</v>
      </c>
      <c r="AN44" s="35">
        <f t="shared" si="1"/>
        <v>0</v>
      </c>
      <c r="AO44" s="36">
        <f t="shared" si="2"/>
        <v>0</v>
      </c>
      <c r="AP44" s="36">
        <f t="shared" si="3"/>
        <v>0</v>
      </c>
      <c r="AQ44" s="36">
        <f t="shared" si="4"/>
        <v>0</v>
      </c>
      <c r="AR44" s="37">
        <f t="shared" si="5"/>
        <v>0</v>
      </c>
      <c r="AS44" s="37" t="s">
        <v>25</v>
      </c>
      <c r="AT44" s="38">
        <v>26</v>
      </c>
      <c r="AU44" s="39">
        <f t="shared" si="6"/>
        <v>0</v>
      </c>
    </row>
    <row r="45" s="105" customFormat="1" ht="20.15" customHeight="1" spans="1:47">
      <c r="A45" s="68">
        <v>34</v>
      </c>
      <c r="B45" s="158" t="s">
        <v>383</v>
      </c>
      <c r="C45" s="150" t="s">
        <v>16</v>
      </c>
      <c r="D45" s="149" t="s">
        <v>178</v>
      </c>
      <c r="E45" s="62"/>
      <c r="F45" s="62"/>
      <c r="G45" s="62"/>
      <c r="H45" s="62"/>
      <c r="I45" s="62"/>
      <c r="J45" s="62"/>
      <c r="K45" s="62"/>
      <c r="L45" s="62" t="s">
        <v>11</v>
      </c>
      <c r="M45" s="62" t="s">
        <v>11</v>
      </c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113"/>
      <c r="AM45" s="151">
        <f t="shared" si="0"/>
        <v>0</v>
      </c>
      <c r="AN45" s="35">
        <f t="shared" si="1"/>
        <v>2</v>
      </c>
      <c r="AO45" s="36">
        <f t="shared" si="2"/>
        <v>0</v>
      </c>
      <c r="AP45" s="36">
        <f t="shared" si="3"/>
        <v>0</v>
      </c>
      <c r="AQ45" s="36">
        <f t="shared" si="4"/>
        <v>0</v>
      </c>
      <c r="AR45" s="37">
        <f t="shared" si="5"/>
        <v>2</v>
      </c>
      <c r="AS45" s="43" t="s">
        <v>424</v>
      </c>
      <c r="AT45" s="38">
        <v>26</v>
      </c>
      <c r="AU45" s="39">
        <f t="shared" si="6"/>
        <v>0.0769230769230769</v>
      </c>
    </row>
    <row r="46" s="105" customFormat="1" ht="20.15" customHeight="1" spans="1:47">
      <c r="A46" s="68">
        <v>35</v>
      </c>
      <c r="B46" s="154" t="s">
        <v>56</v>
      </c>
      <c r="C46" s="150" t="s">
        <v>16</v>
      </c>
      <c r="D46" s="149" t="s">
        <v>231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113"/>
      <c r="AM46" s="151">
        <f t="shared" si="0"/>
        <v>0</v>
      </c>
      <c r="AN46" s="35">
        <f t="shared" si="1"/>
        <v>0</v>
      </c>
      <c r="AO46" s="36">
        <f t="shared" si="2"/>
        <v>0</v>
      </c>
      <c r="AP46" s="35">
        <f t="shared" si="3"/>
        <v>0</v>
      </c>
      <c r="AQ46" s="36">
        <f t="shared" si="4"/>
        <v>0</v>
      </c>
      <c r="AR46" s="37">
        <f t="shared" si="5"/>
        <v>0</v>
      </c>
      <c r="AS46" s="37" t="s">
        <v>228</v>
      </c>
      <c r="AT46" s="38">
        <v>26</v>
      </c>
      <c r="AU46" s="39">
        <f t="shared" si="6"/>
        <v>0</v>
      </c>
    </row>
    <row r="47" s="105" customFormat="1" ht="20.15" customHeight="1" spans="1:47">
      <c r="A47" s="68">
        <v>36</v>
      </c>
      <c r="B47" s="159" t="s">
        <v>57</v>
      </c>
      <c r="C47" s="150" t="s">
        <v>16</v>
      </c>
      <c r="D47" s="149" t="s">
        <v>266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 t="s">
        <v>12</v>
      </c>
      <c r="AD47" s="62"/>
      <c r="AE47" s="62"/>
      <c r="AF47" s="62"/>
      <c r="AG47" s="62"/>
      <c r="AH47" s="62"/>
      <c r="AI47" s="62"/>
      <c r="AJ47" s="62"/>
      <c r="AK47" s="62"/>
      <c r="AL47" s="113"/>
      <c r="AM47" s="151">
        <f t="shared" si="0"/>
        <v>0</v>
      </c>
      <c r="AN47" s="35">
        <f t="shared" si="1"/>
        <v>0</v>
      </c>
      <c r="AO47" s="36">
        <f t="shared" si="2"/>
        <v>1</v>
      </c>
      <c r="AP47" s="36">
        <f t="shared" si="3"/>
        <v>0</v>
      </c>
      <c r="AQ47" s="36">
        <f t="shared" si="4"/>
        <v>0</v>
      </c>
      <c r="AR47" s="37">
        <f t="shared" si="5"/>
        <v>1</v>
      </c>
      <c r="AS47" s="43" t="s">
        <v>425</v>
      </c>
      <c r="AT47" s="38">
        <v>26</v>
      </c>
      <c r="AU47" s="39">
        <f t="shared" si="6"/>
        <v>0.0384615384615385</v>
      </c>
    </row>
    <row r="48" s="105" customFormat="1" ht="19.5" customHeight="1" spans="1:47">
      <c r="A48" s="68">
        <v>37</v>
      </c>
      <c r="B48" s="149" t="s">
        <v>58</v>
      </c>
      <c r="C48" s="150" t="s">
        <v>59</v>
      </c>
      <c r="D48" s="149" t="s">
        <v>426</v>
      </c>
      <c r="E48" s="62"/>
      <c r="F48" s="62"/>
      <c r="G48" s="62"/>
      <c r="H48" s="62"/>
      <c r="I48" s="62"/>
      <c r="J48" s="62"/>
      <c r="K48" s="62" t="s">
        <v>11</v>
      </c>
      <c r="L48" s="62" t="s">
        <v>11</v>
      </c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113"/>
      <c r="AM48" s="151">
        <f t="shared" si="0"/>
        <v>0</v>
      </c>
      <c r="AN48" s="35">
        <f t="shared" si="1"/>
        <v>2</v>
      </c>
      <c r="AO48" s="36">
        <f t="shared" si="2"/>
        <v>0</v>
      </c>
      <c r="AP48" s="35">
        <f t="shared" si="3"/>
        <v>0</v>
      </c>
      <c r="AQ48" s="36">
        <f t="shared" si="4"/>
        <v>0</v>
      </c>
      <c r="AR48" s="37">
        <f t="shared" si="5"/>
        <v>2</v>
      </c>
      <c r="AS48" s="160" t="s">
        <v>427</v>
      </c>
      <c r="AT48" s="38">
        <v>26</v>
      </c>
      <c r="AU48" s="39">
        <f t="shared" si="6"/>
        <v>0.0769230769230769</v>
      </c>
    </row>
    <row r="49" s="105" customFormat="1" ht="19.5" customHeight="1" spans="1:47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113"/>
      <c r="AM49" s="151">
        <f t="shared" si="0"/>
        <v>0</v>
      </c>
      <c r="AN49" s="36">
        <f t="shared" si="1"/>
        <v>0</v>
      </c>
      <c r="AO49" s="36">
        <f t="shared" si="2"/>
        <v>0</v>
      </c>
      <c r="AP49" s="36">
        <f t="shared" si="3"/>
        <v>0</v>
      </c>
      <c r="AQ49" s="36">
        <f t="shared" si="4"/>
        <v>0</v>
      </c>
      <c r="AR49" s="37">
        <f t="shared" si="5"/>
        <v>0</v>
      </c>
      <c r="AS49" s="37"/>
      <c r="AT49" s="38">
        <v>26</v>
      </c>
      <c r="AU49" s="39">
        <f t="shared" si="6"/>
        <v>0</v>
      </c>
    </row>
    <row r="50" s="105" customFormat="1" ht="19.5" customHeight="1" spans="1:47">
      <c r="A50" s="68">
        <v>39</v>
      </c>
      <c r="B50" s="161" t="s">
        <v>62</v>
      </c>
      <c r="C50" s="150" t="s">
        <v>59</v>
      </c>
      <c r="D50" s="149" t="s">
        <v>342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113"/>
      <c r="AM50" s="151">
        <f t="shared" si="0"/>
        <v>0</v>
      </c>
      <c r="AN50" s="35">
        <f t="shared" si="1"/>
        <v>0</v>
      </c>
      <c r="AO50" s="36">
        <f t="shared" si="2"/>
        <v>0</v>
      </c>
      <c r="AP50" s="36">
        <f t="shared" si="3"/>
        <v>0</v>
      </c>
      <c r="AQ50" s="36">
        <f t="shared" si="4"/>
        <v>0</v>
      </c>
      <c r="AR50" s="37">
        <f t="shared" si="5"/>
        <v>0</v>
      </c>
      <c r="AS50" s="156" t="s">
        <v>275</v>
      </c>
      <c r="AT50" s="38">
        <v>26</v>
      </c>
      <c r="AU50" s="39">
        <f t="shared" si="6"/>
        <v>0</v>
      </c>
    </row>
    <row r="51" s="105" customFormat="1" ht="19.5" customHeight="1" spans="1:47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113"/>
      <c r="AM51" s="151">
        <f t="shared" si="0"/>
        <v>0</v>
      </c>
      <c r="AN51" s="35">
        <f t="shared" si="1"/>
        <v>0</v>
      </c>
      <c r="AO51" s="35">
        <f t="shared" si="2"/>
        <v>0</v>
      </c>
      <c r="AP51" s="36">
        <f t="shared" si="3"/>
        <v>0</v>
      </c>
      <c r="AQ51" s="36">
        <f t="shared" si="4"/>
        <v>0</v>
      </c>
      <c r="AR51" s="37">
        <f t="shared" si="5"/>
        <v>0</v>
      </c>
      <c r="AS51" s="37"/>
      <c r="AT51" s="38">
        <v>26</v>
      </c>
      <c r="AU51" s="39">
        <f t="shared" si="6"/>
        <v>0</v>
      </c>
    </row>
    <row r="52" s="105" customFormat="1" ht="19.5" customHeight="1" spans="1:47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 t="s">
        <v>11</v>
      </c>
      <c r="AF52" s="62" t="s">
        <v>11</v>
      </c>
      <c r="AG52" s="62" t="s">
        <v>11</v>
      </c>
      <c r="AH52" s="62" t="s">
        <v>11</v>
      </c>
      <c r="AI52" s="62" t="s">
        <v>11</v>
      </c>
      <c r="AJ52" s="62" t="s">
        <v>11</v>
      </c>
      <c r="AK52" s="62" t="s">
        <v>11</v>
      </c>
      <c r="AL52" s="113"/>
      <c r="AM52" s="151">
        <f t="shared" si="0"/>
        <v>0</v>
      </c>
      <c r="AN52" s="35">
        <f t="shared" si="1"/>
        <v>7</v>
      </c>
      <c r="AO52" s="36">
        <f t="shared" si="2"/>
        <v>0</v>
      </c>
      <c r="AP52" s="36">
        <f t="shared" si="3"/>
        <v>0</v>
      </c>
      <c r="AQ52" s="36">
        <f t="shared" si="4"/>
        <v>0</v>
      </c>
      <c r="AR52" s="37">
        <f t="shared" si="5"/>
        <v>7</v>
      </c>
      <c r="AS52" s="37"/>
      <c r="AT52" s="38">
        <v>26</v>
      </c>
      <c r="AU52" s="39">
        <f t="shared" si="6"/>
        <v>0.269230769230769</v>
      </c>
    </row>
    <row r="53" s="105" customFormat="1" ht="19.5" customHeight="1" spans="1:47">
      <c r="A53" s="68">
        <v>42</v>
      </c>
      <c r="B53" s="154" t="s">
        <v>65</v>
      </c>
      <c r="C53" s="150" t="s">
        <v>16</v>
      </c>
      <c r="D53" s="149" t="s">
        <v>236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113"/>
      <c r="AM53" s="151">
        <f t="shared" si="0"/>
        <v>0</v>
      </c>
      <c r="AN53" s="35">
        <f t="shared" si="1"/>
        <v>0</v>
      </c>
      <c r="AO53" s="36">
        <f t="shared" si="2"/>
        <v>0</v>
      </c>
      <c r="AP53" s="36">
        <f t="shared" si="3"/>
        <v>0</v>
      </c>
      <c r="AQ53" s="36">
        <f t="shared" si="4"/>
        <v>0</v>
      </c>
      <c r="AR53" s="37">
        <f t="shared" si="5"/>
        <v>0</v>
      </c>
      <c r="AS53" s="37"/>
      <c r="AT53" s="38">
        <v>26</v>
      </c>
      <c r="AU53" s="39">
        <f t="shared" si="6"/>
        <v>0</v>
      </c>
    </row>
    <row r="54" s="105" customFormat="1" ht="19.5" customHeight="1" spans="1:47">
      <c r="A54" s="68">
        <v>43</v>
      </c>
      <c r="B54" s="154" t="s">
        <v>66</v>
      </c>
      <c r="C54" s="150" t="s">
        <v>16</v>
      </c>
      <c r="D54" s="149" t="s">
        <v>153</v>
      </c>
      <c r="E54" s="62"/>
      <c r="F54" s="62"/>
      <c r="G54" s="62"/>
      <c r="H54" s="62" t="s">
        <v>11</v>
      </c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113"/>
      <c r="AM54" s="151">
        <f t="shared" si="0"/>
        <v>0</v>
      </c>
      <c r="AN54" s="35">
        <f t="shared" si="1"/>
        <v>1</v>
      </c>
      <c r="AO54" s="35">
        <f t="shared" si="2"/>
        <v>0</v>
      </c>
      <c r="AP54" s="47">
        <f t="shared" si="3"/>
        <v>0</v>
      </c>
      <c r="AQ54" s="36">
        <f t="shared" si="4"/>
        <v>0</v>
      </c>
      <c r="AR54" s="37">
        <f t="shared" si="5"/>
        <v>1</v>
      </c>
      <c r="AS54" s="43" t="s">
        <v>382</v>
      </c>
      <c r="AT54" s="38">
        <v>26</v>
      </c>
      <c r="AU54" s="39">
        <f t="shared" si="6"/>
        <v>0.0384615384615385</v>
      </c>
    </row>
    <row r="55" s="105" customFormat="1" ht="19.5" customHeight="1" spans="1:47">
      <c r="A55" s="68">
        <v>44</v>
      </c>
      <c r="B55" s="154" t="s">
        <v>385</v>
      </c>
      <c r="C55" s="150" t="s">
        <v>16</v>
      </c>
      <c r="D55" s="162" t="s">
        <v>178</v>
      </c>
      <c r="E55" s="62"/>
      <c r="F55" s="62"/>
      <c r="G55" s="62"/>
      <c r="H55" s="62" t="s">
        <v>11</v>
      </c>
      <c r="I55" s="62" t="s">
        <v>11</v>
      </c>
      <c r="J55" s="62" t="s">
        <v>11</v>
      </c>
      <c r="K55" s="62"/>
      <c r="L55" s="62"/>
      <c r="M55" s="62"/>
      <c r="N55" s="62" t="s">
        <v>11</v>
      </c>
      <c r="O55" s="62"/>
      <c r="P55" s="62"/>
      <c r="Q55" s="62"/>
      <c r="R55" s="62"/>
      <c r="S55" s="62"/>
      <c r="T55" s="62"/>
      <c r="U55" s="62"/>
      <c r="V55" s="62" t="s">
        <v>11</v>
      </c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113"/>
      <c r="AM55" s="151">
        <f t="shared" si="0"/>
        <v>0</v>
      </c>
      <c r="AN55" s="35">
        <f t="shared" si="1"/>
        <v>5</v>
      </c>
      <c r="AO55" s="36">
        <f t="shared" si="2"/>
        <v>0</v>
      </c>
      <c r="AP55" s="36">
        <f t="shared" si="3"/>
        <v>0</v>
      </c>
      <c r="AQ55" s="36">
        <f t="shared" si="4"/>
        <v>0</v>
      </c>
      <c r="AR55" s="37">
        <f t="shared" si="5"/>
        <v>5</v>
      </c>
      <c r="AS55" s="43" t="s">
        <v>382</v>
      </c>
      <c r="AT55" s="38">
        <v>26</v>
      </c>
      <c r="AU55" s="39">
        <f t="shared" si="6"/>
        <v>0.192307692307692</v>
      </c>
    </row>
    <row r="56" s="105" customFormat="1" ht="19.5" customHeight="1" spans="1:47">
      <c r="A56" s="68">
        <v>45</v>
      </c>
      <c r="B56" s="154" t="s">
        <v>68</v>
      </c>
      <c r="C56" s="150" t="s">
        <v>16</v>
      </c>
      <c r="D56" s="152" t="s">
        <v>205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113"/>
      <c r="AM56" s="151">
        <f t="shared" si="0"/>
        <v>0</v>
      </c>
      <c r="AN56" s="35">
        <f t="shared" si="1"/>
        <v>0</v>
      </c>
      <c r="AO56" s="36">
        <f t="shared" si="2"/>
        <v>0</v>
      </c>
      <c r="AP56" s="35">
        <f t="shared" si="3"/>
        <v>0</v>
      </c>
      <c r="AQ56" s="36">
        <f t="shared" si="4"/>
        <v>0</v>
      </c>
      <c r="AR56" s="37">
        <f t="shared" si="5"/>
        <v>0</v>
      </c>
      <c r="AS56" s="37" t="s">
        <v>272</v>
      </c>
      <c r="AT56" s="38">
        <v>26</v>
      </c>
      <c r="AU56" s="39">
        <f t="shared" si="6"/>
        <v>0</v>
      </c>
    </row>
    <row r="57" s="105" customFormat="1" ht="19.5" customHeight="1" spans="1:47">
      <c r="A57" s="68">
        <v>46</v>
      </c>
      <c r="B57" s="154" t="s">
        <v>69</v>
      </c>
      <c r="C57" s="150" t="s">
        <v>16</v>
      </c>
      <c r="D57" s="149" t="s">
        <v>344</v>
      </c>
      <c r="E57" s="62"/>
      <c r="F57" s="62"/>
      <c r="G57" s="62"/>
      <c r="H57" s="62"/>
      <c r="I57" s="62"/>
      <c r="J57" s="62"/>
      <c r="K57" s="62" t="s">
        <v>11</v>
      </c>
      <c r="L57" s="62"/>
      <c r="M57" s="62"/>
      <c r="N57" s="62"/>
      <c r="O57" s="62"/>
      <c r="P57" s="62"/>
      <c r="Q57" s="62"/>
      <c r="R57" s="62"/>
      <c r="S57" s="62" t="s">
        <v>11</v>
      </c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 t="s">
        <v>11</v>
      </c>
      <c r="AJ57" s="62"/>
      <c r="AK57" s="62" t="s">
        <v>11</v>
      </c>
      <c r="AL57" s="113"/>
      <c r="AM57" s="151">
        <f t="shared" si="0"/>
        <v>0</v>
      </c>
      <c r="AN57" s="35">
        <f t="shared" si="1"/>
        <v>4</v>
      </c>
      <c r="AO57" s="36">
        <f t="shared" si="2"/>
        <v>0</v>
      </c>
      <c r="AP57" s="36">
        <f t="shared" si="3"/>
        <v>0</v>
      </c>
      <c r="AQ57" s="36">
        <f t="shared" si="4"/>
        <v>0</v>
      </c>
      <c r="AR57" s="37">
        <f t="shared" si="5"/>
        <v>4</v>
      </c>
      <c r="AS57" s="43" t="s">
        <v>193</v>
      </c>
      <c r="AT57" s="38">
        <v>26</v>
      </c>
      <c r="AU57" s="39">
        <f t="shared" si="6"/>
        <v>0.153846153846154</v>
      </c>
    </row>
    <row r="58" s="105" customFormat="1" ht="19.5" customHeight="1" spans="1:47">
      <c r="A58" s="68">
        <v>47</v>
      </c>
      <c r="B58" s="154" t="s">
        <v>70</v>
      </c>
      <c r="C58" s="150" t="s">
        <v>59</v>
      </c>
      <c r="D58" s="152" t="s">
        <v>273</v>
      </c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113"/>
      <c r="AM58" s="151">
        <f t="shared" si="0"/>
        <v>0</v>
      </c>
      <c r="AN58" s="35">
        <f t="shared" si="1"/>
        <v>0</v>
      </c>
      <c r="AO58" s="36">
        <f t="shared" si="2"/>
        <v>0</v>
      </c>
      <c r="AP58" s="36">
        <f t="shared" si="3"/>
        <v>0</v>
      </c>
      <c r="AQ58" s="36">
        <f t="shared" si="4"/>
        <v>0</v>
      </c>
      <c r="AR58" s="37">
        <f t="shared" si="5"/>
        <v>0</v>
      </c>
      <c r="AS58" s="43" t="s">
        <v>336</v>
      </c>
      <c r="AT58" s="38">
        <v>26</v>
      </c>
      <c r="AU58" s="39">
        <f t="shared" si="6"/>
        <v>0</v>
      </c>
    </row>
    <row r="59" s="105" customFormat="1" ht="19.5" customHeight="1" spans="1:47">
      <c r="A59" s="68">
        <v>48</v>
      </c>
      <c r="B59" s="154" t="s">
        <v>71</v>
      </c>
      <c r="C59" s="150" t="s">
        <v>59</v>
      </c>
      <c r="D59" s="149" t="str">
        <f>VLOOKUP(B59,'[1]MASTER DATA 2025'!$C$3:$E$279,3,0)</f>
        <v>0Tahun5 Bulan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113"/>
      <c r="AM59" s="151">
        <f t="shared" si="0"/>
        <v>0</v>
      </c>
      <c r="AN59" s="35">
        <f t="shared" si="1"/>
        <v>0</v>
      </c>
      <c r="AO59" s="36">
        <f t="shared" si="2"/>
        <v>0</v>
      </c>
      <c r="AP59" s="36">
        <f t="shared" si="3"/>
        <v>0</v>
      </c>
      <c r="AQ59" s="36">
        <f t="shared" si="4"/>
        <v>0</v>
      </c>
      <c r="AR59" s="37">
        <f t="shared" si="5"/>
        <v>0</v>
      </c>
      <c r="AS59" s="37" t="s">
        <v>25</v>
      </c>
      <c r="AT59" s="38">
        <v>26</v>
      </c>
      <c r="AU59" s="39">
        <f t="shared" si="6"/>
        <v>0</v>
      </c>
    </row>
    <row r="60" s="105" customFormat="1" ht="19.5" customHeight="1" spans="1:47">
      <c r="A60" s="68">
        <v>49</v>
      </c>
      <c r="B60" s="154" t="s">
        <v>72</v>
      </c>
      <c r="C60" s="163" t="s">
        <v>16</v>
      </c>
      <c r="D60" s="149" t="s">
        <v>153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 t="s">
        <v>11</v>
      </c>
      <c r="R60" s="62" t="s">
        <v>13</v>
      </c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 t="s">
        <v>11</v>
      </c>
      <c r="AE60" s="62"/>
      <c r="AF60" s="62"/>
      <c r="AG60" s="62"/>
      <c r="AH60" s="62"/>
      <c r="AI60" s="62"/>
      <c r="AJ60" s="62"/>
      <c r="AK60" s="62"/>
      <c r="AL60" s="113"/>
      <c r="AM60" s="151">
        <f t="shared" si="0"/>
        <v>0</v>
      </c>
      <c r="AN60" s="35">
        <f t="shared" si="1"/>
        <v>2</v>
      </c>
      <c r="AO60" s="36">
        <f t="shared" si="2"/>
        <v>0</v>
      </c>
      <c r="AP60" s="35">
        <f t="shared" si="3"/>
        <v>1</v>
      </c>
      <c r="AQ60" s="36">
        <f t="shared" si="4"/>
        <v>0</v>
      </c>
      <c r="AR60" s="37">
        <f t="shared" si="5"/>
        <v>3</v>
      </c>
      <c r="AS60" s="43" t="s">
        <v>193</v>
      </c>
      <c r="AT60" s="38">
        <v>26</v>
      </c>
      <c r="AU60" s="39">
        <f t="shared" si="6"/>
        <v>0.115384615384615</v>
      </c>
    </row>
    <row r="61" s="105" customFormat="1" ht="19.5" customHeight="1" spans="1:47">
      <c r="A61" s="68">
        <v>50</v>
      </c>
      <c r="B61" s="154" t="s">
        <v>73</v>
      </c>
      <c r="C61" s="150" t="s">
        <v>16</v>
      </c>
      <c r="D61" s="152" t="s">
        <v>268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 t="s">
        <v>11</v>
      </c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113"/>
      <c r="AM61" s="151">
        <f t="shared" si="0"/>
        <v>0</v>
      </c>
      <c r="AN61" s="35">
        <f t="shared" si="1"/>
        <v>1</v>
      </c>
      <c r="AO61" s="36">
        <f t="shared" si="2"/>
        <v>0</v>
      </c>
      <c r="AP61" s="35">
        <f t="shared" si="3"/>
        <v>0</v>
      </c>
      <c r="AQ61" s="36">
        <f t="shared" si="4"/>
        <v>0</v>
      </c>
      <c r="AR61" s="37">
        <f t="shared" si="5"/>
        <v>1</v>
      </c>
      <c r="AS61" s="43" t="s">
        <v>193</v>
      </c>
      <c r="AT61" s="38">
        <v>26</v>
      </c>
      <c r="AU61" s="39">
        <f t="shared" si="6"/>
        <v>0.0384615384615385</v>
      </c>
    </row>
    <row r="62" s="105" customFormat="1" ht="19.5" customHeight="1" spans="1:47">
      <c r="A62" s="68">
        <v>51</v>
      </c>
      <c r="B62" s="154" t="s">
        <v>74</v>
      </c>
      <c r="C62" s="150" t="s">
        <v>16</v>
      </c>
      <c r="D62" s="149" t="s">
        <v>267</v>
      </c>
      <c r="E62" s="62" t="s">
        <v>11</v>
      </c>
      <c r="F62" s="62"/>
      <c r="G62" s="62"/>
      <c r="H62" s="62"/>
      <c r="I62" s="62"/>
      <c r="J62" s="62" t="s">
        <v>11</v>
      </c>
      <c r="K62" s="62"/>
      <c r="L62" s="62"/>
      <c r="M62" s="172"/>
      <c r="N62" s="172"/>
      <c r="O62" s="172"/>
      <c r="P62" s="172"/>
      <c r="Q62" s="17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113"/>
      <c r="AM62" s="151">
        <f t="shared" si="0"/>
        <v>0</v>
      </c>
      <c r="AN62" s="131">
        <f t="shared" si="1"/>
        <v>2</v>
      </c>
      <c r="AO62" s="103">
        <f t="shared" si="2"/>
        <v>0</v>
      </c>
      <c r="AP62" s="103">
        <f t="shared" si="3"/>
        <v>0</v>
      </c>
      <c r="AQ62" s="103">
        <f t="shared" si="4"/>
        <v>0</v>
      </c>
      <c r="AR62" s="128">
        <f t="shared" si="5"/>
        <v>2</v>
      </c>
      <c r="AS62" s="147" t="s">
        <v>428</v>
      </c>
      <c r="AT62" s="38">
        <v>26</v>
      </c>
      <c r="AU62" s="39">
        <f t="shared" si="6"/>
        <v>0.0769230769230769</v>
      </c>
    </row>
    <row r="63" s="105" customFormat="1" ht="19.5" customHeight="1" spans="1:47">
      <c r="A63" s="68">
        <v>52</v>
      </c>
      <c r="B63" s="154" t="s">
        <v>75</v>
      </c>
      <c r="C63" s="150" t="s">
        <v>16</v>
      </c>
      <c r="D63" s="149" t="s">
        <v>267</v>
      </c>
      <c r="E63" s="62"/>
      <c r="F63" s="62"/>
      <c r="G63" s="62"/>
      <c r="H63" s="62"/>
      <c r="I63" s="62"/>
      <c r="J63" s="62"/>
      <c r="K63" s="62" t="s">
        <v>11</v>
      </c>
      <c r="L63" s="236"/>
      <c r="M63" s="236"/>
      <c r="N63" s="236"/>
      <c r="O63" s="236"/>
      <c r="P63" s="180"/>
      <c r="Q63" s="180"/>
      <c r="R63" s="237" t="s">
        <v>195</v>
      </c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 t="s">
        <v>12</v>
      </c>
      <c r="AE63" s="62"/>
      <c r="AF63" s="62"/>
      <c r="AG63" s="62"/>
      <c r="AH63" s="62"/>
      <c r="AI63" s="62"/>
      <c r="AJ63" s="62"/>
      <c r="AK63" s="62"/>
      <c r="AL63" s="113"/>
      <c r="AM63" s="151">
        <f t="shared" si="0"/>
        <v>0</v>
      </c>
      <c r="AN63" s="43">
        <f t="shared" si="1"/>
        <v>1</v>
      </c>
      <c r="AO63" s="43">
        <f t="shared" si="2"/>
        <v>1</v>
      </c>
      <c r="AP63" s="66">
        <f t="shared" si="3"/>
        <v>0</v>
      </c>
      <c r="AQ63" s="66">
        <f t="shared" si="4"/>
        <v>0</v>
      </c>
      <c r="AR63" s="43">
        <f t="shared" si="5"/>
        <v>2</v>
      </c>
      <c r="AS63" s="43" t="s">
        <v>429</v>
      </c>
      <c r="AT63" s="68">
        <v>26</v>
      </c>
      <c r="AU63" s="39">
        <f t="shared" si="6"/>
        <v>0.0769230769230769</v>
      </c>
    </row>
    <row r="64" s="105" customFormat="1" ht="19.5" customHeight="1" spans="1:47">
      <c r="A64" s="68">
        <v>53</v>
      </c>
      <c r="B64" s="154" t="s">
        <v>76</v>
      </c>
      <c r="C64" s="150" t="s">
        <v>59</v>
      </c>
      <c r="D64" s="152" t="s">
        <v>236</v>
      </c>
      <c r="E64" s="62"/>
      <c r="F64" s="62"/>
      <c r="G64" s="62"/>
      <c r="H64" s="62"/>
      <c r="I64" s="62"/>
      <c r="J64" s="62"/>
      <c r="K64" s="62"/>
      <c r="L64" s="62" t="s">
        <v>11</v>
      </c>
      <c r="M64" s="238"/>
      <c r="N64" s="238"/>
      <c r="O64" s="238"/>
      <c r="P64" s="238"/>
      <c r="Q64" s="238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113"/>
      <c r="AM64" s="151">
        <f t="shared" si="0"/>
        <v>0</v>
      </c>
      <c r="AN64" s="35">
        <f t="shared" si="1"/>
        <v>1</v>
      </c>
      <c r="AO64" s="36">
        <f t="shared" si="2"/>
        <v>0</v>
      </c>
      <c r="AP64" s="36">
        <f t="shared" si="3"/>
        <v>0</v>
      </c>
      <c r="AQ64" s="36">
        <f t="shared" si="4"/>
        <v>0</v>
      </c>
      <c r="AR64" s="35">
        <f t="shared" si="5"/>
        <v>1</v>
      </c>
      <c r="AS64" s="43" t="s">
        <v>430</v>
      </c>
      <c r="AT64" s="38">
        <v>26</v>
      </c>
      <c r="AU64" s="39">
        <f t="shared" si="6"/>
        <v>0.0384615384615385</v>
      </c>
    </row>
    <row r="65" s="105" customFormat="1" ht="19.5" customHeight="1" spans="1:47">
      <c r="A65" s="68">
        <v>54</v>
      </c>
      <c r="B65" s="154" t="s">
        <v>77</v>
      </c>
      <c r="C65" s="150" t="s">
        <v>16</v>
      </c>
      <c r="D65" s="152" t="s">
        <v>338</v>
      </c>
      <c r="E65" s="62"/>
      <c r="F65" s="62"/>
      <c r="G65" s="62"/>
      <c r="H65" s="62"/>
      <c r="I65" s="62"/>
      <c r="J65" s="62"/>
      <c r="K65" s="62"/>
      <c r="L65" s="62"/>
      <c r="M65" s="62" t="s">
        <v>11</v>
      </c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113"/>
      <c r="AM65" s="151">
        <f t="shared" si="0"/>
        <v>0</v>
      </c>
      <c r="AN65" s="35">
        <f t="shared" si="1"/>
        <v>1</v>
      </c>
      <c r="AO65" s="36">
        <f t="shared" si="2"/>
        <v>0</v>
      </c>
      <c r="AP65" s="36">
        <f t="shared" si="3"/>
        <v>0</v>
      </c>
      <c r="AQ65" s="36">
        <f t="shared" si="4"/>
        <v>0</v>
      </c>
      <c r="AR65" s="37">
        <f t="shared" si="5"/>
        <v>1</v>
      </c>
      <c r="AS65" s="128" t="s">
        <v>336</v>
      </c>
      <c r="AT65" s="38">
        <v>26</v>
      </c>
      <c r="AU65" s="39">
        <f t="shared" si="6"/>
        <v>0.0384615384615385</v>
      </c>
    </row>
    <row r="66" s="105" customFormat="1" ht="19.5" customHeight="1" spans="1:47">
      <c r="A66" s="68">
        <v>55</v>
      </c>
      <c r="B66" s="154" t="s">
        <v>78</v>
      </c>
      <c r="C66" s="150" t="s">
        <v>16</v>
      </c>
      <c r="D66" s="152" t="s">
        <v>274</v>
      </c>
      <c r="E66" s="62"/>
      <c r="F66" s="62"/>
      <c r="G66" s="62"/>
      <c r="H66" s="62"/>
      <c r="I66" s="62"/>
      <c r="J66" s="62"/>
      <c r="K66" s="62"/>
      <c r="L66" s="62" t="s">
        <v>12</v>
      </c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113"/>
      <c r="AM66" s="151">
        <f t="shared" si="0"/>
        <v>0</v>
      </c>
      <c r="AN66" s="35">
        <f t="shared" si="1"/>
        <v>0</v>
      </c>
      <c r="AO66" s="36">
        <f t="shared" si="2"/>
        <v>1</v>
      </c>
      <c r="AP66" s="36">
        <f t="shared" si="3"/>
        <v>0</v>
      </c>
      <c r="AQ66" s="36">
        <f t="shared" si="4"/>
        <v>0</v>
      </c>
      <c r="AR66" s="37">
        <f t="shared" si="5"/>
        <v>1</v>
      </c>
      <c r="AS66" s="43" t="s">
        <v>431</v>
      </c>
      <c r="AT66" s="38">
        <v>26</v>
      </c>
      <c r="AU66" s="39">
        <f t="shared" si="6"/>
        <v>0.0384615384615385</v>
      </c>
    </row>
    <row r="67" s="105" customFormat="1" ht="19.5" customHeight="1" spans="1:47">
      <c r="A67" s="68">
        <v>56</v>
      </c>
      <c r="B67" s="154" t="s">
        <v>79</v>
      </c>
      <c r="C67" s="150" t="s">
        <v>16</v>
      </c>
      <c r="D67" s="152" t="s">
        <v>277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113"/>
      <c r="AM67" s="151">
        <f t="shared" si="0"/>
        <v>0</v>
      </c>
      <c r="AN67" s="35">
        <f t="shared" si="1"/>
        <v>0</v>
      </c>
      <c r="AO67" s="36">
        <f t="shared" si="2"/>
        <v>0</v>
      </c>
      <c r="AP67" s="36">
        <f t="shared" si="3"/>
        <v>0</v>
      </c>
      <c r="AQ67" s="36">
        <f t="shared" si="4"/>
        <v>0</v>
      </c>
      <c r="AR67" s="37">
        <f t="shared" si="5"/>
        <v>0</v>
      </c>
      <c r="AS67" s="160" t="s">
        <v>388</v>
      </c>
      <c r="AT67" s="38">
        <v>26</v>
      </c>
      <c r="AU67" s="39">
        <f t="shared" si="6"/>
        <v>0</v>
      </c>
    </row>
    <row r="68" s="105" customFormat="1" ht="19.5" customHeight="1" spans="1:47">
      <c r="A68" s="68">
        <v>57</v>
      </c>
      <c r="B68" s="154" t="s">
        <v>80</v>
      </c>
      <c r="C68" s="150" t="s">
        <v>16</v>
      </c>
      <c r="D68" s="149" t="str">
        <f>VLOOKUP(B68,'[1]MASTER DATA 2025'!$C$3:$E$279,3,0)</f>
        <v>0Tahun7 Bulan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113"/>
      <c r="AM68" s="151">
        <f t="shared" si="0"/>
        <v>0</v>
      </c>
      <c r="AN68" s="35">
        <f t="shared" si="1"/>
        <v>0</v>
      </c>
      <c r="AO68" s="35">
        <f t="shared" si="2"/>
        <v>0</v>
      </c>
      <c r="AP68" s="47">
        <f t="shared" si="3"/>
        <v>0</v>
      </c>
      <c r="AQ68" s="36">
        <f t="shared" si="4"/>
        <v>0</v>
      </c>
      <c r="AR68" s="37">
        <f t="shared" si="5"/>
        <v>0</v>
      </c>
      <c r="AS68" s="49">
        <v>45967</v>
      </c>
      <c r="AT68" s="38">
        <v>26</v>
      </c>
      <c r="AU68" s="39">
        <f t="shared" si="6"/>
        <v>0</v>
      </c>
    </row>
    <row r="69" s="105" customFormat="1" ht="19.5" customHeight="1" spans="1:47">
      <c r="A69" s="68">
        <v>58</v>
      </c>
      <c r="B69" s="154" t="s">
        <v>81</v>
      </c>
      <c r="C69" s="150" t="s">
        <v>16</v>
      </c>
      <c r="D69" s="152" t="s">
        <v>340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 t="s">
        <v>11</v>
      </c>
      <c r="S69" s="62" t="s">
        <v>11</v>
      </c>
      <c r="T69" s="62"/>
      <c r="U69" s="62"/>
      <c r="V69" s="62"/>
      <c r="W69" s="62"/>
      <c r="X69" s="62"/>
      <c r="Y69" s="62"/>
      <c r="Z69" s="62"/>
      <c r="AA69" s="62"/>
      <c r="AB69" s="62"/>
      <c r="AC69" s="62" t="s">
        <v>11</v>
      </c>
      <c r="AD69" s="62"/>
      <c r="AE69" s="62"/>
      <c r="AF69" s="62"/>
      <c r="AG69" s="62"/>
      <c r="AH69" s="62"/>
      <c r="AI69" s="62"/>
      <c r="AJ69" s="62"/>
      <c r="AK69" s="62"/>
      <c r="AL69" s="113"/>
      <c r="AM69" s="151">
        <f t="shared" si="0"/>
        <v>0</v>
      </c>
      <c r="AN69" s="35">
        <f t="shared" si="1"/>
        <v>3</v>
      </c>
      <c r="AO69" s="36">
        <f t="shared" si="2"/>
        <v>0</v>
      </c>
      <c r="AP69" s="36">
        <f t="shared" si="3"/>
        <v>0</v>
      </c>
      <c r="AQ69" s="36">
        <f t="shared" si="4"/>
        <v>0</v>
      </c>
      <c r="AR69" s="37">
        <f t="shared" si="5"/>
        <v>3</v>
      </c>
      <c r="AS69" s="43" t="s">
        <v>193</v>
      </c>
      <c r="AT69" s="38">
        <v>26</v>
      </c>
      <c r="AU69" s="39">
        <f t="shared" si="6"/>
        <v>0.115384615384615</v>
      </c>
    </row>
    <row r="70" s="105" customFormat="1" ht="19.5" customHeight="1" spans="1:47">
      <c r="A70" s="68">
        <v>59</v>
      </c>
      <c r="B70" s="154" t="s">
        <v>432</v>
      </c>
      <c r="C70" s="150" t="s">
        <v>59</v>
      </c>
      <c r="D70" s="149" t="s">
        <v>178</v>
      </c>
      <c r="E70" s="62"/>
      <c r="F70" s="62"/>
      <c r="G70" s="62"/>
      <c r="H70" s="62"/>
      <c r="I70" s="62"/>
      <c r="J70" s="62"/>
      <c r="K70" s="62"/>
      <c r="L70" s="62" t="s">
        <v>11</v>
      </c>
      <c r="M70" s="62" t="s">
        <v>11</v>
      </c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113"/>
      <c r="AM70" s="151">
        <f t="shared" si="0"/>
        <v>0</v>
      </c>
      <c r="AN70" s="35">
        <f t="shared" si="1"/>
        <v>2</v>
      </c>
      <c r="AO70" s="35">
        <f t="shared" si="2"/>
        <v>0</v>
      </c>
      <c r="AP70" s="47">
        <f t="shared" si="3"/>
        <v>0</v>
      </c>
      <c r="AQ70" s="36">
        <f t="shared" si="4"/>
        <v>0</v>
      </c>
      <c r="AR70" s="37">
        <f t="shared" si="5"/>
        <v>2</v>
      </c>
      <c r="AS70" s="43" t="s">
        <v>433</v>
      </c>
      <c r="AT70" s="38">
        <v>26</v>
      </c>
      <c r="AU70" s="39">
        <f t="shared" si="6"/>
        <v>0.0769230769230769</v>
      </c>
    </row>
    <row r="71" s="105" customFormat="1" ht="19.5" customHeight="1" spans="1:47">
      <c r="A71" s="68">
        <v>60</v>
      </c>
      <c r="B71" s="154" t="s">
        <v>83</v>
      </c>
      <c r="C71" s="150" t="s">
        <v>16</v>
      </c>
      <c r="D71" s="149" t="str">
        <f>VLOOKUP(B71,'[1]MASTER DATA 2025'!$C$3:$E$279,3,0)</f>
        <v>2Tahun1 Bulan</v>
      </c>
      <c r="E71" s="62"/>
      <c r="F71" s="62"/>
      <c r="G71" s="62"/>
      <c r="H71" s="62"/>
      <c r="I71" s="62"/>
      <c r="J71" s="62"/>
      <c r="K71" s="62"/>
      <c r="L71" s="62"/>
      <c r="M71" s="172"/>
      <c r="N71" s="172"/>
      <c r="O71" s="172"/>
      <c r="P71" s="172"/>
      <c r="Q71" s="17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113"/>
      <c r="AM71" s="151">
        <f t="shared" si="0"/>
        <v>0</v>
      </c>
      <c r="AN71" s="131">
        <f t="shared" si="1"/>
        <v>0</v>
      </c>
      <c r="AO71" s="103">
        <f t="shared" si="2"/>
        <v>0</v>
      </c>
      <c r="AP71" s="103">
        <f t="shared" si="3"/>
        <v>0</v>
      </c>
      <c r="AQ71" s="103">
        <f t="shared" si="4"/>
        <v>0</v>
      </c>
      <c r="AR71" s="128">
        <f t="shared" si="5"/>
        <v>0</v>
      </c>
      <c r="AS71" s="128"/>
      <c r="AT71" s="38">
        <v>26</v>
      </c>
      <c r="AU71" s="39">
        <f t="shared" si="6"/>
        <v>0</v>
      </c>
    </row>
    <row r="72" s="105" customFormat="1" ht="19.5" customHeight="1" spans="1:47">
      <c r="A72" s="68">
        <v>61</v>
      </c>
      <c r="B72" s="154" t="s">
        <v>84</v>
      </c>
      <c r="C72" s="150" t="s">
        <v>59</v>
      </c>
      <c r="D72" s="149" t="s">
        <v>196</v>
      </c>
      <c r="E72" s="62"/>
      <c r="F72" s="62"/>
      <c r="G72" s="62"/>
      <c r="H72" s="62"/>
      <c r="I72" s="62"/>
      <c r="J72" s="62"/>
      <c r="K72" s="62"/>
      <c r="L72" s="236"/>
      <c r="M72" s="236"/>
      <c r="N72" s="236"/>
      <c r="O72" s="236"/>
      <c r="P72" s="180"/>
      <c r="Q72" s="180"/>
      <c r="R72" s="237"/>
      <c r="S72" s="62" t="s">
        <v>11</v>
      </c>
      <c r="T72" s="62"/>
      <c r="U72" s="62" t="s">
        <v>11</v>
      </c>
      <c r="V72" s="62" t="s">
        <v>11</v>
      </c>
      <c r="W72" s="62"/>
      <c r="X72" s="62"/>
      <c r="Y72" s="62"/>
      <c r="Z72" s="62" t="s">
        <v>11</v>
      </c>
      <c r="AA72" s="62" t="s">
        <v>11</v>
      </c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113"/>
      <c r="AM72" s="151">
        <f t="shared" si="0"/>
        <v>0</v>
      </c>
      <c r="AN72" s="43">
        <f t="shared" si="1"/>
        <v>5</v>
      </c>
      <c r="AO72" s="66">
        <f t="shared" si="2"/>
        <v>0</v>
      </c>
      <c r="AP72" s="66">
        <f t="shared" si="3"/>
        <v>0</v>
      </c>
      <c r="AQ72" s="66">
        <f t="shared" si="4"/>
        <v>0</v>
      </c>
      <c r="AR72" s="43">
        <f t="shared" si="5"/>
        <v>5</v>
      </c>
      <c r="AS72" s="43" t="s">
        <v>434</v>
      </c>
      <c r="AT72" s="68">
        <v>26</v>
      </c>
      <c r="AU72" s="39">
        <f t="shared" si="6"/>
        <v>0.192307692307692</v>
      </c>
    </row>
    <row r="73" s="105" customFormat="1" ht="19.5" customHeight="1" spans="1:47">
      <c r="A73" s="68">
        <v>62</v>
      </c>
      <c r="B73" s="154" t="s">
        <v>85</v>
      </c>
      <c r="C73" s="150" t="s">
        <v>59</v>
      </c>
      <c r="D73" s="149" t="str">
        <f>VLOOKUP(B73,'[1]MASTER DATA 2025'!$C$3:$E$279,3,0)</f>
        <v>1Tahun3 Bulan</v>
      </c>
      <c r="E73" s="62"/>
      <c r="F73" s="62"/>
      <c r="G73" s="62"/>
      <c r="H73" s="62"/>
      <c r="I73" s="62"/>
      <c r="J73" s="62"/>
      <c r="K73" s="62"/>
      <c r="L73" s="62"/>
      <c r="M73" s="238"/>
      <c r="N73" s="238" t="s">
        <v>11</v>
      </c>
      <c r="O73" s="238"/>
      <c r="P73" s="238"/>
      <c r="Q73" s="238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113"/>
      <c r="AM73" s="151">
        <f t="shared" si="0"/>
        <v>0</v>
      </c>
      <c r="AN73" s="35">
        <f t="shared" si="1"/>
        <v>1</v>
      </c>
      <c r="AO73" s="35">
        <f t="shared" si="2"/>
        <v>0</v>
      </c>
      <c r="AP73" s="47">
        <f t="shared" si="3"/>
        <v>0</v>
      </c>
      <c r="AQ73" s="36">
        <f t="shared" si="4"/>
        <v>0</v>
      </c>
      <c r="AR73" s="35">
        <f t="shared" si="5"/>
        <v>1</v>
      </c>
      <c r="AS73" s="43" t="s">
        <v>382</v>
      </c>
      <c r="AT73" s="38">
        <v>26</v>
      </c>
      <c r="AU73" s="39">
        <f t="shared" si="6"/>
        <v>0.0384615384615385</v>
      </c>
    </row>
    <row r="74" s="105" customFormat="1" ht="19.5" customHeight="1" spans="1:47">
      <c r="A74" s="68">
        <v>63</v>
      </c>
      <c r="B74" s="154" t="s">
        <v>86</v>
      </c>
      <c r="C74" s="150" t="s">
        <v>59</v>
      </c>
      <c r="D74" s="149" t="s">
        <v>349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 t="s">
        <v>103</v>
      </c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113"/>
      <c r="AM74" s="151">
        <f t="shared" si="0"/>
        <v>0</v>
      </c>
      <c r="AN74" s="35">
        <f t="shared" si="1"/>
        <v>0</v>
      </c>
      <c r="AO74" s="35">
        <f t="shared" si="2"/>
        <v>1</v>
      </c>
      <c r="AP74" s="36">
        <f t="shared" si="3"/>
        <v>0</v>
      </c>
      <c r="AQ74" s="36">
        <f t="shared" si="4"/>
        <v>0</v>
      </c>
      <c r="AR74" s="37">
        <f t="shared" si="5"/>
        <v>1</v>
      </c>
      <c r="AS74" s="43" t="s">
        <v>389</v>
      </c>
      <c r="AT74" s="38">
        <v>26</v>
      </c>
      <c r="AU74" s="39">
        <f t="shared" si="6"/>
        <v>0.0384615384615385</v>
      </c>
    </row>
    <row r="75" s="105" customFormat="1" ht="19.5" customHeight="1" spans="1:47">
      <c r="A75" s="68">
        <v>65</v>
      </c>
      <c r="B75" s="154" t="s">
        <v>88</v>
      </c>
      <c r="C75" s="150" t="s">
        <v>16</v>
      </c>
      <c r="D75" s="152" t="s">
        <v>250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113"/>
      <c r="AM75" s="151">
        <f t="shared" si="0"/>
        <v>0</v>
      </c>
      <c r="AN75" s="35">
        <f t="shared" si="1"/>
        <v>0</v>
      </c>
      <c r="AO75" s="36">
        <f t="shared" si="2"/>
        <v>0</v>
      </c>
      <c r="AP75" s="35">
        <f t="shared" si="3"/>
        <v>0</v>
      </c>
      <c r="AQ75" s="36">
        <f t="shared" si="4"/>
        <v>0</v>
      </c>
      <c r="AR75" s="37">
        <f t="shared" si="5"/>
        <v>0</v>
      </c>
      <c r="AS75" s="37" t="s">
        <v>390</v>
      </c>
      <c r="AT75" s="38">
        <v>26</v>
      </c>
      <c r="AU75" s="39">
        <f t="shared" si="6"/>
        <v>0</v>
      </c>
    </row>
    <row r="76" s="105" customFormat="1" ht="19.5" customHeight="1" spans="1:47">
      <c r="A76" s="68">
        <v>66</v>
      </c>
      <c r="B76" s="154" t="s">
        <v>89</v>
      </c>
      <c r="C76" s="150" t="s">
        <v>16</v>
      </c>
      <c r="D76" s="149" t="str">
        <f>VLOOKUP(B76,'[1]MASTER DATA 2025'!$C$3:$E$279,3,0)</f>
        <v>0Tahun2 Bulan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113"/>
      <c r="AM76" s="151">
        <f t="shared" ref="AM76:AM139" si="7">COUNTIF(E76:AK76,"H")</f>
        <v>0</v>
      </c>
      <c r="AN76" s="35">
        <f t="shared" ref="AN76:AN139" si="8">COUNTIF(E76:AK76,"S")</f>
        <v>0</v>
      </c>
      <c r="AO76" s="36">
        <f t="shared" ref="AO76:AO139" si="9">COUNTIF(E76:AK76,"I")</f>
        <v>0</v>
      </c>
      <c r="AP76" s="35">
        <f t="shared" ref="AP76:AP139" si="10">COUNTIF(E76:AK76,"A")</f>
        <v>0</v>
      </c>
      <c r="AQ76" s="36">
        <f t="shared" ref="AQ76:AQ129" si="11">COUNTIF(E76:AK76,"OFF")</f>
        <v>0</v>
      </c>
      <c r="AR76" s="37">
        <f t="shared" ref="AR76:AR139" si="12">SUM(AM76:AP76)</f>
        <v>0</v>
      </c>
      <c r="AS76" s="37" t="s">
        <v>228</v>
      </c>
      <c r="AT76" s="38">
        <v>26</v>
      </c>
      <c r="AU76" s="39">
        <f t="shared" ref="AU76:AU90" si="13">AR76/AT76</f>
        <v>0</v>
      </c>
    </row>
    <row r="77" s="105" customFormat="1" ht="19.5" customHeight="1" spans="1:47">
      <c r="A77" s="68">
        <v>67</v>
      </c>
      <c r="B77" s="154" t="s">
        <v>90</v>
      </c>
      <c r="C77" s="150" t="s">
        <v>16</v>
      </c>
      <c r="D77" s="149" t="s">
        <v>217</v>
      </c>
      <c r="E77" s="62"/>
      <c r="F77" s="62" t="s">
        <v>11</v>
      </c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113"/>
      <c r="AM77" s="151">
        <f t="shared" si="7"/>
        <v>0</v>
      </c>
      <c r="AN77" s="35">
        <f t="shared" si="8"/>
        <v>1</v>
      </c>
      <c r="AO77" s="36">
        <f t="shared" si="9"/>
        <v>0</v>
      </c>
      <c r="AP77" s="36">
        <f t="shared" si="10"/>
        <v>0</v>
      </c>
      <c r="AQ77" s="36">
        <f t="shared" si="11"/>
        <v>0</v>
      </c>
      <c r="AR77" s="37">
        <f t="shared" si="12"/>
        <v>1</v>
      </c>
      <c r="AS77" s="147" t="s">
        <v>435</v>
      </c>
      <c r="AT77" s="38">
        <v>26</v>
      </c>
      <c r="AU77" s="39">
        <f t="shared" si="13"/>
        <v>0.0384615384615385</v>
      </c>
    </row>
    <row r="78" s="105" customFormat="1" ht="19.5" customHeight="1" spans="1:47">
      <c r="A78" s="68">
        <v>68</v>
      </c>
      <c r="B78" s="154" t="s">
        <v>91</v>
      </c>
      <c r="C78" s="150" t="s">
        <v>16</v>
      </c>
      <c r="D78" s="152" t="s">
        <v>310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113"/>
      <c r="AM78" s="151">
        <f t="shared" si="7"/>
        <v>0</v>
      </c>
      <c r="AN78" s="35">
        <f t="shared" si="8"/>
        <v>0</v>
      </c>
      <c r="AO78" s="36">
        <f t="shared" si="9"/>
        <v>0</v>
      </c>
      <c r="AP78" s="36">
        <f t="shared" si="10"/>
        <v>0</v>
      </c>
      <c r="AQ78" s="36">
        <f t="shared" si="11"/>
        <v>0</v>
      </c>
      <c r="AR78" s="37">
        <f t="shared" si="12"/>
        <v>0</v>
      </c>
      <c r="AS78" s="37" t="s">
        <v>171</v>
      </c>
      <c r="AT78" s="38">
        <v>26</v>
      </c>
      <c r="AU78" s="39">
        <f t="shared" si="13"/>
        <v>0</v>
      </c>
    </row>
    <row r="79" s="105" customFormat="1" ht="19.5" customHeight="1" spans="1:47">
      <c r="A79" s="68">
        <v>69</v>
      </c>
      <c r="B79" s="154" t="s">
        <v>92</v>
      </c>
      <c r="C79" s="150" t="s">
        <v>16</v>
      </c>
      <c r="D79" s="152" t="s">
        <v>219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113"/>
      <c r="AM79" s="151">
        <f t="shared" si="7"/>
        <v>0</v>
      </c>
      <c r="AN79" s="35">
        <f t="shared" si="8"/>
        <v>0</v>
      </c>
      <c r="AO79" s="36">
        <f t="shared" si="9"/>
        <v>0</v>
      </c>
      <c r="AP79" s="35">
        <f t="shared" si="10"/>
        <v>0</v>
      </c>
      <c r="AQ79" s="36">
        <f t="shared" si="11"/>
        <v>0</v>
      </c>
      <c r="AR79" s="37">
        <f t="shared" si="12"/>
        <v>0</v>
      </c>
      <c r="AS79" s="37" t="s">
        <v>228</v>
      </c>
      <c r="AT79" s="38">
        <v>26</v>
      </c>
      <c r="AU79" s="39">
        <f t="shared" si="13"/>
        <v>0</v>
      </c>
    </row>
    <row r="80" s="105" customFormat="1" ht="19.5" customHeight="1" spans="1:47">
      <c r="A80" s="68">
        <v>70</v>
      </c>
      <c r="B80" s="154" t="s">
        <v>93</v>
      </c>
      <c r="C80" s="150" t="s">
        <v>16</v>
      </c>
      <c r="D80" s="149" t="str">
        <f>VLOOKUP(B80,'[1]MASTER DATA 2025'!$C$3:$E$279,3,0)</f>
        <v>0Tahun2 Bulan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113"/>
      <c r="AM80" s="151">
        <f t="shared" si="7"/>
        <v>0</v>
      </c>
      <c r="AN80" s="35">
        <f t="shared" si="8"/>
        <v>0</v>
      </c>
      <c r="AO80" s="36">
        <f t="shared" si="9"/>
        <v>0</v>
      </c>
      <c r="AP80" s="35">
        <f t="shared" si="10"/>
        <v>0</v>
      </c>
      <c r="AQ80" s="36">
        <f t="shared" si="11"/>
        <v>0</v>
      </c>
      <c r="AR80" s="37">
        <f t="shared" si="12"/>
        <v>0</v>
      </c>
      <c r="AS80" s="37"/>
      <c r="AT80" s="38">
        <v>26</v>
      </c>
      <c r="AU80" s="39">
        <f t="shared" si="13"/>
        <v>0</v>
      </c>
    </row>
    <row r="81" s="105" customFormat="1" ht="19.5" customHeight="1" spans="1:47">
      <c r="A81" s="68">
        <v>71</v>
      </c>
      <c r="B81" s="154" t="s">
        <v>94</v>
      </c>
      <c r="C81" s="150" t="s">
        <v>16</v>
      </c>
      <c r="D81" s="149" t="str">
        <f>VLOOKUP(B81,'[1]MASTER DATA 2025'!$C$3:$E$279,3,0)</f>
        <v>0Tahun2 Bulan</v>
      </c>
      <c r="E81" s="62"/>
      <c r="F81" s="62"/>
      <c r="G81" s="62"/>
      <c r="H81" s="62"/>
      <c r="I81" s="62"/>
      <c r="J81" s="62"/>
      <c r="K81" s="62"/>
      <c r="L81" s="62"/>
      <c r="M81" s="172"/>
      <c r="N81" s="172"/>
      <c r="O81" s="172"/>
      <c r="P81" s="172"/>
      <c r="Q81" s="17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113"/>
      <c r="AM81" s="151">
        <f t="shared" si="7"/>
        <v>0</v>
      </c>
      <c r="AN81" s="131">
        <f t="shared" si="8"/>
        <v>0</v>
      </c>
      <c r="AO81" s="103">
        <f t="shared" si="9"/>
        <v>0</v>
      </c>
      <c r="AP81" s="103">
        <f t="shared" si="10"/>
        <v>0</v>
      </c>
      <c r="AQ81" s="103">
        <f t="shared" si="11"/>
        <v>0</v>
      </c>
      <c r="AR81" s="128">
        <f t="shared" si="12"/>
        <v>0</v>
      </c>
      <c r="AS81" s="128" t="s">
        <v>25</v>
      </c>
      <c r="AT81" s="38">
        <v>26</v>
      </c>
      <c r="AU81" s="39">
        <f t="shared" si="13"/>
        <v>0</v>
      </c>
    </row>
    <row r="82" s="105" customFormat="1" ht="19.5" customHeight="1" spans="1:47">
      <c r="A82" s="68">
        <v>72</v>
      </c>
      <c r="B82" s="154" t="s">
        <v>95</v>
      </c>
      <c r="C82" s="150" t="s">
        <v>59</v>
      </c>
      <c r="D82" s="152" t="s">
        <v>350</v>
      </c>
      <c r="E82" s="62"/>
      <c r="F82" s="62"/>
      <c r="G82" s="62"/>
      <c r="H82" s="62"/>
      <c r="I82" s="62"/>
      <c r="J82" s="62"/>
      <c r="K82" s="62"/>
      <c r="L82" s="236"/>
      <c r="M82" s="236"/>
      <c r="N82" s="236"/>
      <c r="O82" s="236"/>
      <c r="P82" s="180"/>
      <c r="Q82" s="180"/>
      <c r="R82" s="237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113"/>
      <c r="AM82" s="151">
        <f t="shared" si="7"/>
        <v>0</v>
      </c>
      <c r="AN82" s="43">
        <f t="shared" si="8"/>
        <v>0</v>
      </c>
      <c r="AO82" s="66">
        <f t="shared" si="9"/>
        <v>0</v>
      </c>
      <c r="AP82" s="66">
        <f t="shared" si="10"/>
        <v>0</v>
      </c>
      <c r="AQ82" s="66">
        <f t="shared" si="11"/>
        <v>0</v>
      </c>
      <c r="AR82" s="43">
        <f t="shared" si="12"/>
        <v>0</v>
      </c>
      <c r="AS82" s="43" t="s">
        <v>391</v>
      </c>
      <c r="AT82" s="68">
        <v>26</v>
      </c>
      <c r="AU82" s="39">
        <f t="shared" si="13"/>
        <v>0</v>
      </c>
    </row>
    <row r="83" s="105" customFormat="1" ht="19.5" customHeight="1" spans="1:47">
      <c r="A83" s="68">
        <v>73</v>
      </c>
      <c r="B83" s="154" t="s">
        <v>96</v>
      </c>
      <c r="C83" s="150" t="s">
        <v>59</v>
      </c>
      <c r="D83" s="152" t="s">
        <v>392</v>
      </c>
      <c r="E83" s="62"/>
      <c r="F83" s="62"/>
      <c r="G83" s="62"/>
      <c r="H83" s="62"/>
      <c r="I83" s="62"/>
      <c r="J83" s="62"/>
      <c r="K83" s="62"/>
      <c r="L83" s="62"/>
      <c r="M83" s="238"/>
      <c r="N83" s="238"/>
      <c r="O83" s="238"/>
      <c r="P83" s="238"/>
      <c r="Q83" s="238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113"/>
      <c r="AM83" s="151">
        <f t="shared" si="7"/>
        <v>0</v>
      </c>
      <c r="AN83" s="35">
        <f t="shared" si="8"/>
        <v>0</v>
      </c>
      <c r="AO83" s="35">
        <f t="shared" si="9"/>
        <v>0</v>
      </c>
      <c r="AP83" s="47">
        <f t="shared" si="10"/>
        <v>0</v>
      </c>
      <c r="AQ83" s="36">
        <f t="shared" si="11"/>
        <v>0</v>
      </c>
      <c r="AR83" s="35">
        <f t="shared" si="12"/>
        <v>0</v>
      </c>
      <c r="AS83" s="43" t="s">
        <v>382</v>
      </c>
      <c r="AT83" s="38">
        <v>26</v>
      </c>
      <c r="AU83" s="39">
        <f t="shared" si="13"/>
        <v>0</v>
      </c>
    </row>
    <row r="84" s="105" customFormat="1" ht="19.5" customHeight="1" spans="1:47">
      <c r="A84" s="68">
        <v>74</v>
      </c>
      <c r="B84" s="154" t="s">
        <v>97</v>
      </c>
      <c r="C84" s="150" t="s">
        <v>59</v>
      </c>
      <c r="D84" s="152" t="s">
        <v>277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113"/>
      <c r="AM84" s="151">
        <f t="shared" si="7"/>
        <v>0</v>
      </c>
      <c r="AN84" s="35">
        <f t="shared" si="8"/>
        <v>0</v>
      </c>
      <c r="AO84" s="35">
        <f t="shared" si="9"/>
        <v>0</v>
      </c>
      <c r="AP84" s="47">
        <f t="shared" si="10"/>
        <v>0</v>
      </c>
      <c r="AQ84" s="36">
        <f t="shared" si="11"/>
        <v>0</v>
      </c>
      <c r="AR84" s="37">
        <f t="shared" si="12"/>
        <v>0</v>
      </c>
      <c r="AS84" s="37" t="s">
        <v>278</v>
      </c>
      <c r="AT84" s="38">
        <v>26</v>
      </c>
      <c r="AU84" s="39">
        <f t="shared" si="13"/>
        <v>0</v>
      </c>
    </row>
    <row r="85" s="105" customFormat="1" ht="19.5" customHeight="1" spans="1:47">
      <c r="A85" s="68">
        <v>75</v>
      </c>
      <c r="B85" s="154" t="s">
        <v>98</v>
      </c>
      <c r="C85" s="150" t="s">
        <v>59</v>
      </c>
      <c r="D85" s="152" t="s">
        <v>352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113"/>
      <c r="AM85" s="151">
        <f t="shared" si="7"/>
        <v>0</v>
      </c>
      <c r="AN85" s="35">
        <f t="shared" si="8"/>
        <v>0</v>
      </c>
      <c r="AO85" s="36">
        <f t="shared" si="9"/>
        <v>0</v>
      </c>
      <c r="AP85" s="36">
        <f t="shared" si="10"/>
        <v>0</v>
      </c>
      <c r="AQ85" s="36">
        <f t="shared" si="11"/>
        <v>0</v>
      </c>
      <c r="AR85" s="37">
        <f t="shared" si="12"/>
        <v>0</v>
      </c>
      <c r="AS85" s="156" t="s">
        <v>275</v>
      </c>
      <c r="AT85" s="38">
        <v>26</v>
      </c>
      <c r="AU85" s="39">
        <f t="shared" si="13"/>
        <v>0</v>
      </c>
    </row>
    <row r="86" s="105" customFormat="1" ht="19.5" customHeight="1" spans="1:47">
      <c r="A86" s="68">
        <v>76</v>
      </c>
      <c r="B86" s="154" t="s">
        <v>99</v>
      </c>
      <c r="C86" s="150" t="s">
        <v>16</v>
      </c>
      <c r="D86" s="149" t="s">
        <v>350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113"/>
      <c r="AM86" s="151">
        <f t="shared" si="7"/>
        <v>0</v>
      </c>
      <c r="AN86" s="35">
        <f t="shared" si="8"/>
        <v>0</v>
      </c>
      <c r="AO86" s="36">
        <f t="shared" si="9"/>
        <v>0</v>
      </c>
      <c r="AP86" s="36">
        <f t="shared" si="10"/>
        <v>0</v>
      </c>
      <c r="AQ86" s="36">
        <f t="shared" si="11"/>
        <v>0</v>
      </c>
      <c r="AR86" s="37">
        <f t="shared" si="12"/>
        <v>0</v>
      </c>
      <c r="AS86" s="43" t="s">
        <v>336</v>
      </c>
      <c r="AT86" s="38">
        <v>26</v>
      </c>
      <c r="AU86" s="39">
        <f t="shared" si="13"/>
        <v>0</v>
      </c>
    </row>
    <row r="87" s="105" customFormat="1" ht="19.5" customHeight="1" spans="1:47">
      <c r="A87" s="68">
        <v>77</v>
      </c>
      <c r="B87" s="154" t="s">
        <v>100</v>
      </c>
      <c r="C87" s="150" t="s">
        <v>101</v>
      </c>
      <c r="D87" s="149" t="s">
        <v>231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113"/>
      <c r="AM87" s="151">
        <f t="shared" si="7"/>
        <v>0</v>
      </c>
      <c r="AN87" s="35">
        <f t="shared" si="8"/>
        <v>0</v>
      </c>
      <c r="AO87" s="35">
        <f t="shared" si="9"/>
        <v>0</v>
      </c>
      <c r="AP87" s="47">
        <f t="shared" si="10"/>
        <v>0</v>
      </c>
      <c r="AQ87" s="36">
        <f t="shared" si="11"/>
        <v>0</v>
      </c>
      <c r="AR87" s="37">
        <f t="shared" si="12"/>
        <v>0</v>
      </c>
      <c r="AS87" s="37" t="s">
        <v>216</v>
      </c>
      <c r="AT87" s="38">
        <v>26</v>
      </c>
      <c r="AU87" s="39">
        <f t="shared" si="13"/>
        <v>0</v>
      </c>
    </row>
    <row r="88" s="105" customFormat="1" ht="19.5" customHeight="1" spans="1:47">
      <c r="A88" s="68">
        <v>79</v>
      </c>
      <c r="B88" s="154" t="s">
        <v>104</v>
      </c>
      <c r="C88" s="150" t="s">
        <v>16</v>
      </c>
      <c r="D88" s="149" t="str">
        <f>VLOOKUP(B88,'[1]MASTER DATA 2025'!$C$3:$E$279,3,0)</f>
        <v>2Tahun10 Bulan</v>
      </c>
      <c r="E88" s="62"/>
      <c r="F88" s="62"/>
      <c r="G88" s="62" t="s">
        <v>40</v>
      </c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 t="s">
        <v>103</v>
      </c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113"/>
      <c r="AM88" s="151">
        <f t="shared" si="7"/>
        <v>0</v>
      </c>
      <c r="AN88" s="35">
        <f t="shared" si="8"/>
        <v>1</v>
      </c>
      <c r="AO88" s="36">
        <f t="shared" si="9"/>
        <v>1</v>
      </c>
      <c r="AP88" s="36">
        <f t="shared" si="10"/>
        <v>0</v>
      </c>
      <c r="AQ88" s="36">
        <f t="shared" si="11"/>
        <v>0</v>
      </c>
      <c r="AR88" s="37">
        <f t="shared" si="12"/>
        <v>2</v>
      </c>
      <c r="AS88" s="37"/>
      <c r="AT88" s="38">
        <v>26</v>
      </c>
      <c r="AU88" s="39">
        <f t="shared" si="13"/>
        <v>0.0769230769230769</v>
      </c>
    </row>
    <row r="89" s="105" customFormat="1" ht="19.5" customHeight="1" spans="1:47">
      <c r="A89" s="68">
        <v>80</v>
      </c>
      <c r="B89" s="154" t="s">
        <v>121</v>
      </c>
      <c r="C89" s="150" t="s">
        <v>16</v>
      </c>
      <c r="D89" s="149" t="str">
        <f>VLOOKUP(B89,'[1]MASTER DATA 2025'!$C$3:$E$279,3,0)</f>
        <v>0Tahun5 Bulan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113"/>
      <c r="AM89" s="151">
        <f t="shared" si="7"/>
        <v>0</v>
      </c>
      <c r="AN89" s="35">
        <f t="shared" si="8"/>
        <v>0</v>
      </c>
      <c r="AO89" s="36">
        <f t="shared" si="9"/>
        <v>0</v>
      </c>
      <c r="AP89" s="35">
        <f t="shared" si="10"/>
        <v>0</v>
      </c>
      <c r="AQ89" s="36">
        <f t="shared" si="11"/>
        <v>0</v>
      </c>
      <c r="AR89" s="37">
        <f t="shared" si="12"/>
        <v>0</v>
      </c>
      <c r="AS89" s="37" t="s">
        <v>25</v>
      </c>
      <c r="AT89" s="38">
        <v>26</v>
      </c>
      <c r="AU89" s="39">
        <f t="shared" si="13"/>
        <v>0</v>
      </c>
    </row>
    <row r="90" s="105" customFormat="1" ht="19.5" customHeight="1" spans="1:47">
      <c r="A90" s="68">
        <v>81</v>
      </c>
      <c r="B90" s="154" t="s">
        <v>106</v>
      </c>
      <c r="C90" s="150" t="s">
        <v>59</v>
      </c>
      <c r="D90" s="149" t="str">
        <f>VLOOKUP(B90,'[1]MASTER DATA 2025'!$C$3:$E$279,3,0)</f>
        <v>0Tahun8 Bulan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113"/>
      <c r="AM90" s="151">
        <f t="shared" si="7"/>
        <v>0</v>
      </c>
      <c r="AN90" s="35">
        <f t="shared" si="8"/>
        <v>0</v>
      </c>
      <c r="AO90" s="36">
        <f t="shared" si="9"/>
        <v>0</v>
      </c>
      <c r="AP90" s="35">
        <f t="shared" si="10"/>
        <v>0</v>
      </c>
      <c r="AQ90" s="36">
        <f t="shared" si="11"/>
        <v>0</v>
      </c>
      <c r="AR90" s="37">
        <f t="shared" si="12"/>
        <v>0</v>
      </c>
      <c r="AS90" s="49" t="s">
        <v>120</v>
      </c>
      <c r="AT90" s="38">
        <v>26</v>
      </c>
      <c r="AU90" s="39">
        <f t="shared" si="13"/>
        <v>0</v>
      </c>
    </row>
    <row r="91" s="105" customFormat="1" ht="19.5" customHeight="1" spans="1:47">
      <c r="A91" s="68">
        <v>82</v>
      </c>
      <c r="B91" s="154" t="s">
        <v>107</v>
      </c>
      <c r="C91" s="150" t="s">
        <v>108</v>
      </c>
      <c r="D91" s="149" t="s">
        <v>350</v>
      </c>
      <c r="E91" s="62"/>
      <c r="F91" s="62"/>
      <c r="G91" s="62"/>
      <c r="H91" s="62"/>
      <c r="I91" s="62"/>
      <c r="J91" s="62"/>
      <c r="K91" s="62"/>
      <c r="L91" s="62"/>
      <c r="M91" s="172" t="s">
        <v>11</v>
      </c>
      <c r="N91" s="172"/>
      <c r="O91" s="172"/>
      <c r="P91" s="172"/>
      <c r="Q91" s="172"/>
      <c r="R91" s="62"/>
      <c r="S91" s="62"/>
      <c r="T91" s="62"/>
      <c r="U91" s="62" t="s">
        <v>11</v>
      </c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113"/>
      <c r="AM91" s="151">
        <f t="shared" si="7"/>
        <v>0</v>
      </c>
      <c r="AN91" s="131">
        <f t="shared" si="8"/>
        <v>2</v>
      </c>
      <c r="AO91" s="103">
        <f t="shared" si="9"/>
        <v>0</v>
      </c>
      <c r="AP91" s="131">
        <f t="shared" si="10"/>
        <v>0</v>
      </c>
      <c r="AQ91" s="103">
        <f t="shared" si="11"/>
        <v>0</v>
      </c>
      <c r="AR91" s="128">
        <f t="shared" si="12"/>
        <v>2</v>
      </c>
      <c r="AS91" s="43" t="s">
        <v>382</v>
      </c>
      <c r="AT91" s="38"/>
      <c r="AU91" s="39"/>
    </row>
    <row r="92" s="105" customFormat="1" ht="19.5" customHeight="1" spans="1:47">
      <c r="A92" s="68">
        <v>83</v>
      </c>
      <c r="B92" s="154" t="s">
        <v>109</v>
      </c>
      <c r="C92" s="150" t="s">
        <v>16</v>
      </c>
      <c r="D92" s="149" t="s">
        <v>163</v>
      </c>
      <c r="E92" s="62"/>
      <c r="F92" s="62"/>
      <c r="G92" s="62"/>
      <c r="H92" s="62"/>
      <c r="I92" s="62"/>
      <c r="J92" s="62"/>
      <c r="K92" s="62"/>
      <c r="L92" s="236"/>
      <c r="M92" s="236" t="s">
        <v>11</v>
      </c>
      <c r="N92" s="236"/>
      <c r="O92" s="236"/>
      <c r="P92" s="180"/>
      <c r="Q92" s="180"/>
      <c r="R92" s="237"/>
      <c r="S92" s="62"/>
      <c r="T92" s="62"/>
      <c r="U92" s="62"/>
      <c r="V92" s="62"/>
      <c r="W92" s="62"/>
      <c r="X92" s="62"/>
      <c r="Y92" s="62"/>
      <c r="Z92" s="62" t="s">
        <v>11</v>
      </c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113"/>
      <c r="AM92" s="151">
        <f t="shared" si="7"/>
        <v>0</v>
      </c>
      <c r="AN92" s="43">
        <f t="shared" si="8"/>
        <v>2</v>
      </c>
      <c r="AO92" s="43">
        <f t="shared" si="9"/>
        <v>0</v>
      </c>
      <c r="AP92" s="43">
        <f t="shared" si="10"/>
        <v>0</v>
      </c>
      <c r="AQ92" s="66">
        <f t="shared" si="11"/>
        <v>0</v>
      </c>
      <c r="AR92" s="43">
        <f t="shared" si="12"/>
        <v>2</v>
      </c>
      <c r="AS92" s="43" t="s">
        <v>336</v>
      </c>
      <c r="AT92" s="68"/>
      <c r="AU92" s="39"/>
    </row>
    <row r="93" s="105" customFormat="1" ht="19.5" customHeight="1" spans="1:47">
      <c r="A93" s="68">
        <v>84</v>
      </c>
      <c r="B93" s="154" t="s">
        <v>110</v>
      </c>
      <c r="C93" s="164" t="s">
        <v>111</v>
      </c>
      <c r="D93" s="149" t="s">
        <v>205</v>
      </c>
      <c r="E93" s="62"/>
      <c r="F93" s="62"/>
      <c r="G93" s="62"/>
      <c r="H93" s="62"/>
      <c r="I93" s="62"/>
      <c r="J93" s="62"/>
      <c r="K93" s="62"/>
      <c r="L93" s="180"/>
      <c r="M93" s="238"/>
      <c r="N93" s="238"/>
      <c r="O93" s="238"/>
      <c r="P93" s="238"/>
      <c r="Q93" s="238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113"/>
      <c r="AM93" s="151">
        <f t="shared" si="7"/>
        <v>0</v>
      </c>
      <c r="AN93" s="35">
        <f t="shared" si="8"/>
        <v>0</v>
      </c>
      <c r="AO93" s="36">
        <f t="shared" si="9"/>
        <v>0</v>
      </c>
      <c r="AP93" s="36">
        <f t="shared" si="10"/>
        <v>0</v>
      </c>
      <c r="AQ93" s="36">
        <f t="shared" si="11"/>
        <v>0</v>
      </c>
      <c r="AR93" s="35">
        <f t="shared" si="12"/>
        <v>0</v>
      </c>
      <c r="AS93" s="43" t="s">
        <v>382</v>
      </c>
      <c r="AT93" s="38"/>
      <c r="AU93" s="39"/>
    </row>
    <row r="94" s="105" customFormat="1" ht="19.5" customHeight="1" spans="1:47">
      <c r="A94" s="68">
        <v>85</v>
      </c>
      <c r="B94" s="154" t="s">
        <v>113</v>
      </c>
      <c r="C94" s="164" t="s">
        <v>16</v>
      </c>
      <c r="D94" s="149" t="s">
        <v>163</v>
      </c>
      <c r="E94" s="62" t="s">
        <v>11</v>
      </c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113"/>
      <c r="AM94" s="151">
        <f t="shared" si="7"/>
        <v>0</v>
      </c>
      <c r="AN94" s="35">
        <f t="shared" si="8"/>
        <v>1</v>
      </c>
      <c r="AO94" s="35">
        <f t="shared" si="9"/>
        <v>0</v>
      </c>
      <c r="AP94" s="35">
        <f t="shared" si="10"/>
        <v>0</v>
      </c>
      <c r="AQ94" s="36">
        <f t="shared" si="11"/>
        <v>0</v>
      </c>
      <c r="AR94" s="37">
        <f t="shared" si="12"/>
        <v>1</v>
      </c>
      <c r="AS94" s="147" t="s">
        <v>428</v>
      </c>
      <c r="AT94" s="38">
        <v>26</v>
      </c>
      <c r="AU94" s="39">
        <f t="shared" ref="AU94:AU100" si="14">AR94/AT94</f>
        <v>0.0384615384615385</v>
      </c>
    </row>
    <row r="95" s="105" customFormat="1" ht="19.5" customHeight="1" spans="1:47">
      <c r="A95" s="68">
        <v>86</v>
      </c>
      <c r="B95" s="154" t="s">
        <v>114</v>
      </c>
      <c r="C95" s="164" t="s">
        <v>16</v>
      </c>
      <c r="D95" s="149" t="s">
        <v>163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 t="s">
        <v>11</v>
      </c>
      <c r="Q95" s="62"/>
      <c r="R95" s="62"/>
      <c r="S95" s="62"/>
      <c r="T95" s="62"/>
      <c r="U95" s="62"/>
      <c r="V95" s="62"/>
      <c r="W95" s="62"/>
      <c r="X95" s="62"/>
      <c r="Y95" s="62"/>
      <c r="Z95" s="62" t="s">
        <v>11</v>
      </c>
      <c r="AA95" s="62" t="s">
        <v>11</v>
      </c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113"/>
      <c r="AM95" s="151">
        <f t="shared" si="7"/>
        <v>0</v>
      </c>
      <c r="AN95" s="35">
        <f t="shared" si="8"/>
        <v>3</v>
      </c>
      <c r="AO95" s="36">
        <f t="shared" si="9"/>
        <v>0</v>
      </c>
      <c r="AP95" s="36">
        <f t="shared" si="10"/>
        <v>0</v>
      </c>
      <c r="AQ95" s="36">
        <f t="shared" si="11"/>
        <v>0</v>
      </c>
      <c r="AR95" s="37">
        <f t="shared" si="12"/>
        <v>3</v>
      </c>
      <c r="AS95" s="43" t="s">
        <v>193</v>
      </c>
      <c r="AT95" s="38">
        <v>26</v>
      </c>
      <c r="AU95" s="39">
        <f t="shared" si="14"/>
        <v>0.115384615384615</v>
      </c>
    </row>
    <row r="96" s="105" customFormat="1" ht="19.5" customHeight="1" spans="1:47">
      <c r="A96" s="68">
        <v>87</v>
      </c>
      <c r="B96" s="154" t="s">
        <v>115</v>
      </c>
      <c r="C96" s="164" t="s">
        <v>16</v>
      </c>
      <c r="D96" s="149" t="str">
        <f>VLOOKUP(B96,'[1]MASTER DATA 2025'!$C$3:$E$279,3,0)</f>
        <v>0Tahun1 Bulan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113"/>
      <c r="AM96" s="151">
        <f t="shared" si="7"/>
        <v>0</v>
      </c>
      <c r="AN96" s="35">
        <f t="shared" si="8"/>
        <v>0</v>
      </c>
      <c r="AO96" s="36">
        <f t="shared" si="9"/>
        <v>0</v>
      </c>
      <c r="AP96" s="36">
        <f t="shared" si="10"/>
        <v>0</v>
      </c>
      <c r="AQ96" s="36">
        <f t="shared" si="11"/>
        <v>0</v>
      </c>
      <c r="AR96" s="37">
        <f t="shared" si="12"/>
        <v>0</v>
      </c>
      <c r="AS96" s="37" t="s">
        <v>228</v>
      </c>
      <c r="AT96" s="38">
        <v>26</v>
      </c>
      <c r="AU96" s="39">
        <f t="shared" si="14"/>
        <v>0</v>
      </c>
    </row>
    <row r="97" s="105" customFormat="1" ht="19.5" customHeight="1" spans="1:47">
      <c r="A97" s="68">
        <v>88</v>
      </c>
      <c r="B97" s="154" t="s">
        <v>122</v>
      </c>
      <c r="C97" s="164" t="s">
        <v>20</v>
      </c>
      <c r="D97" s="149" t="str">
        <f>VLOOKUP(B97,'[1]MASTER DATA 2025'!$C$3:$E$279,3,0)</f>
        <v>0Tahun2 Bulan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113"/>
      <c r="AM97" s="151">
        <f t="shared" si="7"/>
        <v>0</v>
      </c>
      <c r="AN97" s="35">
        <f t="shared" si="8"/>
        <v>0</v>
      </c>
      <c r="AO97" s="35">
        <f t="shared" si="9"/>
        <v>0</v>
      </c>
      <c r="AP97" s="47">
        <f t="shared" si="10"/>
        <v>0</v>
      </c>
      <c r="AQ97" s="36">
        <f t="shared" si="11"/>
        <v>0</v>
      </c>
      <c r="AR97" s="48">
        <f t="shared" si="12"/>
        <v>0</v>
      </c>
      <c r="AS97" s="37" t="s">
        <v>228</v>
      </c>
      <c r="AT97" s="38">
        <v>26</v>
      </c>
      <c r="AU97" s="39">
        <f t="shared" si="14"/>
        <v>0</v>
      </c>
    </row>
    <row r="98" s="105" customFormat="1" ht="19.5" customHeight="1" spans="1:47">
      <c r="A98" s="68">
        <v>89</v>
      </c>
      <c r="B98" s="154" t="s">
        <v>123</v>
      </c>
      <c r="C98" s="164" t="s">
        <v>124</v>
      </c>
      <c r="D98" s="149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113"/>
      <c r="AM98" s="151">
        <f t="shared" si="7"/>
        <v>0</v>
      </c>
      <c r="AN98" s="47">
        <f t="shared" si="8"/>
        <v>0</v>
      </c>
      <c r="AO98" s="35">
        <f t="shared" si="9"/>
        <v>0</v>
      </c>
      <c r="AP98" s="35">
        <f t="shared" si="10"/>
        <v>0</v>
      </c>
      <c r="AQ98" s="36">
        <f t="shared" si="11"/>
        <v>0</v>
      </c>
      <c r="AR98" s="48">
        <f t="shared" si="12"/>
        <v>0</v>
      </c>
      <c r="AS98" s="49" t="s">
        <v>125</v>
      </c>
      <c r="AT98" s="38">
        <v>26</v>
      </c>
      <c r="AU98" s="39">
        <f t="shared" si="14"/>
        <v>0</v>
      </c>
    </row>
    <row r="99" s="105" customFormat="1" ht="19.5" customHeight="1" spans="1:47">
      <c r="A99" s="68">
        <v>90</v>
      </c>
      <c r="B99" s="154" t="s">
        <v>126</v>
      </c>
      <c r="C99" s="164" t="s">
        <v>16</v>
      </c>
      <c r="D99" s="149" t="str">
        <f>VLOOKUP(B99,'[1]MASTER DATA 2025'!$C$3:$E$279,3,0)</f>
        <v>0Tahun7 Bulan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113"/>
      <c r="AM99" s="151">
        <f t="shared" si="7"/>
        <v>0</v>
      </c>
      <c r="AN99" s="35">
        <f t="shared" si="8"/>
        <v>0</v>
      </c>
      <c r="AO99" s="35">
        <f t="shared" si="9"/>
        <v>0</v>
      </c>
      <c r="AP99" s="47">
        <f t="shared" si="10"/>
        <v>0</v>
      </c>
      <c r="AQ99" s="36">
        <f t="shared" si="11"/>
        <v>0</v>
      </c>
      <c r="AR99" s="37">
        <f t="shared" si="12"/>
        <v>0</v>
      </c>
      <c r="AS99" s="49">
        <v>45946</v>
      </c>
      <c r="AT99" s="38">
        <v>26</v>
      </c>
      <c r="AU99" s="39">
        <f t="shared" si="14"/>
        <v>0</v>
      </c>
    </row>
    <row r="100" s="105" customFormat="1" ht="19.5" customHeight="1" spans="1:47">
      <c r="A100" s="68">
        <v>91</v>
      </c>
      <c r="B100" s="154" t="s">
        <v>436</v>
      </c>
      <c r="C100" s="164" t="s">
        <v>101</v>
      </c>
      <c r="D100" s="149" t="s">
        <v>178</v>
      </c>
      <c r="E100" s="62"/>
      <c r="F100" s="62" t="s">
        <v>11</v>
      </c>
      <c r="G100" s="62"/>
      <c r="H100" s="62"/>
      <c r="I100" s="62"/>
      <c r="J100" s="62"/>
      <c r="K100" s="62" t="s">
        <v>11</v>
      </c>
      <c r="L100" s="62"/>
      <c r="M100" s="62" t="s">
        <v>13</v>
      </c>
      <c r="N100" s="62"/>
      <c r="O100" s="62"/>
      <c r="P100" s="62"/>
      <c r="Q100" s="62"/>
      <c r="R100" s="62" t="s">
        <v>12</v>
      </c>
      <c r="S100" s="62"/>
      <c r="T100" s="62"/>
      <c r="U100" s="62"/>
      <c r="V100" s="62"/>
      <c r="W100" s="62" t="s">
        <v>13</v>
      </c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113"/>
      <c r="AM100" s="151">
        <f t="shared" si="7"/>
        <v>0</v>
      </c>
      <c r="AN100" s="47">
        <f t="shared" si="8"/>
        <v>2</v>
      </c>
      <c r="AO100" s="35">
        <f t="shared" si="9"/>
        <v>1</v>
      </c>
      <c r="AP100" s="35">
        <f t="shared" si="10"/>
        <v>2</v>
      </c>
      <c r="AQ100" s="36">
        <f t="shared" si="11"/>
        <v>0</v>
      </c>
      <c r="AR100" s="48">
        <f t="shared" si="12"/>
        <v>5</v>
      </c>
      <c r="AS100" s="43" t="s">
        <v>193</v>
      </c>
      <c r="AT100" s="38">
        <v>26</v>
      </c>
      <c r="AU100" s="39">
        <f t="shared" si="14"/>
        <v>0.192307692307692</v>
      </c>
    </row>
    <row r="101" s="105" customFormat="1" ht="19.5" customHeight="1" spans="1:47">
      <c r="A101" s="68">
        <v>92</v>
      </c>
      <c r="B101" s="154" t="s">
        <v>129</v>
      </c>
      <c r="C101" s="164" t="s">
        <v>235</v>
      </c>
      <c r="D101" s="149" t="s">
        <v>236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113"/>
      <c r="AM101" s="151">
        <f t="shared" si="7"/>
        <v>0</v>
      </c>
      <c r="AN101" s="35">
        <f t="shared" si="8"/>
        <v>0</v>
      </c>
      <c r="AO101" s="36">
        <f t="shared" si="9"/>
        <v>0</v>
      </c>
      <c r="AP101" s="35">
        <f t="shared" si="10"/>
        <v>0</v>
      </c>
      <c r="AQ101" s="36">
        <f t="shared" si="11"/>
        <v>0</v>
      </c>
      <c r="AR101" s="37">
        <f t="shared" si="12"/>
        <v>0</v>
      </c>
      <c r="AS101" s="37" t="s">
        <v>228</v>
      </c>
      <c r="AT101" s="38"/>
      <c r="AU101" s="39"/>
    </row>
    <row r="102" s="105" customFormat="1" ht="19.5" customHeight="1" spans="1:47">
      <c r="A102" s="68">
        <v>93</v>
      </c>
      <c r="B102" s="154" t="s">
        <v>130</v>
      </c>
      <c r="C102" s="164" t="s">
        <v>131</v>
      </c>
      <c r="D102" s="149" t="str">
        <f>VLOOKUP(B102,'[1]MASTER DATA 2025'!$C$3:$E$279,3,0)</f>
        <v>3Tahun1 Bulan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113"/>
      <c r="AM102" s="151">
        <f t="shared" si="7"/>
        <v>0</v>
      </c>
      <c r="AN102" s="35">
        <f t="shared" si="8"/>
        <v>0</v>
      </c>
      <c r="AO102" s="35">
        <f t="shared" si="9"/>
        <v>0</v>
      </c>
      <c r="AP102" s="35">
        <f t="shared" si="10"/>
        <v>0</v>
      </c>
      <c r="AQ102" s="36">
        <f t="shared" si="11"/>
        <v>0</v>
      </c>
      <c r="AR102" s="37">
        <f t="shared" si="12"/>
        <v>0</v>
      </c>
      <c r="AS102" s="37"/>
      <c r="AT102" s="38"/>
      <c r="AU102" s="39"/>
    </row>
    <row r="103" s="105" customFormat="1" ht="19.5" customHeight="1" spans="1:47">
      <c r="A103" s="68">
        <v>94</v>
      </c>
      <c r="B103" s="154" t="s">
        <v>132</v>
      </c>
      <c r="C103" s="164" t="s">
        <v>16</v>
      </c>
      <c r="D103" s="149" t="str">
        <f>VLOOKUP(B103,'[1]MASTER DATA 2025'!$C$3:$E$279,3,0)</f>
        <v>0Tahun1 Bulan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113"/>
      <c r="AM103" s="151">
        <f t="shared" si="7"/>
        <v>0</v>
      </c>
      <c r="AN103" s="35">
        <f t="shared" si="8"/>
        <v>0</v>
      </c>
      <c r="AO103" s="36">
        <f t="shared" si="9"/>
        <v>0</v>
      </c>
      <c r="AP103" s="35">
        <f t="shared" si="10"/>
        <v>0</v>
      </c>
      <c r="AQ103" s="36">
        <f t="shared" si="11"/>
        <v>0</v>
      </c>
      <c r="AR103" s="37">
        <f t="shared" si="12"/>
        <v>0</v>
      </c>
      <c r="AS103" s="37" t="s">
        <v>25</v>
      </c>
      <c r="AT103" s="38">
        <v>26</v>
      </c>
      <c r="AU103" s="39">
        <f t="shared" ref="AU103:AU108" si="15">AR103/AT103</f>
        <v>0</v>
      </c>
    </row>
    <row r="104" s="105" customFormat="1" ht="19.5" customHeight="1" spans="1:47">
      <c r="A104" s="68">
        <v>95</v>
      </c>
      <c r="B104" s="154" t="s">
        <v>133</v>
      </c>
      <c r="C104" s="164" t="s">
        <v>16</v>
      </c>
      <c r="D104" s="149" t="s">
        <v>267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113"/>
      <c r="AM104" s="151">
        <f t="shared" si="7"/>
        <v>0</v>
      </c>
      <c r="AN104" s="35">
        <f t="shared" si="8"/>
        <v>0</v>
      </c>
      <c r="AO104" s="36">
        <f t="shared" si="9"/>
        <v>0</v>
      </c>
      <c r="AP104" s="36">
        <f t="shared" si="10"/>
        <v>0</v>
      </c>
      <c r="AQ104" s="36">
        <f t="shared" si="11"/>
        <v>0</v>
      </c>
      <c r="AR104" s="37">
        <f t="shared" si="12"/>
        <v>0</v>
      </c>
      <c r="AS104" s="43" t="s">
        <v>193</v>
      </c>
      <c r="AT104" s="38">
        <v>26</v>
      </c>
      <c r="AU104" s="39">
        <f t="shared" si="15"/>
        <v>0</v>
      </c>
    </row>
    <row r="105" s="105" customFormat="1" ht="19.5" customHeight="1" spans="1:47">
      <c r="A105" s="68">
        <v>96</v>
      </c>
      <c r="B105" s="154" t="s">
        <v>134</v>
      </c>
      <c r="C105" s="164" t="s">
        <v>16</v>
      </c>
      <c r="D105" s="152" t="s">
        <v>238</v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113"/>
      <c r="AM105" s="151">
        <f t="shared" si="7"/>
        <v>0</v>
      </c>
      <c r="AN105" s="35">
        <f t="shared" si="8"/>
        <v>0</v>
      </c>
      <c r="AO105" s="36">
        <f t="shared" si="9"/>
        <v>0</v>
      </c>
      <c r="AP105" s="36">
        <f t="shared" si="10"/>
        <v>0</v>
      </c>
      <c r="AQ105" s="36">
        <f t="shared" si="11"/>
        <v>0</v>
      </c>
      <c r="AR105" s="37">
        <f t="shared" si="12"/>
        <v>0</v>
      </c>
      <c r="AS105" s="43" t="s">
        <v>336</v>
      </c>
      <c r="AT105" s="38">
        <v>26</v>
      </c>
      <c r="AU105" s="39">
        <f t="shared" si="15"/>
        <v>0</v>
      </c>
    </row>
    <row r="106" s="105" customFormat="1" ht="19.5" customHeight="1" spans="1:47">
      <c r="A106" s="68">
        <v>97</v>
      </c>
      <c r="B106" s="154" t="s">
        <v>135</v>
      </c>
      <c r="C106" s="164" t="s">
        <v>16</v>
      </c>
      <c r="D106" s="149" t="s">
        <v>394</v>
      </c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 t="s">
        <v>11</v>
      </c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113"/>
      <c r="AM106" s="151">
        <f t="shared" si="7"/>
        <v>0</v>
      </c>
      <c r="AN106" s="47">
        <f t="shared" si="8"/>
        <v>1</v>
      </c>
      <c r="AO106" s="35">
        <f t="shared" si="9"/>
        <v>0</v>
      </c>
      <c r="AP106" s="35">
        <f t="shared" si="10"/>
        <v>0</v>
      </c>
      <c r="AQ106" s="36">
        <f t="shared" si="11"/>
        <v>0</v>
      </c>
      <c r="AR106" s="37">
        <f t="shared" si="12"/>
        <v>1</v>
      </c>
      <c r="AS106" s="43" t="s">
        <v>193</v>
      </c>
      <c r="AT106" s="38">
        <v>26</v>
      </c>
      <c r="AU106" s="39">
        <f t="shared" si="15"/>
        <v>0.0384615384615385</v>
      </c>
    </row>
    <row r="107" s="105" customFormat="1" ht="19.5" customHeight="1" spans="1:47">
      <c r="A107" s="68">
        <v>98</v>
      </c>
      <c r="B107" s="154" t="s">
        <v>137</v>
      </c>
      <c r="C107" s="164" t="s">
        <v>16</v>
      </c>
      <c r="D107" s="149" t="str">
        <f>VLOOKUP(B107,'[1]MASTER DATA 2025'!$C$3:$E$279,3,0)</f>
        <v>1Tahun7 Bulan</v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  <c r="AL107" s="113"/>
      <c r="AM107" s="151">
        <f t="shared" si="7"/>
        <v>0</v>
      </c>
      <c r="AN107" s="35">
        <f t="shared" si="8"/>
        <v>0</v>
      </c>
      <c r="AO107" s="35">
        <f t="shared" si="9"/>
        <v>0</v>
      </c>
      <c r="AP107" s="36">
        <f t="shared" si="10"/>
        <v>0</v>
      </c>
      <c r="AQ107" s="36">
        <f t="shared" si="11"/>
        <v>0</v>
      </c>
      <c r="AR107" s="37">
        <f t="shared" si="12"/>
        <v>0</v>
      </c>
      <c r="AS107" s="37"/>
      <c r="AT107" s="38">
        <v>26</v>
      </c>
      <c r="AU107" s="39">
        <f t="shared" si="15"/>
        <v>0</v>
      </c>
    </row>
    <row r="108" s="105" customFormat="1" ht="19.5" customHeight="1" spans="1:47">
      <c r="A108" s="68">
        <v>99</v>
      </c>
      <c r="B108" s="154" t="s">
        <v>138</v>
      </c>
      <c r="C108" s="150" t="s">
        <v>101</v>
      </c>
      <c r="D108" s="149" t="str">
        <f>VLOOKUP(B108,'[1]MASTER DATA 2025'!$C$3:$E$279,3,0)</f>
        <v>1Tahun1 Bulan</v>
      </c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113"/>
      <c r="AM108" s="151">
        <f t="shared" si="7"/>
        <v>0</v>
      </c>
      <c r="AN108" s="35">
        <f t="shared" si="8"/>
        <v>0</v>
      </c>
      <c r="AO108" s="36">
        <f t="shared" si="9"/>
        <v>0</v>
      </c>
      <c r="AP108" s="35">
        <f t="shared" si="10"/>
        <v>0</v>
      </c>
      <c r="AQ108" s="36">
        <f t="shared" si="11"/>
        <v>0</v>
      </c>
      <c r="AR108" s="37">
        <f t="shared" si="12"/>
        <v>0</v>
      </c>
      <c r="AS108" s="37" t="s">
        <v>228</v>
      </c>
      <c r="AT108" s="38">
        <v>26</v>
      </c>
      <c r="AU108" s="39">
        <f t="shared" si="15"/>
        <v>0</v>
      </c>
    </row>
    <row r="109" s="105" customFormat="1" ht="19.5" customHeight="1" spans="1:47">
      <c r="A109" s="68">
        <v>100</v>
      </c>
      <c r="B109" s="154" t="s">
        <v>139</v>
      </c>
      <c r="C109" s="164" t="s">
        <v>16</v>
      </c>
      <c r="D109" s="152" t="s">
        <v>356</v>
      </c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 t="s">
        <v>11</v>
      </c>
      <c r="AK109" s="62"/>
      <c r="AL109" s="113"/>
      <c r="AM109" s="151">
        <f t="shared" si="7"/>
        <v>0</v>
      </c>
      <c r="AN109" s="35">
        <f t="shared" si="8"/>
        <v>1</v>
      </c>
      <c r="AO109" s="36">
        <f t="shared" si="9"/>
        <v>0</v>
      </c>
      <c r="AP109" s="35">
        <f t="shared" si="10"/>
        <v>0</v>
      </c>
      <c r="AQ109" s="36">
        <f t="shared" si="11"/>
        <v>0</v>
      </c>
      <c r="AR109" s="37">
        <f t="shared" si="12"/>
        <v>1</v>
      </c>
      <c r="AS109" s="156" t="s">
        <v>275</v>
      </c>
      <c r="AT109" s="38"/>
      <c r="AU109" s="39"/>
    </row>
    <row r="110" s="105" customFormat="1" ht="19.5" customHeight="1" spans="1:47">
      <c r="A110" s="68">
        <v>101</v>
      </c>
      <c r="B110" s="154" t="s">
        <v>140</v>
      </c>
      <c r="C110" s="164" t="s">
        <v>16</v>
      </c>
      <c r="D110" s="149" t="str">
        <f>VLOOKUP(B110,'[1]MASTER DATA 2025'!$C$3:$E$279,3,0)</f>
        <v>2Tahun2 Bulan</v>
      </c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113"/>
      <c r="AM110" s="151">
        <f t="shared" si="7"/>
        <v>0</v>
      </c>
      <c r="AN110" s="35">
        <f t="shared" si="8"/>
        <v>0</v>
      </c>
      <c r="AO110" s="36">
        <f t="shared" si="9"/>
        <v>0</v>
      </c>
      <c r="AP110" s="35">
        <f t="shared" si="10"/>
        <v>0</v>
      </c>
      <c r="AQ110" s="36">
        <f t="shared" si="11"/>
        <v>0</v>
      </c>
      <c r="AR110" s="37">
        <f t="shared" si="12"/>
        <v>0</v>
      </c>
      <c r="AS110" s="37" t="s">
        <v>25</v>
      </c>
      <c r="AT110" s="38"/>
      <c r="AU110" s="39"/>
    </row>
    <row r="111" s="105" customFormat="1" ht="19.5" customHeight="1" spans="1:47">
      <c r="A111" s="68">
        <v>102</v>
      </c>
      <c r="B111" s="154" t="s">
        <v>141</v>
      </c>
      <c r="C111" s="164" t="s">
        <v>20</v>
      </c>
      <c r="D111" s="149" t="str">
        <f>VLOOKUP(B111,'[1]MASTER DATA 2025'!$C$3:$E$279,3,0)</f>
        <v>0Tahun1 Bulan</v>
      </c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113"/>
      <c r="AM111" s="151">
        <f t="shared" si="7"/>
        <v>0</v>
      </c>
      <c r="AN111" s="35">
        <f t="shared" si="8"/>
        <v>0</v>
      </c>
      <c r="AO111" s="36">
        <f t="shared" si="9"/>
        <v>0</v>
      </c>
      <c r="AP111" s="35">
        <f t="shared" si="10"/>
        <v>0</v>
      </c>
      <c r="AQ111" s="36">
        <f t="shared" si="11"/>
        <v>0</v>
      </c>
      <c r="AR111" s="37">
        <f t="shared" si="12"/>
        <v>0</v>
      </c>
      <c r="AS111" s="49">
        <v>45967</v>
      </c>
      <c r="AT111" s="38">
        <v>26</v>
      </c>
      <c r="AU111" s="39">
        <f t="shared" ref="AU111:AU116" si="16">AR111/AT111</f>
        <v>0</v>
      </c>
    </row>
    <row r="112" s="105" customFormat="1" ht="19.5" customHeight="1" spans="1:47">
      <c r="A112" s="68">
        <v>103</v>
      </c>
      <c r="B112" s="154" t="s">
        <v>142</v>
      </c>
      <c r="C112" s="164" t="s">
        <v>20</v>
      </c>
      <c r="D112" s="149" t="str">
        <f>VLOOKUP(B112,'[1]MASTER DATA 2025'!$C$3:$E$279,3,0)</f>
        <v>0Tahun2 Bulan</v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113"/>
      <c r="AM112" s="151">
        <f t="shared" si="7"/>
        <v>0</v>
      </c>
      <c r="AN112" s="35">
        <f t="shared" si="8"/>
        <v>0</v>
      </c>
      <c r="AO112" s="35">
        <f t="shared" si="9"/>
        <v>0</v>
      </c>
      <c r="AP112" s="47">
        <f t="shared" si="10"/>
        <v>0</v>
      </c>
      <c r="AQ112" s="36">
        <f t="shared" si="11"/>
        <v>0</v>
      </c>
      <c r="AR112" s="37">
        <f t="shared" si="12"/>
        <v>0</v>
      </c>
      <c r="AS112" s="37" t="s">
        <v>173</v>
      </c>
      <c r="AT112" s="38">
        <v>26</v>
      </c>
      <c r="AU112" s="39">
        <f t="shared" si="16"/>
        <v>0</v>
      </c>
    </row>
    <row r="113" s="105" customFormat="1" ht="19.5" customHeight="1" spans="1:47">
      <c r="A113" s="68">
        <v>104</v>
      </c>
      <c r="B113" s="154" t="s">
        <v>143</v>
      </c>
      <c r="C113" s="164" t="s">
        <v>61</v>
      </c>
      <c r="D113" s="149" t="str">
        <f>VLOOKUP(B113,'[1]MASTER DATA 2025'!$C$3:$E$279,3,0)</f>
        <v>0Tahun9 Bulan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113"/>
      <c r="AM113" s="151">
        <f t="shared" si="7"/>
        <v>0</v>
      </c>
      <c r="AN113" s="47">
        <f t="shared" si="8"/>
        <v>0</v>
      </c>
      <c r="AO113" s="35">
        <f t="shared" si="9"/>
        <v>0</v>
      </c>
      <c r="AP113" s="35">
        <f t="shared" si="10"/>
        <v>0</v>
      </c>
      <c r="AQ113" s="36">
        <f t="shared" si="11"/>
        <v>0</v>
      </c>
      <c r="AR113" s="48">
        <f t="shared" si="12"/>
        <v>0</v>
      </c>
      <c r="AS113" s="156" t="s">
        <v>275</v>
      </c>
      <c r="AT113" s="38">
        <v>26</v>
      </c>
      <c r="AU113" s="39">
        <f t="shared" si="16"/>
        <v>0</v>
      </c>
    </row>
    <row r="114" s="105" customFormat="1" ht="19.5" customHeight="1" spans="1:47">
      <c r="A114" s="68">
        <v>105</v>
      </c>
      <c r="B114" s="154" t="s">
        <v>144</v>
      </c>
      <c r="C114" s="164" t="s">
        <v>357</v>
      </c>
      <c r="D114" s="149" t="s">
        <v>236</v>
      </c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113"/>
      <c r="AM114" s="151">
        <f t="shared" si="7"/>
        <v>0</v>
      </c>
      <c r="AN114" s="35">
        <f t="shared" si="8"/>
        <v>0</v>
      </c>
      <c r="AO114" s="35">
        <f t="shared" si="9"/>
        <v>0</v>
      </c>
      <c r="AP114" s="35">
        <f t="shared" si="10"/>
        <v>0</v>
      </c>
      <c r="AQ114" s="36">
        <f t="shared" si="11"/>
        <v>0</v>
      </c>
      <c r="AR114" s="37">
        <f t="shared" si="12"/>
        <v>0</v>
      </c>
      <c r="AS114" s="37" t="s">
        <v>171</v>
      </c>
      <c r="AT114" s="38">
        <v>26</v>
      </c>
      <c r="AU114" s="39">
        <f t="shared" si="16"/>
        <v>0</v>
      </c>
    </row>
    <row r="115" s="105" customFormat="1" ht="19.5" customHeight="1" spans="1:47">
      <c r="A115" s="68">
        <v>106</v>
      </c>
      <c r="B115" s="154" t="s">
        <v>145</v>
      </c>
      <c r="C115" s="164" t="s">
        <v>16</v>
      </c>
      <c r="D115" s="149" t="s">
        <v>267</v>
      </c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113"/>
      <c r="AM115" s="151">
        <f t="shared" si="7"/>
        <v>0</v>
      </c>
      <c r="AN115" s="35">
        <f t="shared" si="8"/>
        <v>0</v>
      </c>
      <c r="AO115" s="35">
        <f t="shared" si="9"/>
        <v>0</v>
      </c>
      <c r="AP115" s="35">
        <f t="shared" si="10"/>
        <v>0</v>
      </c>
      <c r="AQ115" s="36">
        <f t="shared" si="11"/>
        <v>0</v>
      </c>
      <c r="AR115" s="37">
        <f t="shared" si="12"/>
        <v>0</v>
      </c>
      <c r="AS115" s="43"/>
      <c r="AT115" s="38">
        <v>26</v>
      </c>
      <c r="AU115" s="39">
        <f t="shared" si="16"/>
        <v>0</v>
      </c>
    </row>
    <row r="116" s="105" customFormat="1" ht="19.5" customHeight="1" spans="1:47">
      <c r="A116" s="68">
        <v>107</v>
      </c>
      <c r="B116" s="154" t="s">
        <v>146</v>
      </c>
      <c r="C116" s="164" t="s">
        <v>16</v>
      </c>
      <c r="D116" s="149" t="str">
        <f>VLOOKUP(B116,'[1]MASTER DATA 2025'!$C$3:$E$279,3,0)</f>
        <v>1Tahun1 Bulan</v>
      </c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113"/>
      <c r="AM116" s="151">
        <f t="shared" si="7"/>
        <v>0</v>
      </c>
      <c r="AN116" s="47">
        <f t="shared" si="8"/>
        <v>0</v>
      </c>
      <c r="AO116" s="35">
        <f t="shared" si="9"/>
        <v>0</v>
      </c>
      <c r="AP116" s="35">
        <f t="shared" si="10"/>
        <v>0</v>
      </c>
      <c r="AQ116" s="36">
        <f t="shared" si="11"/>
        <v>0</v>
      </c>
      <c r="AR116" s="48">
        <f t="shared" si="12"/>
        <v>0</v>
      </c>
      <c r="AS116" s="37" t="s">
        <v>228</v>
      </c>
      <c r="AT116" s="38">
        <v>26</v>
      </c>
      <c r="AU116" s="39">
        <f t="shared" si="16"/>
        <v>0</v>
      </c>
    </row>
    <row r="117" s="105" customFormat="1" ht="19.5" customHeight="1" spans="1:47">
      <c r="A117" s="68">
        <v>108</v>
      </c>
      <c r="B117" s="154" t="s">
        <v>147</v>
      </c>
      <c r="C117" s="164" t="s">
        <v>240</v>
      </c>
      <c r="D117" s="149" t="s">
        <v>205</v>
      </c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113"/>
      <c r="AM117" s="151">
        <f t="shared" si="7"/>
        <v>0</v>
      </c>
      <c r="AN117" s="47">
        <f t="shared" si="8"/>
        <v>0</v>
      </c>
      <c r="AO117" s="35">
        <f t="shared" si="9"/>
        <v>0</v>
      </c>
      <c r="AP117" s="35">
        <f t="shared" si="10"/>
        <v>0</v>
      </c>
      <c r="AQ117" s="36">
        <f t="shared" si="11"/>
        <v>0</v>
      </c>
      <c r="AR117" s="48">
        <f t="shared" si="12"/>
        <v>0</v>
      </c>
      <c r="AS117" s="37" t="s">
        <v>228</v>
      </c>
      <c r="AT117" s="38"/>
      <c r="AU117" s="39"/>
    </row>
    <row r="118" s="105" customFormat="1" ht="19.5" customHeight="1" spans="1:47">
      <c r="A118" s="68">
        <v>109</v>
      </c>
      <c r="B118" s="154" t="s">
        <v>148</v>
      </c>
      <c r="C118" s="164" t="s">
        <v>16</v>
      </c>
      <c r="D118" s="152" t="s">
        <v>163</v>
      </c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 t="s">
        <v>11</v>
      </c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113"/>
      <c r="AM118" s="151">
        <f t="shared" si="7"/>
        <v>0</v>
      </c>
      <c r="AN118" s="35">
        <f t="shared" si="8"/>
        <v>1</v>
      </c>
      <c r="AO118" s="36">
        <f t="shared" si="9"/>
        <v>0</v>
      </c>
      <c r="AP118" s="35">
        <f t="shared" si="10"/>
        <v>0</v>
      </c>
      <c r="AQ118" s="36">
        <f t="shared" si="11"/>
        <v>0</v>
      </c>
      <c r="AR118" s="37">
        <f t="shared" si="12"/>
        <v>1</v>
      </c>
      <c r="AS118" s="43" t="s">
        <v>193</v>
      </c>
      <c r="AT118" s="38"/>
      <c r="AU118" s="39"/>
    </row>
    <row r="119" s="105" customFormat="1" ht="19.5" customHeight="1" spans="1:47">
      <c r="A119" s="68">
        <v>110</v>
      </c>
      <c r="B119" s="154" t="s">
        <v>149</v>
      </c>
      <c r="C119" s="164" t="s">
        <v>16</v>
      </c>
      <c r="D119" s="152" t="s">
        <v>219</v>
      </c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113"/>
      <c r="AM119" s="151">
        <f t="shared" si="7"/>
        <v>0</v>
      </c>
      <c r="AN119" s="35">
        <f t="shared" si="8"/>
        <v>0</v>
      </c>
      <c r="AO119" s="36">
        <f t="shared" si="9"/>
        <v>0</v>
      </c>
      <c r="AP119" s="35">
        <f t="shared" si="10"/>
        <v>0</v>
      </c>
      <c r="AQ119" s="36">
        <f t="shared" si="11"/>
        <v>0</v>
      </c>
      <c r="AR119" s="37">
        <f t="shared" si="12"/>
        <v>0</v>
      </c>
      <c r="AS119" s="43" t="s">
        <v>171</v>
      </c>
      <c r="AT119" s="38"/>
      <c r="AU119" s="39"/>
    </row>
    <row r="120" s="105" customFormat="1" ht="19.5" customHeight="1" spans="1:47">
      <c r="A120" s="68">
        <v>111</v>
      </c>
      <c r="B120" s="154" t="s">
        <v>150</v>
      </c>
      <c r="C120" s="164" t="s">
        <v>16</v>
      </c>
      <c r="D120" s="149" t="s">
        <v>395</v>
      </c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113"/>
      <c r="AM120" s="151">
        <f t="shared" si="7"/>
        <v>0</v>
      </c>
      <c r="AN120" s="35">
        <f t="shared" si="8"/>
        <v>0</v>
      </c>
      <c r="AO120" s="36">
        <f t="shared" si="9"/>
        <v>0</v>
      </c>
      <c r="AP120" s="35">
        <f t="shared" si="10"/>
        <v>0</v>
      </c>
      <c r="AQ120" s="36">
        <f t="shared" si="11"/>
        <v>0</v>
      </c>
      <c r="AR120" s="37">
        <f t="shared" si="12"/>
        <v>0</v>
      </c>
      <c r="AS120" s="37"/>
      <c r="AT120" s="38"/>
      <c r="AU120" s="39"/>
    </row>
    <row r="121" s="105" customFormat="1" ht="21" customHeight="1" spans="1:47">
      <c r="A121" s="68">
        <v>112</v>
      </c>
      <c r="B121" s="154" t="s">
        <v>151</v>
      </c>
      <c r="C121" s="164" t="s">
        <v>241</v>
      </c>
      <c r="D121" s="152" t="s">
        <v>217</v>
      </c>
      <c r="E121" s="62" t="s">
        <v>11</v>
      </c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113"/>
      <c r="AM121" s="151">
        <f t="shared" si="7"/>
        <v>0</v>
      </c>
      <c r="AN121" s="35">
        <f t="shared" si="8"/>
        <v>1</v>
      </c>
      <c r="AO121" s="36">
        <f t="shared" si="9"/>
        <v>0</v>
      </c>
      <c r="AP121" s="35">
        <f t="shared" si="10"/>
        <v>0</v>
      </c>
      <c r="AQ121" s="36">
        <f t="shared" si="11"/>
        <v>0</v>
      </c>
      <c r="AR121" s="37">
        <f t="shared" si="12"/>
        <v>1</v>
      </c>
      <c r="AS121" s="156" t="s">
        <v>275</v>
      </c>
      <c r="AT121" s="38"/>
      <c r="AU121" s="39"/>
    </row>
    <row r="122" s="105" customFormat="1" ht="19.5" customHeight="1" spans="1:47">
      <c r="A122" s="68">
        <v>113</v>
      </c>
      <c r="B122" s="154" t="s">
        <v>152</v>
      </c>
      <c r="C122" s="164" t="s">
        <v>20</v>
      </c>
      <c r="D122" s="152" t="s">
        <v>236</v>
      </c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 t="s">
        <v>12</v>
      </c>
      <c r="T122" s="62"/>
      <c r="U122" s="62"/>
      <c r="V122" s="62"/>
      <c r="W122" s="62" t="s">
        <v>12</v>
      </c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113"/>
      <c r="AM122" s="151">
        <f t="shared" si="7"/>
        <v>0</v>
      </c>
      <c r="AN122" s="47">
        <f t="shared" si="8"/>
        <v>0</v>
      </c>
      <c r="AO122" s="35">
        <f t="shared" si="9"/>
        <v>2</v>
      </c>
      <c r="AP122" s="35">
        <f t="shared" si="10"/>
        <v>0</v>
      </c>
      <c r="AQ122" s="36">
        <f t="shared" si="11"/>
        <v>0</v>
      </c>
      <c r="AR122" s="48">
        <f t="shared" si="12"/>
        <v>2</v>
      </c>
      <c r="AS122" s="37" t="s">
        <v>214</v>
      </c>
      <c r="AT122" s="38"/>
      <c r="AU122" s="39"/>
    </row>
    <row r="123" s="105" customFormat="1" ht="19.5" customHeight="1" spans="1:47">
      <c r="A123" s="68">
        <v>114</v>
      </c>
      <c r="B123" s="154" t="s">
        <v>437</v>
      </c>
      <c r="C123" s="164" t="s">
        <v>59</v>
      </c>
      <c r="D123" s="149" t="e">
        <f>VLOOKUP(B123,'[1]MASTER DATA 2025'!$C$3:$E$279,3,0)</f>
        <v>#N/A</v>
      </c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 t="s">
        <v>11</v>
      </c>
      <c r="AK123" s="62"/>
      <c r="AL123" s="113"/>
      <c r="AM123" s="151">
        <f t="shared" si="7"/>
        <v>0</v>
      </c>
      <c r="AN123" s="47">
        <f t="shared" si="8"/>
        <v>1</v>
      </c>
      <c r="AO123" s="35">
        <f t="shared" si="9"/>
        <v>0</v>
      </c>
      <c r="AP123" s="35">
        <f t="shared" si="10"/>
        <v>0</v>
      </c>
      <c r="AQ123" s="36">
        <f t="shared" si="11"/>
        <v>0</v>
      </c>
      <c r="AR123" s="48">
        <f t="shared" si="12"/>
        <v>1</v>
      </c>
      <c r="AS123" s="37" t="s">
        <v>25</v>
      </c>
      <c r="AT123" s="38">
        <v>26</v>
      </c>
      <c r="AU123" s="39">
        <f>AR123/AT123</f>
        <v>0.0384615384615385</v>
      </c>
    </row>
    <row r="124" s="105" customFormat="1" ht="19.5" customHeight="1" spans="1:47">
      <c r="A124" s="68">
        <v>115</v>
      </c>
      <c r="B124" s="154" t="s">
        <v>155</v>
      </c>
      <c r="C124" s="164" t="s">
        <v>59</v>
      </c>
      <c r="D124" s="149" t="s">
        <v>163</v>
      </c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 t="s">
        <v>11</v>
      </c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113"/>
      <c r="AM124" s="151">
        <f t="shared" si="7"/>
        <v>0</v>
      </c>
      <c r="AN124" s="35">
        <f t="shared" si="8"/>
        <v>1</v>
      </c>
      <c r="AO124" s="35">
        <f t="shared" si="9"/>
        <v>0</v>
      </c>
      <c r="AP124" s="35">
        <f t="shared" si="10"/>
        <v>0</v>
      </c>
      <c r="AQ124" s="36">
        <f t="shared" si="11"/>
        <v>0</v>
      </c>
      <c r="AR124" s="37">
        <f t="shared" si="12"/>
        <v>1</v>
      </c>
      <c r="AS124" s="43" t="s">
        <v>193</v>
      </c>
      <c r="AT124" s="38"/>
      <c r="AU124" s="39"/>
    </row>
    <row r="125" s="105" customFormat="1" ht="19.5" customHeight="1" spans="1:47">
      <c r="A125" s="68">
        <v>116</v>
      </c>
      <c r="B125" s="154" t="s">
        <v>157</v>
      </c>
      <c r="C125" s="164" t="s">
        <v>61</v>
      </c>
      <c r="D125" s="149" t="str">
        <f>VLOOKUP(B125,'[1]MASTER DATA 2025'!$C$3:$E$279,3,0)</f>
        <v>0Tahun1 Bulan</v>
      </c>
      <c r="E125" s="62"/>
      <c r="F125" s="62"/>
      <c r="G125" s="62" t="s">
        <v>11</v>
      </c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113"/>
      <c r="AM125" s="151">
        <f t="shared" si="7"/>
        <v>0</v>
      </c>
      <c r="AN125" s="35">
        <f t="shared" si="8"/>
        <v>1</v>
      </c>
      <c r="AO125" s="35">
        <f t="shared" si="9"/>
        <v>0</v>
      </c>
      <c r="AP125" s="35">
        <f t="shared" si="10"/>
        <v>0</v>
      </c>
      <c r="AQ125" s="36">
        <f t="shared" si="11"/>
        <v>0</v>
      </c>
      <c r="AR125" s="37">
        <f t="shared" si="12"/>
        <v>1</v>
      </c>
      <c r="AS125" s="37" t="s">
        <v>228</v>
      </c>
      <c r="AT125" s="38"/>
      <c r="AU125" s="39"/>
    </row>
    <row r="126" s="105" customFormat="1" ht="19.5" customHeight="1" spans="1:47">
      <c r="A126" s="68">
        <v>117</v>
      </c>
      <c r="B126" s="154" t="s">
        <v>158</v>
      </c>
      <c r="C126" s="164" t="s">
        <v>20</v>
      </c>
      <c r="D126" s="149" t="str">
        <f>VLOOKUP(B126,'[1]MASTER DATA 2025'!$C$3:$E$279,3,0)</f>
        <v>0Tahun1 Bulan</v>
      </c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113"/>
      <c r="AM126" s="151">
        <f t="shared" si="7"/>
        <v>0</v>
      </c>
      <c r="AN126" s="35">
        <f t="shared" si="8"/>
        <v>0</v>
      </c>
      <c r="AO126" s="36">
        <f t="shared" si="9"/>
        <v>0</v>
      </c>
      <c r="AP126" s="35">
        <f t="shared" si="10"/>
        <v>0</v>
      </c>
      <c r="AQ126" s="36">
        <f t="shared" si="11"/>
        <v>0</v>
      </c>
      <c r="AR126" s="37">
        <f t="shared" si="12"/>
        <v>0</v>
      </c>
      <c r="AS126" s="37" t="s">
        <v>228</v>
      </c>
      <c r="AT126" s="38"/>
      <c r="AU126" s="39"/>
    </row>
    <row r="127" s="105" customFormat="1" ht="19.5" customHeight="1" spans="1:47">
      <c r="A127" s="68">
        <v>118</v>
      </c>
      <c r="B127" s="154" t="s">
        <v>159</v>
      </c>
      <c r="C127" s="164" t="s">
        <v>59</v>
      </c>
      <c r="D127" s="152" t="s">
        <v>153</v>
      </c>
      <c r="E127" s="62"/>
      <c r="F127" s="62"/>
      <c r="G127" s="62"/>
      <c r="H127" s="62"/>
      <c r="I127" s="62"/>
      <c r="J127" s="62" t="s">
        <v>11</v>
      </c>
      <c r="K127" s="62"/>
      <c r="L127" s="62"/>
      <c r="M127" s="62"/>
      <c r="N127" s="62"/>
      <c r="O127" s="62"/>
      <c r="P127" s="62"/>
      <c r="Q127" s="62"/>
      <c r="R127" s="62"/>
      <c r="S127" s="62" t="s">
        <v>11</v>
      </c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 t="s">
        <v>11</v>
      </c>
      <c r="AK127" s="62"/>
      <c r="AL127" s="113"/>
      <c r="AM127" s="151">
        <f t="shared" si="7"/>
        <v>0</v>
      </c>
      <c r="AN127" s="35">
        <f t="shared" si="8"/>
        <v>3</v>
      </c>
      <c r="AO127" s="36">
        <f t="shared" si="9"/>
        <v>0</v>
      </c>
      <c r="AP127" s="35">
        <f t="shared" si="10"/>
        <v>0</v>
      </c>
      <c r="AQ127" s="36">
        <f t="shared" si="11"/>
        <v>0</v>
      </c>
      <c r="AR127" s="37">
        <f t="shared" si="12"/>
        <v>3</v>
      </c>
      <c r="AS127" s="43" t="s">
        <v>193</v>
      </c>
      <c r="AT127" s="38"/>
      <c r="AU127" s="39"/>
    </row>
    <row r="128" s="105" customFormat="1" ht="19.5" customHeight="1" spans="1:47">
      <c r="A128" s="68">
        <v>119</v>
      </c>
      <c r="B128" s="154" t="s">
        <v>160</v>
      </c>
      <c r="C128" s="164" t="s">
        <v>20</v>
      </c>
      <c r="D128" s="149" t="str">
        <f>VLOOKUP(B128,'[1]MASTER DATA 2025'!$C$3:$E$279,3,0)</f>
        <v>0Tahun1 Bulan</v>
      </c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113"/>
      <c r="AM128" s="151">
        <f t="shared" si="7"/>
        <v>0</v>
      </c>
      <c r="AN128" s="47">
        <f t="shared" si="8"/>
        <v>0</v>
      </c>
      <c r="AO128" s="35">
        <f t="shared" si="9"/>
        <v>0</v>
      </c>
      <c r="AP128" s="35">
        <f t="shared" si="10"/>
        <v>0</v>
      </c>
      <c r="AQ128" s="36">
        <f t="shared" si="11"/>
        <v>0</v>
      </c>
      <c r="AR128" s="48">
        <f t="shared" si="12"/>
        <v>0</v>
      </c>
      <c r="AS128" s="37" t="s">
        <v>25</v>
      </c>
      <c r="AT128" s="38"/>
      <c r="AU128" s="39"/>
    </row>
    <row r="129" s="105" customFormat="1" ht="19.5" customHeight="1" spans="1:47">
      <c r="A129" s="68">
        <v>120</v>
      </c>
      <c r="B129" s="154" t="s">
        <v>161</v>
      </c>
      <c r="C129" s="164" t="s">
        <v>20</v>
      </c>
      <c r="D129" s="149" t="str">
        <f>VLOOKUP(B129,'[1]MASTER DATA 2025'!$C$3:$E$279,3,0)</f>
        <v>1Tahun2 Bulan</v>
      </c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113"/>
      <c r="AM129" s="151">
        <f t="shared" si="7"/>
        <v>0</v>
      </c>
      <c r="AN129" s="35">
        <f t="shared" si="8"/>
        <v>0</v>
      </c>
      <c r="AO129" s="35">
        <f t="shared" si="9"/>
        <v>0</v>
      </c>
      <c r="AP129" s="47">
        <f t="shared" si="10"/>
        <v>0</v>
      </c>
      <c r="AQ129" s="36">
        <f t="shared" si="11"/>
        <v>0</v>
      </c>
      <c r="AR129" s="48">
        <f t="shared" si="12"/>
        <v>0</v>
      </c>
      <c r="AS129" s="37" t="s">
        <v>175</v>
      </c>
      <c r="AT129" s="38"/>
      <c r="AU129" s="39"/>
    </row>
    <row r="130" s="105" customFormat="1" ht="19.5" customHeight="1" spans="1:47">
      <c r="A130" s="68">
        <v>121</v>
      </c>
      <c r="B130" s="154" t="s">
        <v>162</v>
      </c>
      <c r="C130" s="164" t="s">
        <v>20</v>
      </c>
      <c r="D130" s="149" t="s">
        <v>163</v>
      </c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113"/>
      <c r="AM130" s="151">
        <f t="shared" si="7"/>
        <v>0</v>
      </c>
      <c r="AN130" s="35">
        <f t="shared" si="8"/>
        <v>0</v>
      </c>
      <c r="AO130" s="35">
        <f t="shared" si="9"/>
        <v>0</v>
      </c>
      <c r="AP130" s="47">
        <f t="shared" si="10"/>
        <v>0</v>
      </c>
      <c r="AQ130" s="36"/>
      <c r="AR130" s="37">
        <f t="shared" si="12"/>
        <v>0</v>
      </c>
      <c r="AS130" s="38" t="s">
        <v>207</v>
      </c>
      <c r="AT130" s="38"/>
      <c r="AU130" s="39"/>
    </row>
    <row r="131" s="105" customFormat="1" ht="19.5" customHeight="1" spans="1:47">
      <c r="A131" s="68">
        <v>122</v>
      </c>
      <c r="B131" s="154" t="s">
        <v>164</v>
      </c>
      <c r="C131" s="164" t="s">
        <v>101</v>
      </c>
      <c r="D131" s="149" t="str">
        <f>VLOOKUP(B131,'[1]MASTER DATA 2025'!$C$3:$E$279,3,0)</f>
        <v>2Tahun0 Bulan</v>
      </c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113"/>
      <c r="AM131" s="151">
        <f t="shared" si="7"/>
        <v>0</v>
      </c>
      <c r="AN131" s="35">
        <f t="shared" si="8"/>
        <v>0</v>
      </c>
      <c r="AO131" s="35">
        <f t="shared" si="9"/>
        <v>0</v>
      </c>
      <c r="AP131" s="47">
        <f t="shared" si="10"/>
        <v>0</v>
      </c>
      <c r="AQ131" s="36">
        <f t="shared" ref="AQ131:AQ186" si="17">COUNTIF(E131:AK131,"OFF")</f>
        <v>0</v>
      </c>
      <c r="AR131" s="48">
        <f t="shared" si="12"/>
        <v>0</v>
      </c>
      <c r="AS131" s="37" t="s">
        <v>25</v>
      </c>
      <c r="AT131" s="38"/>
      <c r="AU131" s="39"/>
    </row>
    <row r="132" s="105" customFormat="1" ht="19.5" customHeight="1" spans="1:47">
      <c r="A132" s="68">
        <v>123</v>
      </c>
      <c r="B132" s="154" t="s">
        <v>176</v>
      </c>
      <c r="C132" s="164" t="s">
        <v>20</v>
      </c>
      <c r="D132" s="149" t="str">
        <f>VLOOKUP(B132,'[1]MASTER DATA 2025'!$C$3:$E$279,3,0)</f>
        <v>0Tahun2 Bulan</v>
      </c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113"/>
      <c r="AM132" s="151">
        <f t="shared" si="7"/>
        <v>0</v>
      </c>
      <c r="AN132" s="35">
        <f t="shared" si="8"/>
        <v>0</v>
      </c>
      <c r="AO132" s="35">
        <f t="shared" si="9"/>
        <v>0</v>
      </c>
      <c r="AP132" s="47">
        <f t="shared" si="10"/>
        <v>0</v>
      </c>
      <c r="AQ132" s="36">
        <f t="shared" si="17"/>
        <v>0</v>
      </c>
      <c r="AR132" s="48">
        <f t="shared" si="12"/>
        <v>0</v>
      </c>
      <c r="AS132" s="37"/>
      <c r="AT132" s="38"/>
      <c r="AU132" s="39"/>
    </row>
    <row r="133" s="105" customFormat="1" ht="19.5" customHeight="1" spans="1:47">
      <c r="A133" s="68">
        <v>124</v>
      </c>
      <c r="B133" s="154" t="s">
        <v>177</v>
      </c>
      <c r="C133" s="164" t="s">
        <v>16</v>
      </c>
      <c r="D133" s="149" t="s">
        <v>178</v>
      </c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113"/>
      <c r="AM133" s="151">
        <f t="shared" si="7"/>
        <v>0</v>
      </c>
      <c r="AN133" s="35">
        <f t="shared" si="8"/>
        <v>0</v>
      </c>
      <c r="AO133" s="36">
        <f t="shared" si="9"/>
        <v>0</v>
      </c>
      <c r="AP133" s="35">
        <f t="shared" si="10"/>
        <v>0</v>
      </c>
      <c r="AQ133" s="36">
        <f t="shared" si="17"/>
        <v>0</v>
      </c>
      <c r="AR133" s="37">
        <f t="shared" si="12"/>
        <v>0</v>
      </c>
      <c r="AS133" s="37" t="s">
        <v>25</v>
      </c>
      <c r="AT133" s="38"/>
      <c r="AU133" s="39"/>
    </row>
    <row r="134" s="105" customFormat="1" ht="19.5" customHeight="1" spans="1:47">
      <c r="A134" s="68">
        <v>125</v>
      </c>
      <c r="B134" s="154" t="s">
        <v>179</v>
      </c>
      <c r="C134" s="164" t="s">
        <v>16</v>
      </c>
      <c r="D134" s="149" t="s">
        <v>112</v>
      </c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113"/>
      <c r="AM134" s="151">
        <f t="shared" si="7"/>
        <v>0</v>
      </c>
      <c r="AN134" s="35">
        <f t="shared" si="8"/>
        <v>0</v>
      </c>
      <c r="AO134" s="35">
        <f t="shared" si="9"/>
        <v>0</v>
      </c>
      <c r="AP134" s="47">
        <f t="shared" si="10"/>
        <v>0</v>
      </c>
      <c r="AQ134" s="36">
        <f t="shared" si="17"/>
        <v>0</v>
      </c>
      <c r="AR134" s="48">
        <f t="shared" si="12"/>
        <v>0</v>
      </c>
      <c r="AS134" s="37" t="s">
        <v>25</v>
      </c>
      <c r="AT134" s="38"/>
      <c r="AU134" s="39"/>
    </row>
    <row r="135" s="105" customFormat="1" ht="19.5" customHeight="1" spans="1:47">
      <c r="A135" s="68">
        <v>126</v>
      </c>
      <c r="B135" s="154" t="s">
        <v>158</v>
      </c>
      <c r="C135" s="164" t="s">
        <v>20</v>
      </c>
      <c r="D135" s="149" t="s">
        <v>180</v>
      </c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113"/>
      <c r="AM135" s="151">
        <f t="shared" si="7"/>
        <v>0</v>
      </c>
      <c r="AN135" s="35">
        <f t="shared" si="8"/>
        <v>0</v>
      </c>
      <c r="AO135" s="35">
        <f t="shared" si="9"/>
        <v>0</v>
      </c>
      <c r="AP135" s="47">
        <f t="shared" si="10"/>
        <v>0</v>
      </c>
      <c r="AQ135" s="36">
        <f t="shared" si="17"/>
        <v>0</v>
      </c>
      <c r="AR135" s="48">
        <f t="shared" si="12"/>
        <v>0</v>
      </c>
      <c r="AS135" s="37" t="s">
        <v>25</v>
      </c>
      <c r="AT135" s="38"/>
      <c r="AU135" s="39"/>
    </row>
    <row r="136" s="105" customFormat="1" ht="19.5" customHeight="1" spans="1:47">
      <c r="A136" s="68">
        <v>127</v>
      </c>
      <c r="B136" s="154" t="s">
        <v>181</v>
      </c>
      <c r="C136" s="165" t="s">
        <v>59</v>
      </c>
      <c r="D136" s="152" t="s">
        <v>308</v>
      </c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113"/>
      <c r="AM136" s="151">
        <f t="shared" si="7"/>
        <v>0</v>
      </c>
      <c r="AN136" s="35">
        <f t="shared" si="8"/>
        <v>0</v>
      </c>
      <c r="AO136" s="36">
        <f t="shared" si="9"/>
        <v>0</v>
      </c>
      <c r="AP136" s="35">
        <f t="shared" si="10"/>
        <v>0</v>
      </c>
      <c r="AQ136" s="36">
        <f t="shared" si="17"/>
        <v>0</v>
      </c>
      <c r="AR136" s="37">
        <f t="shared" si="12"/>
        <v>0</v>
      </c>
      <c r="AS136" s="43" t="s">
        <v>336</v>
      </c>
      <c r="AT136" s="38"/>
      <c r="AU136" s="39"/>
    </row>
    <row r="137" s="105" customFormat="1" ht="19.5" customHeight="1" spans="1:47">
      <c r="A137" s="68">
        <v>128</v>
      </c>
      <c r="B137" s="154" t="s">
        <v>182</v>
      </c>
      <c r="C137" s="166" t="s">
        <v>59</v>
      </c>
      <c r="D137" s="152" t="s">
        <v>178</v>
      </c>
      <c r="E137" s="62"/>
      <c r="F137" s="62"/>
      <c r="G137" s="62"/>
      <c r="H137" s="62"/>
      <c r="I137" s="62"/>
      <c r="J137" s="62"/>
      <c r="K137" s="62"/>
      <c r="L137" s="62"/>
      <c r="M137" s="172"/>
      <c r="N137" s="172"/>
      <c r="O137" s="172"/>
      <c r="P137" s="172"/>
      <c r="Q137" s="17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113"/>
      <c r="AM137" s="151">
        <f t="shared" si="7"/>
        <v>0</v>
      </c>
      <c r="AN137" s="131">
        <f t="shared" si="8"/>
        <v>0</v>
      </c>
      <c r="AO137" s="103">
        <f t="shared" si="9"/>
        <v>0</v>
      </c>
      <c r="AP137" s="131">
        <f t="shared" si="10"/>
        <v>0</v>
      </c>
      <c r="AQ137" s="103">
        <f t="shared" si="17"/>
        <v>0</v>
      </c>
      <c r="AR137" s="128">
        <f t="shared" si="12"/>
        <v>0</v>
      </c>
      <c r="AS137" s="128" t="s">
        <v>25</v>
      </c>
      <c r="AT137" s="38"/>
      <c r="AU137" s="39"/>
    </row>
    <row r="138" s="105" customFormat="1" ht="19.5" customHeight="1" spans="1:47">
      <c r="A138" s="68">
        <v>129</v>
      </c>
      <c r="B138" s="154" t="s">
        <v>183</v>
      </c>
      <c r="C138" s="166" t="s">
        <v>16</v>
      </c>
      <c r="D138" s="149" t="s">
        <v>219</v>
      </c>
      <c r="E138" s="62"/>
      <c r="F138" s="62"/>
      <c r="G138" s="62"/>
      <c r="H138" s="62"/>
      <c r="I138" s="62"/>
      <c r="J138" s="62"/>
      <c r="K138" s="62"/>
      <c r="L138" s="236"/>
      <c r="M138" s="236"/>
      <c r="N138" s="236"/>
      <c r="O138" s="236"/>
      <c r="P138" s="180"/>
      <c r="Q138" s="180"/>
      <c r="R138" s="237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 t="s">
        <v>11</v>
      </c>
      <c r="AK138" s="62"/>
      <c r="AL138" s="113"/>
      <c r="AM138" s="151">
        <f t="shared" si="7"/>
        <v>0</v>
      </c>
      <c r="AN138" s="43">
        <f t="shared" si="8"/>
        <v>1</v>
      </c>
      <c r="AO138" s="66">
        <f t="shared" si="9"/>
        <v>0</v>
      </c>
      <c r="AP138" s="43">
        <f t="shared" si="10"/>
        <v>0</v>
      </c>
      <c r="AQ138" s="66">
        <f t="shared" si="17"/>
        <v>0</v>
      </c>
      <c r="AR138" s="43">
        <f t="shared" si="12"/>
        <v>1</v>
      </c>
      <c r="AS138" s="43" t="s">
        <v>336</v>
      </c>
      <c r="AT138" s="68"/>
      <c r="AU138" s="39"/>
    </row>
    <row r="139" s="105" customFormat="1" ht="19.5" customHeight="1" spans="1:47">
      <c r="A139" s="68">
        <v>130</v>
      </c>
      <c r="B139" s="154" t="s">
        <v>184</v>
      </c>
      <c r="C139" s="166" t="s">
        <v>16</v>
      </c>
      <c r="D139" s="152" t="s">
        <v>180</v>
      </c>
      <c r="E139" s="62"/>
      <c r="F139" s="62"/>
      <c r="G139" s="62"/>
      <c r="H139" s="62"/>
      <c r="I139" s="62"/>
      <c r="J139" s="62"/>
      <c r="K139" s="62"/>
      <c r="L139" s="62"/>
      <c r="M139" s="238"/>
      <c r="N139" s="238"/>
      <c r="O139" s="238"/>
      <c r="P139" s="238"/>
      <c r="Q139" s="238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113"/>
      <c r="AM139" s="151">
        <f t="shared" si="7"/>
        <v>0</v>
      </c>
      <c r="AN139" s="35">
        <f t="shared" si="8"/>
        <v>0</v>
      </c>
      <c r="AO139" s="36">
        <f t="shared" si="9"/>
        <v>0</v>
      </c>
      <c r="AP139" s="35">
        <f t="shared" si="10"/>
        <v>0</v>
      </c>
      <c r="AQ139" s="36">
        <f t="shared" si="17"/>
        <v>0</v>
      </c>
      <c r="AR139" s="35">
        <f t="shared" si="12"/>
        <v>0</v>
      </c>
      <c r="AS139" s="35" t="s">
        <v>228</v>
      </c>
      <c r="AT139" s="38"/>
      <c r="AU139" s="39"/>
    </row>
    <row r="140" s="105" customFormat="1" ht="19.5" customHeight="1" spans="1:47">
      <c r="A140" s="68">
        <v>131</v>
      </c>
      <c r="B140" s="154" t="s">
        <v>185</v>
      </c>
      <c r="C140" s="166" t="s">
        <v>16</v>
      </c>
      <c r="D140" s="152" t="s">
        <v>205</v>
      </c>
      <c r="E140" s="62"/>
      <c r="F140" s="62"/>
      <c r="G140" s="62"/>
      <c r="H140" s="62"/>
      <c r="I140" s="62" t="s">
        <v>11</v>
      </c>
      <c r="J140" s="62"/>
      <c r="K140" s="62"/>
      <c r="L140" s="62"/>
      <c r="M140" s="62"/>
      <c r="N140" s="62" t="s">
        <v>11</v>
      </c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 t="s">
        <v>40</v>
      </c>
      <c r="AI140" s="62"/>
      <c r="AJ140" s="62"/>
      <c r="AK140" s="62"/>
      <c r="AL140" s="113"/>
      <c r="AM140" s="151">
        <f t="shared" ref="AM140:AM147" si="18">COUNTIF(E140:AK140,"H")</f>
        <v>0</v>
      </c>
      <c r="AN140" s="35">
        <f t="shared" ref="AN140:AN186" si="19">COUNTIF(E140:AK140,"S")</f>
        <v>3</v>
      </c>
      <c r="AO140" s="36">
        <f t="shared" ref="AO140:AO186" si="20">COUNTIF(E140:AK140,"I")</f>
        <v>0</v>
      </c>
      <c r="AP140" s="35">
        <f t="shared" ref="AP140:AP186" si="21">COUNTIF(E140:AK140,"A")</f>
        <v>0</v>
      </c>
      <c r="AQ140" s="36">
        <f t="shared" si="17"/>
        <v>0</v>
      </c>
      <c r="AR140" s="37">
        <f t="shared" ref="AR140:AR186" si="22">SUM(AM140:AP140)</f>
        <v>3</v>
      </c>
      <c r="AS140" s="43" t="s">
        <v>336</v>
      </c>
      <c r="AT140" s="38"/>
      <c r="AU140" s="39"/>
    </row>
    <row r="141" s="105" customFormat="1" ht="19.5" customHeight="1" spans="1:47">
      <c r="A141" s="68">
        <v>132</v>
      </c>
      <c r="B141" s="154" t="s">
        <v>186</v>
      </c>
      <c r="C141" s="166" t="s">
        <v>245</v>
      </c>
      <c r="D141" s="149" t="s">
        <v>112</v>
      </c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113"/>
      <c r="AM141" s="151">
        <f t="shared" si="18"/>
        <v>0</v>
      </c>
      <c r="AN141" s="35">
        <f t="shared" si="19"/>
        <v>0</v>
      </c>
      <c r="AO141" s="36">
        <f t="shared" si="20"/>
        <v>0</v>
      </c>
      <c r="AP141" s="35">
        <f t="shared" si="21"/>
        <v>0</v>
      </c>
      <c r="AQ141" s="36">
        <f t="shared" si="17"/>
        <v>0</v>
      </c>
      <c r="AR141" s="37">
        <f t="shared" si="22"/>
        <v>0</v>
      </c>
      <c r="AS141" s="37" t="s">
        <v>216</v>
      </c>
      <c r="AT141" s="38"/>
      <c r="AU141" s="39"/>
    </row>
    <row r="142" s="105" customFormat="1" ht="19.5" customHeight="1" spans="1:47">
      <c r="A142" s="68">
        <v>133</v>
      </c>
      <c r="B142" s="154" t="s">
        <v>187</v>
      </c>
      <c r="C142" s="166" t="s">
        <v>16</v>
      </c>
      <c r="D142" s="152" t="s">
        <v>163</v>
      </c>
      <c r="E142" s="62"/>
      <c r="F142" s="62"/>
      <c r="G142" s="62"/>
      <c r="H142" s="62"/>
      <c r="I142" s="62"/>
      <c r="J142" s="62"/>
      <c r="K142" s="62"/>
      <c r="L142" s="62"/>
      <c r="M142" s="62" t="s">
        <v>11</v>
      </c>
      <c r="N142" s="62" t="s">
        <v>13</v>
      </c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113"/>
      <c r="AM142" s="151">
        <f t="shared" si="18"/>
        <v>0</v>
      </c>
      <c r="AN142" s="35">
        <f t="shared" si="19"/>
        <v>1</v>
      </c>
      <c r="AO142" s="36">
        <f t="shared" si="20"/>
        <v>0</v>
      </c>
      <c r="AP142" s="35">
        <f t="shared" si="21"/>
        <v>1</v>
      </c>
      <c r="AQ142" s="36">
        <f t="shared" si="17"/>
        <v>0</v>
      </c>
      <c r="AR142" s="37">
        <f t="shared" si="22"/>
        <v>2</v>
      </c>
      <c r="AS142" s="43" t="s">
        <v>438</v>
      </c>
      <c r="AT142" s="38"/>
      <c r="AU142" s="39"/>
    </row>
    <row r="143" s="105" customFormat="1" ht="19.5" customHeight="1" spans="1:47">
      <c r="A143" s="68">
        <v>134</v>
      </c>
      <c r="B143" s="154" t="s">
        <v>188</v>
      </c>
      <c r="C143" s="166" t="s">
        <v>16</v>
      </c>
      <c r="D143" s="152" t="str">
        <f>VLOOKUP(B143,'[1]MASTER DATA 2025'!$C$3:$E$279,3,0)</f>
        <v>1Tahun5 Bulan</v>
      </c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 t="s">
        <v>12</v>
      </c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113"/>
      <c r="AM143" s="151">
        <f t="shared" si="18"/>
        <v>0</v>
      </c>
      <c r="AN143" s="35">
        <f t="shared" si="19"/>
        <v>0</v>
      </c>
      <c r="AO143" s="36">
        <f t="shared" si="20"/>
        <v>1</v>
      </c>
      <c r="AP143" s="35">
        <f t="shared" si="21"/>
        <v>0</v>
      </c>
      <c r="AQ143" s="36">
        <f t="shared" si="17"/>
        <v>0</v>
      </c>
      <c r="AR143" s="37">
        <f t="shared" si="22"/>
        <v>1</v>
      </c>
      <c r="AS143" s="37"/>
      <c r="AT143" s="38"/>
      <c r="AU143" s="39"/>
    </row>
    <row r="144" s="105" customFormat="1" ht="19.5" customHeight="1" spans="1:47">
      <c r="A144" s="68">
        <v>135</v>
      </c>
      <c r="B144" s="154" t="s">
        <v>189</v>
      </c>
      <c r="C144" s="166" t="s">
        <v>16</v>
      </c>
      <c r="D144" s="152" t="s">
        <v>178</v>
      </c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113"/>
      <c r="AM144" s="151">
        <f t="shared" si="18"/>
        <v>0</v>
      </c>
      <c r="AN144" s="35">
        <f t="shared" si="19"/>
        <v>0</v>
      </c>
      <c r="AO144" s="36">
        <f t="shared" si="20"/>
        <v>0</v>
      </c>
      <c r="AP144" s="35">
        <f t="shared" si="21"/>
        <v>0</v>
      </c>
      <c r="AQ144" s="36">
        <f t="shared" si="17"/>
        <v>0</v>
      </c>
      <c r="AR144" s="37">
        <f t="shared" si="22"/>
        <v>0</v>
      </c>
      <c r="AS144" s="37" t="s">
        <v>25</v>
      </c>
      <c r="AT144" s="38"/>
      <c r="AU144" s="39"/>
    </row>
    <row r="145" s="105" customFormat="1" ht="19.5" customHeight="1" spans="1:47">
      <c r="A145" s="68">
        <v>136</v>
      </c>
      <c r="B145" s="154" t="s">
        <v>190</v>
      </c>
      <c r="C145" s="166" t="s">
        <v>16</v>
      </c>
      <c r="D145" s="152" t="s">
        <v>180</v>
      </c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113"/>
      <c r="AM145" s="151">
        <f t="shared" si="18"/>
        <v>0</v>
      </c>
      <c r="AN145" s="35">
        <f t="shared" si="19"/>
        <v>0</v>
      </c>
      <c r="AO145" s="36">
        <f t="shared" si="20"/>
        <v>0</v>
      </c>
      <c r="AP145" s="35">
        <f t="shared" si="21"/>
        <v>0</v>
      </c>
      <c r="AQ145" s="36">
        <f t="shared" si="17"/>
        <v>0</v>
      </c>
      <c r="AR145" s="37">
        <f t="shared" si="22"/>
        <v>0</v>
      </c>
      <c r="AS145" s="37" t="s">
        <v>214</v>
      </c>
      <c r="AT145" s="38"/>
      <c r="AU145" s="39"/>
    </row>
    <row r="146" s="105" customFormat="1" ht="19.5" customHeight="1" spans="1:47">
      <c r="A146" s="68">
        <v>137</v>
      </c>
      <c r="B146" s="154" t="s">
        <v>191</v>
      </c>
      <c r="C146" s="150" t="s">
        <v>16</v>
      </c>
      <c r="D146" s="152" t="s">
        <v>178</v>
      </c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113"/>
      <c r="AM146" s="151">
        <f t="shared" si="18"/>
        <v>0</v>
      </c>
      <c r="AN146" s="35">
        <f t="shared" si="19"/>
        <v>0</v>
      </c>
      <c r="AO146" s="35">
        <f t="shared" si="20"/>
        <v>0</v>
      </c>
      <c r="AP146" s="36">
        <f t="shared" si="21"/>
        <v>0</v>
      </c>
      <c r="AQ146" s="36">
        <f t="shared" si="17"/>
        <v>0</v>
      </c>
      <c r="AR146" s="37">
        <f t="shared" si="22"/>
        <v>0</v>
      </c>
      <c r="AS146" s="37" t="s">
        <v>192</v>
      </c>
      <c r="AT146" s="38">
        <v>16</v>
      </c>
      <c r="AU146" s="39">
        <f>AR146/AT146</f>
        <v>0</v>
      </c>
    </row>
    <row r="147" s="105" customFormat="1" ht="19.5" customHeight="1" spans="1:47">
      <c r="A147" s="68"/>
      <c r="B147" s="154" t="s">
        <v>247</v>
      </c>
      <c r="C147" s="150" t="s">
        <v>16</v>
      </c>
      <c r="D147" s="149" t="s">
        <v>196</v>
      </c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 t="s">
        <v>11</v>
      </c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113"/>
      <c r="AM147" s="151">
        <f t="shared" si="18"/>
        <v>0</v>
      </c>
      <c r="AN147" s="35">
        <f t="shared" si="19"/>
        <v>1</v>
      </c>
      <c r="AO147" s="36">
        <f t="shared" si="20"/>
        <v>0</v>
      </c>
      <c r="AP147" s="35">
        <f t="shared" si="21"/>
        <v>0</v>
      </c>
      <c r="AQ147" s="36">
        <f t="shared" si="17"/>
        <v>0</v>
      </c>
      <c r="AR147" s="37">
        <f t="shared" si="22"/>
        <v>1</v>
      </c>
      <c r="AS147" s="43" t="s">
        <v>193</v>
      </c>
      <c r="AT147" s="38"/>
      <c r="AU147" s="39"/>
    </row>
    <row r="148" s="105" customFormat="1" ht="19.5" customHeight="1" spans="1:47">
      <c r="A148" s="68"/>
      <c r="B148" s="154" t="s">
        <v>439</v>
      </c>
      <c r="C148" s="150" t="s">
        <v>16</v>
      </c>
      <c r="D148" s="152" t="s">
        <v>178</v>
      </c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 t="s">
        <v>11</v>
      </c>
      <c r="Z148" s="62" t="s">
        <v>11</v>
      </c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113"/>
      <c r="AM148" s="151"/>
      <c r="AN148" s="35">
        <f t="shared" si="19"/>
        <v>2</v>
      </c>
      <c r="AO148" s="36">
        <f t="shared" si="20"/>
        <v>0</v>
      </c>
      <c r="AP148" s="35">
        <f t="shared" si="21"/>
        <v>0</v>
      </c>
      <c r="AQ148" s="36">
        <f t="shared" si="17"/>
        <v>0</v>
      </c>
      <c r="AR148" s="37">
        <f t="shared" si="22"/>
        <v>2</v>
      </c>
      <c r="AS148" s="37"/>
      <c r="AT148" s="38"/>
      <c r="AU148" s="39"/>
    </row>
    <row r="149" s="105" customFormat="1" ht="19.5" customHeight="1" spans="1:47">
      <c r="A149" s="68"/>
      <c r="B149" s="154" t="s">
        <v>249</v>
      </c>
      <c r="C149" s="150" t="s">
        <v>16</v>
      </c>
      <c r="D149" s="152" t="s">
        <v>250</v>
      </c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113"/>
      <c r="AM149" s="151"/>
      <c r="AN149" s="35">
        <f t="shared" si="19"/>
        <v>0</v>
      </c>
      <c r="AO149" s="36">
        <f t="shared" si="20"/>
        <v>0</v>
      </c>
      <c r="AP149" s="35">
        <f t="shared" si="21"/>
        <v>0</v>
      </c>
      <c r="AQ149" s="36">
        <f t="shared" si="17"/>
        <v>0</v>
      </c>
      <c r="AR149" s="37">
        <f t="shared" si="22"/>
        <v>0</v>
      </c>
      <c r="AS149" s="37"/>
      <c r="AT149" s="38"/>
      <c r="AU149" s="39"/>
    </row>
    <row r="150" s="105" customFormat="1" ht="19.5" customHeight="1" spans="1:47">
      <c r="A150" s="68"/>
      <c r="B150" s="154" t="s">
        <v>396</v>
      </c>
      <c r="C150" s="150" t="s">
        <v>16</v>
      </c>
      <c r="D150" s="152" t="s">
        <v>178</v>
      </c>
      <c r="E150" s="62" t="s">
        <v>11</v>
      </c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113"/>
      <c r="AM150" s="151"/>
      <c r="AN150" s="35">
        <f t="shared" si="19"/>
        <v>1</v>
      </c>
      <c r="AO150" s="36">
        <f t="shared" si="20"/>
        <v>0</v>
      </c>
      <c r="AP150" s="35">
        <f t="shared" si="21"/>
        <v>0</v>
      </c>
      <c r="AQ150" s="36">
        <f t="shared" si="17"/>
        <v>0</v>
      </c>
      <c r="AR150" s="37">
        <f t="shared" si="22"/>
        <v>1</v>
      </c>
      <c r="AS150" s="129" t="s">
        <v>440</v>
      </c>
      <c r="AT150" s="38"/>
      <c r="AU150" s="39"/>
    </row>
    <row r="151" s="105" customFormat="1" ht="19.5" customHeight="1" spans="1:47">
      <c r="A151" s="68"/>
      <c r="B151" s="154" t="s">
        <v>253</v>
      </c>
      <c r="C151" s="150" t="s">
        <v>16</v>
      </c>
      <c r="D151" s="152" t="s">
        <v>219</v>
      </c>
      <c r="E151" s="62"/>
      <c r="F151" s="62"/>
      <c r="G151" s="62"/>
      <c r="H151" s="62"/>
      <c r="I151" s="62"/>
      <c r="J151" s="62"/>
      <c r="K151" s="62" t="s">
        <v>11</v>
      </c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113"/>
      <c r="AM151" s="151"/>
      <c r="AN151" s="35">
        <f t="shared" si="19"/>
        <v>1</v>
      </c>
      <c r="AO151" s="36">
        <f t="shared" si="20"/>
        <v>0</v>
      </c>
      <c r="AP151" s="35">
        <f t="shared" si="21"/>
        <v>0</v>
      </c>
      <c r="AQ151" s="36">
        <f t="shared" si="17"/>
        <v>0</v>
      </c>
      <c r="AR151" s="37">
        <f t="shared" si="22"/>
        <v>1</v>
      </c>
      <c r="AS151" s="43" t="s">
        <v>382</v>
      </c>
      <c r="AT151" s="38"/>
      <c r="AU151" s="39"/>
    </row>
    <row r="152" s="105" customFormat="1" ht="19.5" customHeight="1" spans="1:47">
      <c r="A152" s="68"/>
      <c r="B152" s="154" t="s">
        <v>255</v>
      </c>
      <c r="C152" s="150" t="s">
        <v>165</v>
      </c>
      <c r="D152" s="152" t="s">
        <v>238</v>
      </c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113"/>
      <c r="AM152" s="151"/>
      <c r="AN152" s="35">
        <f t="shared" si="19"/>
        <v>0</v>
      </c>
      <c r="AO152" s="36">
        <f t="shared" si="20"/>
        <v>0</v>
      </c>
      <c r="AP152" s="35">
        <f t="shared" si="21"/>
        <v>0</v>
      </c>
      <c r="AQ152" s="36">
        <f t="shared" si="17"/>
        <v>0</v>
      </c>
      <c r="AR152" s="37">
        <f t="shared" si="22"/>
        <v>0</v>
      </c>
      <c r="AS152" s="38"/>
      <c r="AT152" s="38"/>
      <c r="AU152" s="39"/>
    </row>
    <row r="153" s="105" customFormat="1" ht="19.5" customHeight="1" spans="1:47">
      <c r="A153" s="68"/>
      <c r="B153" s="154" t="s">
        <v>397</v>
      </c>
      <c r="C153" s="167" t="s">
        <v>59</v>
      </c>
      <c r="D153" s="162" t="s">
        <v>112</v>
      </c>
      <c r="E153" s="62"/>
      <c r="F153" s="62"/>
      <c r="G153" s="62"/>
      <c r="H153" s="62"/>
      <c r="I153" s="62"/>
      <c r="J153" s="62"/>
      <c r="K153" s="62" t="s">
        <v>11</v>
      </c>
      <c r="L153" s="62"/>
      <c r="M153" s="62"/>
      <c r="N153" s="62" t="s">
        <v>11</v>
      </c>
      <c r="O153" s="62"/>
      <c r="P153" s="62"/>
      <c r="Q153" s="62" t="s">
        <v>11</v>
      </c>
      <c r="R153" s="62"/>
      <c r="S153" s="62" t="s">
        <v>11</v>
      </c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 t="s">
        <v>11</v>
      </c>
      <c r="AE153" s="62"/>
      <c r="AF153" s="62"/>
      <c r="AG153" s="62"/>
      <c r="AH153" s="62"/>
      <c r="AI153" s="62"/>
      <c r="AJ153" s="62"/>
      <c r="AK153" s="62"/>
      <c r="AL153" s="113"/>
      <c r="AM153" s="151"/>
      <c r="AN153" s="35">
        <f t="shared" si="19"/>
        <v>5</v>
      </c>
      <c r="AO153" s="36">
        <f t="shared" si="20"/>
        <v>0</v>
      </c>
      <c r="AP153" s="35">
        <f t="shared" si="21"/>
        <v>0</v>
      </c>
      <c r="AQ153" s="36">
        <f t="shared" si="17"/>
        <v>0</v>
      </c>
      <c r="AR153" s="37">
        <f t="shared" si="22"/>
        <v>5</v>
      </c>
      <c r="AS153" s="43" t="s">
        <v>441</v>
      </c>
      <c r="AT153" s="38"/>
      <c r="AU153" s="39"/>
    </row>
    <row r="154" s="105" customFormat="1" ht="20.15" customHeight="1" spans="1:47">
      <c r="A154" s="68"/>
      <c r="B154" s="154" t="s">
        <v>258</v>
      </c>
      <c r="C154" s="167" t="s">
        <v>59</v>
      </c>
      <c r="D154" s="152" t="s">
        <v>215</v>
      </c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113"/>
      <c r="AM154" s="151"/>
      <c r="AN154" s="35">
        <f t="shared" si="19"/>
        <v>0</v>
      </c>
      <c r="AO154" s="36">
        <f t="shared" si="20"/>
        <v>0</v>
      </c>
      <c r="AP154" s="35">
        <f t="shared" si="21"/>
        <v>0</v>
      </c>
      <c r="AQ154" s="36">
        <f t="shared" si="17"/>
        <v>0</v>
      </c>
      <c r="AR154" s="37">
        <f t="shared" si="22"/>
        <v>0</v>
      </c>
      <c r="AS154" s="37" t="s">
        <v>228</v>
      </c>
      <c r="AT154" s="38"/>
      <c r="AU154" s="39"/>
    </row>
    <row r="155" s="105" customFormat="1" ht="20.15" customHeight="1" spans="1:47">
      <c r="A155" s="68"/>
      <c r="B155" s="154" t="s">
        <v>259</v>
      </c>
      <c r="C155" s="167" t="s">
        <v>260</v>
      </c>
      <c r="D155" s="149" t="s">
        <v>163</v>
      </c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113"/>
      <c r="AM155" s="151"/>
      <c r="AN155" s="35">
        <f t="shared" si="19"/>
        <v>0</v>
      </c>
      <c r="AO155" s="36">
        <f t="shared" si="20"/>
        <v>0</v>
      </c>
      <c r="AP155" s="35">
        <f t="shared" si="21"/>
        <v>0</v>
      </c>
      <c r="AQ155" s="36">
        <f t="shared" si="17"/>
        <v>0</v>
      </c>
      <c r="AR155" s="37">
        <f t="shared" si="22"/>
        <v>0</v>
      </c>
      <c r="AS155" s="43" t="s">
        <v>336</v>
      </c>
      <c r="AT155" s="38"/>
      <c r="AU155" s="39"/>
    </row>
    <row r="156" s="105" customFormat="1" ht="20.15" customHeight="1" spans="1:47">
      <c r="A156" s="68"/>
      <c r="B156" s="154" t="s">
        <v>262</v>
      </c>
      <c r="C156" s="167" t="s">
        <v>263</v>
      </c>
      <c r="D156" s="152" t="s">
        <v>180</v>
      </c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113"/>
      <c r="AM156" s="151"/>
      <c r="AN156" s="35">
        <f t="shared" si="19"/>
        <v>0</v>
      </c>
      <c r="AO156" s="36">
        <f t="shared" si="20"/>
        <v>0</v>
      </c>
      <c r="AP156" s="35">
        <f t="shared" si="21"/>
        <v>0</v>
      </c>
      <c r="AQ156" s="36">
        <f t="shared" si="17"/>
        <v>0</v>
      </c>
      <c r="AR156" s="37">
        <f t="shared" si="22"/>
        <v>0</v>
      </c>
      <c r="AS156" s="38" t="s">
        <v>282</v>
      </c>
      <c r="AT156" s="38"/>
      <c r="AU156" s="39"/>
    </row>
    <row r="157" s="105" customFormat="1" ht="20.15" customHeight="1" spans="1:47">
      <c r="A157" s="68"/>
      <c r="B157" s="154" t="s">
        <v>283</v>
      </c>
      <c r="C157" s="150" t="s">
        <v>16</v>
      </c>
      <c r="D157" s="152" t="s">
        <v>346</v>
      </c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113"/>
      <c r="AM157" s="151"/>
      <c r="AN157" s="35">
        <f t="shared" si="19"/>
        <v>0</v>
      </c>
      <c r="AO157" s="36">
        <f t="shared" si="20"/>
        <v>0</v>
      </c>
      <c r="AP157" s="35">
        <f t="shared" si="21"/>
        <v>0</v>
      </c>
      <c r="AQ157" s="36">
        <f t="shared" si="17"/>
        <v>0</v>
      </c>
      <c r="AR157" s="37">
        <f t="shared" si="22"/>
        <v>0</v>
      </c>
      <c r="AS157" s="38"/>
      <c r="AT157" s="38"/>
      <c r="AU157" s="39"/>
    </row>
    <row r="158" s="105" customFormat="1" ht="20.15" customHeight="1" spans="1:47">
      <c r="A158" s="68"/>
      <c r="B158" s="154" t="s">
        <v>284</v>
      </c>
      <c r="C158" s="167" t="s">
        <v>285</v>
      </c>
      <c r="D158" s="152" t="s">
        <v>178</v>
      </c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113"/>
      <c r="AM158" s="151"/>
      <c r="AN158" s="35">
        <f t="shared" si="19"/>
        <v>0</v>
      </c>
      <c r="AO158" s="36">
        <f t="shared" si="20"/>
        <v>0</v>
      </c>
      <c r="AP158" s="35">
        <f t="shared" si="21"/>
        <v>0</v>
      </c>
      <c r="AQ158" s="36">
        <f t="shared" si="17"/>
        <v>0</v>
      </c>
      <c r="AR158" s="37">
        <f t="shared" si="22"/>
        <v>0</v>
      </c>
      <c r="AS158" s="130" t="s">
        <v>171</v>
      </c>
      <c r="AT158" s="38"/>
      <c r="AU158" s="39"/>
    </row>
    <row r="159" s="105" customFormat="1" ht="20.15" customHeight="1" spans="1:47">
      <c r="A159" s="68"/>
      <c r="B159" s="154" t="s">
        <v>286</v>
      </c>
      <c r="C159" s="150" t="s">
        <v>16</v>
      </c>
      <c r="D159" s="152" t="s">
        <v>205</v>
      </c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113"/>
      <c r="AM159" s="151"/>
      <c r="AN159" s="35">
        <f t="shared" si="19"/>
        <v>0</v>
      </c>
      <c r="AO159" s="36">
        <f t="shared" si="20"/>
        <v>0</v>
      </c>
      <c r="AP159" s="35">
        <f t="shared" si="21"/>
        <v>0</v>
      </c>
      <c r="AQ159" s="36">
        <f t="shared" si="17"/>
        <v>0</v>
      </c>
      <c r="AR159" s="37">
        <f t="shared" si="22"/>
        <v>0</v>
      </c>
      <c r="AS159" s="43" t="s">
        <v>193</v>
      </c>
      <c r="AT159" s="38"/>
      <c r="AU159" s="39"/>
    </row>
    <row r="160" s="105" customFormat="1" ht="20.15" customHeight="1" spans="1:47">
      <c r="A160" s="68"/>
      <c r="B160" s="154" t="s">
        <v>287</v>
      </c>
      <c r="C160" s="166" t="s">
        <v>16</v>
      </c>
      <c r="D160" s="149" t="s">
        <v>288</v>
      </c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113"/>
      <c r="AM160" s="96"/>
      <c r="AN160" s="35">
        <f t="shared" si="19"/>
        <v>0</v>
      </c>
      <c r="AO160" s="36">
        <f t="shared" si="20"/>
        <v>0</v>
      </c>
      <c r="AP160" s="35">
        <f t="shared" si="21"/>
        <v>0</v>
      </c>
      <c r="AQ160" s="36">
        <f t="shared" si="17"/>
        <v>0</v>
      </c>
      <c r="AR160" s="37">
        <f t="shared" si="22"/>
        <v>0</v>
      </c>
      <c r="AS160" s="43" t="s">
        <v>399</v>
      </c>
      <c r="AT160" s="96"/>
      <c r="AU160" s="39"/>
    </row>
    <row r="161" s="105" customFormat="1" ht="20.15" customHeight="1" spans="1:47">
      <c r="A161" s="68"/>
      <c r="B161" s="154" t="s">
        <v>289</v>
      </c>
      <c r="C161" s="150" t="s">
        <v>16</v>
      </c>
      <c r="D161" s="152" t="s">
        <v>231</v>
      </c>
      <c r="E161" s="62"/>
      <c r="F161" s="62"/>
      <c r="G161" s="62"/>
      <c r="H161" s="62"/>
      <c r="I161" s="62"/>
      <c r="J161" s="62" t="s">
        <v>11</v>
      </c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113"/>
      <c r="AM161" s="96"/>
      <c r="AN161" s="35">
        <f t="shared" si="19"/>
        <v>1</v>
      </c>
      <c r="AO161" s="36">
        <f t="shared" si="20"/>
        <v>0</v>
      </c>
      <c r="AP161" s="35">
        <f t="shared" si="21"/>
        <v>0</v>
      </c>
      <c r="AQ161" s="36">
        <f t="shared" si="17"/>
        <v>0</v>
      </c>
      <c r="AR161" s="37">
        <f t="shared" si="22"/>
        <v>1</v>
      </c>
      <c r="AS161" s="43" t="s">
        <v>336</v>
      </c>
      <c r="AT161" s="96"/>
      <c r="AU161" s="39"/>
    </row>
    <row r="162" s="105" customFormat="1" ht="20.15" customHeight="1" spans="1:47">
      <c r="A162" s="68"/>
      <c r="B162" s="154" t="s">
        <v>290</v>
      </c>
      <c r="C162" s="150" t="s">
        <v>16</v>
      </c>
      <c r="D162" s="152" t="s">
        <v>236</v>
      </c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113"/>
      <c r="AM162" s="151"/>
      <c r="AN162" s="35">
        <f t="shared" si="19"/>
        <v>0</v>
      </c>
      <c r="AO162" s="36">
        <f t="shared" si="20"/>
        <v>0</v>
      </c>
      <c r="AP162" s="35">
        <f t="shared" si="21"/>
        <v>0</v>
      </c>
      <c r="AQ162" s="36">
        <f t="shared" si="17"/>
        <v>0</v>
      </c>
      <c r="AR162" s="37">
        <f t="shared" si="22"/>
        <v>0</v>
      </c>
      <c r="AS162" s="43" t="s">
        <v>336</v>
      </c>
      <c r="AT162" s="38"/>
      <c r="AU162" s="39"/>
    </row>
    <row r="163" s="105" customFormat="1" ht="20.15" customHeight="1" spans="1:47">
      <c r="A163" s="68"/>
      <c r="B163" s="154" t="s">
        <v>291</v>
      </c>
      <c r="C163" s="167" t="s">
        <v>108</v>
      </c>
      <c r="D163" s="152" t="s">
        <v>153</v>
      </c>
      <c r="E163" s="62"/>
      <c r="F163" s="62" t="s">
        <v>11</v>
      </c>
      <c r="G163" s="62"/>
      <c r="H163" s="62"/>
      <c r="I163" s="62"/>
      <c r="J163" s="62"/>
      <c r="K163" s="62"/>
      <c r="L163" s="62" t="s">
        <v>11</v>
      </c>
      <c r="M163" s="62"/>
      <c r="N163" s="62"/>
      <c r="O163" s="62"/>
      <c r="P163" s="62"/>
      <c r="Q163" s="62"/>
      <c r="R163" s="62"/>
      <c r="S163" s="62"/>
      <c r="T163" s="62"/>
      <c r="U163" s="62"/>
      <c r="V163" s="62" t="s">
        <v>11</v>
      </c>
      <c r="W163" s="62"/>
      <c r="X163" s="62"/>
      <c r="Y163" s="62"/>
      <c r="Z163" s="62"/>
      <c r="AA163" s="62"/>
      <c r="AB163" s="62" t="s">
        <v>11</v>
      </c>
      <c r="AC163" s="62"/>
      <c r="AD163" s="62" t="s">
        <v>11</v>
      </c>
      <c r="AE163" s="62"/>
      <c r="AF163" s="62"/>
      <c r="AG163" s="62"/>
      <c r="AH163" s="62"/>
      <c r="AI163" s="62"/>
      <c r="AJ163" s="62"/>
      <c r="AK163" s="62"/>
      <c r="AL163" s="113"/>
      <c r="AM163" s="151">
        <f>COUNTIF(E163:AK163,"H")</f>
        <v>0</v>
      </c>
      <c r="AN163" s="47">
        <f t="shared" si="19"/>
        <v>5</v>
      </c>
      <c r="AO163" s="35">
        <f t="shared" si="20"/>
        <v>0</v>
      </c>
      <c r="AP163" s="35">
        <f t="shared" si="21"/>
        <v>0</v>
      </c>
      <c r="AQ163" s="36">
        <f t="shared" si="17"/>
        <v>0</v>
      </c>
      <c r="AR163" s="48">
        <f t="shared" si="22"/>
        <v>5</v>
      </c>
      <c r="AS163" s="43" t="s">
        <v>336</v>
      </c>
      <c r="AT163" s="38">
        <v>26</v>
      </c>
      <c r="AU163" s="39">
        <f>AR163/AT163</f>
        <v>0.192307692307692</v>
      </c>
    </row>
    <row r="164" ht="20.15" customHeight="1" spans="1:47">
      <c r="A164" s="97"/>
      <c r="B164" s="154" t="s">
        <v>442</v>
      </c>
      <c r="C164" s="166" t="s">
        <v>16</v>
      </c>
      <c r="D164" s="152" t="s">
        <v>178</v>
      </c>
      <c r="E164" s="168"/>
      <c r="F164" s="168"/>
      <c r="G164" s="62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80" t="s">
        <v>11</v>
      </c>
      <c r="U164" s="168"/>
      <c r="V164" s="168"/>
      <c r="W164" s="168"/>
      <c r="X164" s="168"/>
      <c r="Y164" s="62"/>
      <c r="Z164" s="62" t="s">
        <v>11</v>
      </c>
      <c r="AA164" s="62" t="s">
        <v>11</v>
      </c>
      <c r="AB164" s="168"/>
      <c r="AC164" s="168"/>
      <c r="AD164" s="168"/>
      <c r="AE164" s="168"/>
      <c r="AF164" s="168"/>
      <c r="AG164" s="62" t="s">
        <v>12</v>
      </c>
      <c r="AH164" s="168"/>
      <c r="AI164" s="168"/>
      <c r="AJ164" s="168"/>
      <c r="AK164" s="168"/>
      <c r="AL164" s="113"/>
      <c r="AN164" s="131">
        <f t="shared" si="19"/>
        <v>3</v>
      </c>
      <c r="AO164" s="103">
        <f t="shared" si="20"/>
        <v>1</v>
      </c>
      <c r="AP164" s="131">
        <f t="shared" si="21"/>
        <v>0</v>
      </c>
      <c r="AQ164" s="36">
        <f t="shared" si="17"/>
        <v>0</v>
      </c>
      <c r="AR164" s="128">
        <f t="shared" si="22"/>
        <v>4</v>
      </c>
      <c r="AS164" s="128" t="s">
        <v>305</v>
      </c>
      <c r="AT164" s="97"/>
      <c r="AU164" s="97"/>
    </row>
    <row r="165" ht="20.15" customHeight="1" spans="1:47">
      <c r="A165" s="97"/>
      <c r="B165" s="154" t="s">
        <v>293</v>
      </c>
      <c r="C165" s="170" t="s">
        <v>16</v>
      </c>
      <c r="D165" s="171" t="s">
        <v>238</v>
      </c>
      <c r="E165" s="239"/>
      <c r="F165" s="239"/>
      <c r="G165" s="239"/>
      <c r="H165" s="172"/>
      <c r="I165" s="172"/>
      <c r="J165" s="239"/>
      <c r="K165" s="239"/>
      <c r="L165" s="239"/>
      <c r="M165" s="239"/>
      <c r="N165" s="239"/>
      <c r="O165" s="239"/>
      <c r="P165" s="180" t="s">
        <v>11</v>
      </c>
      <c r="Q165" s="180"/>
      <c r="R165" s="239"/>
      <c r="S165" s="180" t="s">
        <v>11</v>
      </c>
      <c r="T165" s="239"/>
      <c r="U165" s="239"/>
      <c r="V165" s="239"/>
      <c r="W165" s="239"/>
      <c r="X165" s="239"/>
      <c r="Y165" s="239"/>
      <c r="Z165" s="172"/>
      <c r="AA165" s="172"/>
      <c r="AB165" s="239"/>
      <c r="AC165" s="180"/>
      <c r="AD165" s="239"/>
      <c r="AE165" s="62" t="s">
        <v>11</v>
      </c>
      <c r="AF165" s="62" t="s">
        <v>11</v>
      </c>
      <c r="AG165" s="239"/>
      <c r="AH165" s="172"/>
      <c r="AI165" s="172"/>
      <c r="AJ165" s="172"/>
      <c r="AK165" s="172"/>
      <c r="AL165" s="113"/>
      <c r="AN165" s="173">
        <f t="shared" si="19"/>
        <v>4</v>
      </c>
      <c r="AO165" s="174">
        <f t="shared" si="20"/>
        <v>0</v>
      </c>
      <c r="AP165" s="175">
        <f t="shared" si="21"/>
        <v>0</v>
      </c>
      <c r="AQ165" s="105">
        <f t="shared" si="17"/>
        <v>0</v>
      </c>
      <c r="AR165" s="173">
        <f t="shared" si="22"/>
        <v>4</v>
      </c>
      <c r="AS165" s="43" t="s">
        <v>193</v>
      </c>
      <c r="AT165" s="99"/>
      <c r="AU165" s="99"/>
    </row>
    <row r="166" s="105" customFormat="1" ht="20.15" customHeight="1" spans="1:47">
      <c r="A166" s="101"/>
      <c r="B166" s="154" t="s">
        <v>294</v>
      </c>
      <c r="C166" s="149" t="s">
        <v>16</v>
      </c>
      <c r="D166" s="149" t="s">
        <v>238</v>
      </c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113"/>
      <c r="AM166" s="151">
        <f>COUNTIF(E166:AK166,"H")</f>
        <v>0</v>
      </c>
      <c r="AN166" s="43">
        <f t="shared" si="19"/>
        <v>0</v>
      </c>
      <c r="AO166" s="43">
        <f t="shared" si="20"/>
        <v>0</v>
      </c>
      <c r="AP166" s="176">
        <f t="shared" si="21"/>
        <v>0</v>
      </c>
      <c r="AQ166" s="66">
        <f t="shared" si="17"/>
        <v>0</v>
      </c>
      <c r="AR166" s="43">
        <f t="shared" si="22"/>
        <v>0</v>
      </c>
      <c r="AS166" s="43"/>
      <c r="AT166" s="101"/>
      <c r="AU166" s="102"/>
    </row>
    <row r="167" s="105" customFormat="1" ht="20.15" customHeight="1" spans="1:47">
      <c r="A167" s="66"/>
      <c r="B167" s="154" t="s">
        <v>295</v>
      </c>
      <c r="C167" s="177" t="s">
        <v>296</v>
      </c>
      <c r="D167" s="177" t="s">
        <v>215</v>
      </c>
      <c r="E167" s="178"/>
      <c r="F167" s="180" t="s">
        <v>11</v>
      </c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8"/>
      <c r="AI167" s="178"/>
      <c r="AJ167" s="178"/>
      <c r="AK167" s="178"/>
      <c r="AL167" s="113"/>
      <c r="AM167" s="179"/>
      <c r="AN167" s="131">
        <f t="shared" si="19"/>
        <v>1</v>
      </c>
      <c r="AO167" s="103">
        <f t="shared" si="20"/>
        <v>0</v>
      </c>
      <c r="AP167" s="131">
        <f t="shared" si="21"/>
        <v>0</v>
      </c>
      <c r="AQ167" s="103">
        <f t="shared" si="17"/>
        <v>0</v>
      </c>
      <c r="AR167" s="131">
        <f t="shared" si="22"/>
        <v>1</v>
      </c>
      <c r="AS167" s="147" t="s">
        <v>382</v>
      </c>
      <c r="AT167" s="101"/>
      <c r="AU167" s="102"/>
    </row>
    <row r="168" s="105" customFormat="1" ht="20.15" customHeight="1" spans="1:47">
      <c r="A168" s="112"/>
      <c r="B168" s="154" t="s">
        <v>297</v>
      </c>
      <c r="C168" s="164" t="s">
        <v>111</v>
      </c>
      <c r="D168" s="152" t="s">
        <v>298</v>
      </c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13"/>
      <c r="AM168" s="151">
        <f>COUNTIF(E168:AK168,"H")</f>
        <v>0</v>
      </c>
      <c r="AN168" s="47">
        <f t="shared" si="19"/>
        <v>0</v>
      </c>
      <c r="AO168" s="35">
        <f t="shared" si="20"/>
        <v>0</v>
      </c>
      <c r="AP168" s="35">
        <f t="shared" si="21"/>
        <v>0</v>
      </c>
      <c r="AQ168" s="36">
        <f t="shared" si="17"/>
        <v>0</v>
      </c>
      <c r="AR168" s="48">
        <f t="shared" si="22"/>
        <v>0</v>
      </c>
      <c r="AS168" s="37" t="s">
        <v>299</v>
      </c>
      <c r="AT168" s="38"/>
      <c r="AU168" s="104"/>
    </row>
    <row r="169" s="105" customFormat="1" ht="20.15" customHeight="1" spans="1:47">
      <c r="A169" s="112"/>
      <c r="B169" s="154" t="s">
        <v>300</v>
      </c>
      <c r="C169" s="150" t="s">
        <v>59</v>
      </c>
      <c r="D169" s="149" t="s">
        <v>180</v>
      </c>
      <c r="E169" s="180"/>
      <c r="F169" s="180"/>
      <c r="G169" s="180"/>
      <c r="H169" s="172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80"/>
      <c r="AI169" s="180"/>
      <c r="AJ169" s="180"/>
      <c r="AK169" s="180"/>
      <c r="AL169" s="113"/>
      <c r="AM169" s="151">
        <f>COUNTIF(E169:AK169,"H")</f>
        <v>0</v>
      </c>
      <c r="AN169" s="47">
        <f t="shared" si="19"/>
        <v>0</v>
      </c>
      <c r="AO169" s="35">
        <f t="shared" si="20"/>
        <v>0</v>
      </c>
      <c r="AP169" s="35">
        <f t="shared" si="21"/>
        <v>0</v>
      </c>
      <c r="AQ169" s="36">
        <f t="shared" si="17"/>
        <v>0</v>
      </c>
      <c r="AR169" s="48">
        <f t="shared" si="22"/>
        <v>0</v>
      </c>
      <c r="AS169" s="37" t="s">
        <v>228</v>
      </c>
      <c r="AT169" s="38"/>
      <c r="AU169" s="104"/>
    </row>
    <row r="170" s="105" customFormat="1" ht="20.15" customHeight="1" spans="1:47">
      <c r="A170" s="112"/>
      <c r="B170" s="154" t="s">
        <v>318</v>
      </c>
      <c r="C170" s="166" t="s">
        <v>296</v>
      </c>
      <c r="D170" s="171" t="s">
        <v>180</v>
      </c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13"/>
      <c r="AM170" s="179"/>
      <c r="AN170" s="131">
        <f t="shared" si="19"/>
        <v>0</v>
      </c>
      <c r="AO170" s="103">
        <f t="shared" si="20"/>
        <v>0</v>
      </c>
      <c r="AP170" s="131">
        <f t="shared" si="21"/>
        <v>0</v>
      </c>
      <c r="AQ170" s="103">
        <f t="shared" si="17"/>
        <v>0</v>
      </c>
      <c r="AR170" s="128">
        <f t="shared" si="22"/>
        <v>0</v>
      </c>
      <c r="AS170" s="43" t="s">
        <v>336</v>
      </c>
      <c r="AU170" s="106"/>
    </row>
    <row r="171" s="105" customFormat="1" ht="20.15" customHeight="1" spans="1:47">
      <c r="A171" s="112"/>
      <c r="B171" s="154" t="s">
        <v>319</v>
      </c>
      <c r="C171" s="170" t="s">
        <v>16</v>
      </c>
      <c r="D171" s="149" t="s">
        <v>267</v>
      </c>
      <c r="E171" s="180"/>
      <c r="F171" s="180" t="s">
        <v>11</v>
      </c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80"/>
      <c r="AK171" s="180"/>
      <c r="AL171" s="113"/>
      <c r="AM171" s="151">
        <f>COUNTIF(E171:AK171,"H")</f>
        <v>0</v>
      </c>
      <c r="AN171" s="43">
        <f t="shared" si="19"/>
        <v>1</v>
      </c>
      <c r="AO171" s="43">
        <f t="shared" si="20"/>
        <v>0</v>
      </c>
      <c r="AP171" s="176">
        <f t="shared" si="21"/>
        <v>0</v>
      </c>
      <c r="AQ171" s="66">
        <f t="shared" si="17"/>
        <v>0</v>
      </c>
      <c r="AR171" s="43">
        <f t="shared" si="22"/>
        <v>1</v>
      </c>
      <c r="AS171" s="147" t="s">
        <v>443</v>
      </c>
      <c r="AU171" s="106"/>
    </row>
    <row r="172" s="105" customFormat="1" ht="20.15" customHeight="1" spans="1:47">
      <c r="A172" s="112"/>
      <c r="B172" s="154" t="s">
        <v>358</v>
      </c>
      <c r="C172" s="150" t="s">
        <v>59</v>
      </c>
      <c r="D172" s="171" t="s">
        <v>112</v>
      </c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 t="s">
        <v>11</v>
      </c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72" t="s">
        <v>12</v>
      </c>
      <c r="AJ172" s="172"/>
      <c r="AK172" s="172"/>
      <c r="AL172" s="113"/>
      <c r="AM172" s="179"/>
      <c r="AN172" s="43">
        <f t="shared" si="19"/>
        <v>1</v>
      </c>
      <c r="AO172" s="43">
        <f t="shared" si="20"/>
        <v>1</v>
      </c>
      <c r="AP172" s="176">
        <f t="shared" si="21"/>
        <v>0</v>
      </c>
      <c r="AQ172" s="66">
        <f t="shared" si="17"/>
        <v>0</v>
      </c>
      <c r="AR172" s="43">
        <f t="shared" si="22"/>
        <v>2</v>
      </c>
      <c r="AS172" s="43" t="s">
        <v>193</v>
      </c>
      <c r="AU172" s="106"/>
    </row>
    <row r="173" s="105" customFormat="1" ht="20.15" customHeight="1" spans="1:47">
      <c r="A173" s="112"/>
      <c r="B173" s="154" t="s">
        <v>320</v>
      </c>
      <c r="C173" s="170" t="s">
        <v>321</v>
      </c>
      <c r="D173" s="149" t="s">
        <v>322</v>
      </c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13"/>
      <c r="AM173" s="179"/>
      <c r="AN173" s="43">
        <f t="shared" si="19"/>
        <v>0</v>
      </c>
      <c r="AO173" s="43">
        <f t="shared" si="20"/>
        <v>0</v>
      </c>
      <c r="AP173" s="176">
        <f t="shared" si="21"/>
        <v>0</v>
      </c>
      <c r="AQ173" s="66">
        <f t="shared" si="17"/>
        <v>0</v>
      </c>
      <c r="AR173" s="43">
        <f t="shared" si="22"/>
        <v>0</v>
      </c>
      <c r="AS173" s="131"/>
      <c r="AU173" s="106"/>
    </row>
    <row r="174" s="105" customFormat="1" ht="20.15" customHeight="1" spans="1:47">
      <c r="A174" s="112"/>
      <c r="B174" s="154" t="s">
        <v>323</v>
      </c>
      <c r="C174" s="150" t="s">
        <v>59</v>
      </c>
      <c r="D174" s="149" t="s">
        <v>267</v>
      </c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13"/>
      <c r="AM174" s="179"/>
      <c r="AN174" s="43">
        <f t="shared" si="19"/>
        <v>0</v>
      </c>
      <c r="AO174" s="43">
        <f t="shared" si="20"/>
        <v>0</v>
      </c>
      <c r="AP174" s="176">
        <f t="shared" si="21"/>
        <v>0</v>
      </c>
      <c r="AQ174" s="66">
        <f t="shared" si="17"/>
        <v>0</v>
      </c>
      <c r="AR174" s="43">
        <f t="shared" si="22"/>
        <v>0</v>
      </c>
      <c r="AS174" s="131"/>
      <c r="AU174" s="106"/>
    </row>
    <row r="175" s="105" customFormat="1" ht="20.15" customHeight="1" spans="1:47">
      <c r="A175" s="112"/>
      <c r="B175" s="154" t="s">
        <v>324</v>
      </c>
      <c r="C175" s="170" t="s">
        <v>325</v>
      </c>
      <c r="D175" s="149" t="s">
        <v>273</v>
      </c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80"/>
      <c r="AL175" s="113"/>
      <c r="AM175" s="179"/>
      <c r="AN175" s="43">
        <f t="shared" si="19"/>
        <v>0</v>
      </c>
      <c r="AO175" s="43">
        <f t="shared" si="20"/>
        <v>0</v>
      </c>
      <c r="AP175" s="176">
        <f t="shared" si="21"/>
        <v>0</v>
      </c>
      <c r="AQ175" s="66">
        <f t="shared" si="17"/>
        <v>0</v>
      </c>
      <c r="AR175" s="43">
        <f t="shared" si="22"/>
        <v>0</v>
      </c>
      <c r="AS175" s="131"/>
      <c r="AU175" s="106"/>
    </row>
    <row r="176" s="105" customFormat="1" ht="20.15" customHeight="1" spans="1:47">
      <c r="A176" s="112"/>
      <c r="B176" s="154" t="s">
        <v>326</v>
      </c>
      <c r="C176" s="181" t="s">
        <v>59</v>
      </c>
      <c r="D176" s="171" t="s">
        <v>178</v>
      </c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13"/>
      <c r="AM176" s="179"/>
      <c r="AN176" s="43">
        <f t="shared" si="19"/>
        <v>0</v>
      </c>
      <c r="AO176" s="43">
        <f t="shared" si="20"/>
        <v>0</v>
      </c>
      <c r="AP176" s="176">
        <f t="shared" si="21"/>
        <v>0</v>
      </c>
      <c r="AQ176" s="66">
        <f t="shared" si="17"/>
        <v>0</v>
      </c>
      <c r="AR176" s="43">
        <f t="shared" si="22"/>
        <v>0</v>
      </c>
      <c r="AS176" s="131"/>
      <c r="AU176" s="106"/>
    </row>
    <row r="177" s="105" customFormat="1" ht="20.15" customHeight="1" spans="1:47">
      <c r="A177" s="112"/>
      <c r="B177" s="154" t="s">
        <v>327</v>
      </c>
      <c r="C177" s="166" t="s">
        <v>59</v>
      </c>
      <c r="D177" s="166" t="s">
        <v>180</v>
      </c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13"/>
      <c r="AM177" s="179"/>
      <c r="AN177" s="43">
        <f t="shared" si="19"/>
        <v>0</v>
      </c>
      <c r="AO177" s="43">
        <f t="shared" si="20"/>
        <v>0</v>
      </c>
      <c r="AP177" s="176">
        <f t="shared" si="21"/>
        <v>0</v>
      </c>
      <c r="AQ177" s="66">
        <f t="shared" si="17"/>
        <v>0</v>
      </c>
      <c r="AR177" s="43">
        <f t="shared" si="22"/>
        <v>0</v>
      </c>
      <c r="AS177" s="43" t="s">
        <v>336</v>
      </c>
      <c r="AU177" s="106"/>
    </row>
    <row r="178" s="105" customFormat="1" ht="20.15" customHeight="1" spans="1:47">
      <c r="A178" s="112"/>
      <c r="B178" s="154" t="s">
        <v>444</v>
      </c>
      <c r="C178" s="182" t="s">
        <v>16</v>
      </c>
      <c r="D178" s="171" t="s">
        <v>178</v>
      </c>
      <c r="E178" s="180"/>
      <c r="F178" s="180"/>
      <c r="G178" s="180"/>
      <c r="H178" s="180"/>
      <c r="I178" s="180"/>
      <c r="J178" s="180"/>
      <c r="K178" s="180"/>
      <c r="L178" s="180" t="s">
        <v>11</v>
      </c>
      <c r="M178" s="180"/>
      <c r="N178" s="180"/>
      <c r="O178" s="180"/>
      <c r="P178" s="180"/>
      <c r="Q178" s="180"/>
      <c r="R178" s="180"/>
      <c r="S178" s="180"/>
      <c r="T178" s="180"/>
      <c r="U178" s="180" t="s">
        <v>11</v>
      </c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 t="s">
        <v>12</v>
      </c>
      <c r="AG178" s="180"/>
      <c r="AH178" s="180" t="s">
        <v>11</v>
      </c>
      <c r="AI178" s="180"/>
      <c r="AJ178" s="180"/>
      <c r="AK178" s="180"/>
      <c r="AL178" s="113"/>
      <c r="AM178" s="179"/>
      <c r="AN178" s="43">
        <f t="shared" si="19"/>
        <v>3</v>
      </c>
      <c r="AO178" s="43">
        <f t="shared" si="20"/>
        <v>1</v>
      </c>
      <c r="AP178" s="176">
        <f t="shared" si="21"/>
        <v>0</v>
      </c>
      <c r="AQ178" s="66">
        <f t="shared" si="17"/>
        <v>0</v>
      </c>
      <c r="AR178" s="43">
        <f t="shared" si="22"/>
        <v>4</v>
      </c>
      <c r="AS178" s="43" t="s">
        <v>382</v>
      </c>
      <c r="AU178" s="106"/>
    </row>
    <row r="179" s="105" customFormat="1" ht="20.15" customHeight="1" spans="1:47">
      <c r="A179" s="112"/>
      <c r="B179" s="154" t="s">
        <v>331</v>
      </c>
      <c r="C179" s="166" t="s">
        <v>211</v>
      </c>
      <c r="D179" s="152" t="s">
        <v>238</v>
      </c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 t="s">
        <v>11</v>
      </c>
      <c r="R179" s="180"/>
      <c r="S179" s="180"/>
      <c r="T179" s="180"/>
      <c r="U179" s="180"/>
      <c r="V179" s="180" t="s">
        <v>11</v>
      </c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/>
      <c r="AI179" s="180" t="s">
        <v>11</v>
      </c>
      <c r="AJ179" s="180"/>
      <c r="AK179" s="180"/>
      <c r="AL179" s="113"/>
      <c r="AM179" s="179"/>
      <c r="AN179" s="35">
        <f t="shared" si="19"/>
        <v>3</v>
      </c>
      <c r="AO179" s="43">
        <f t="shared" si="20"/>
        <v>0</v>
      </c>
      <c r="AP179" s="35">
        <f t="shared" si="21"/>
        <v>0</v>
      </c>
      <c r="AQ179" s="36">
        <f t="shared" si="17"/>
        <v>0</v>
      </c>
      <c r="AR179" s="37">
        <f t="shared" si="22"/>
        <v>3</v>
      </c>
      <c r="AS179" s="43" t="s">
        <v>193</v>
      </c>
      <c r="AU179" s="106"/>
    </row>
    <row r="180" s="105" customFormat="1" ht="20.15" customHeight="1" spans="1:47">
      <c r="A180" s="182"/>
      <c r="B180" s="154" t="s">
        <v>332</v>
      </c>
      <c r="C180" s="182" t="s">
        <v>333</v>
      </c>
      <c r="D180" s="182" t="s">
        <v>180</v>
      </c>
      <c r="E180" s="183"/>
      <c r="F180" s="183"/>
      <c r="G180" s="183"/>
      <c r="H180" s="183"/>
      <c r="I180" s="172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0"/>
      <c r="Z180" s="183"/>
      <c r="AA180" s="180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13"/>
      <c r="AM180" s="179"/>
      <c r="AN180" s="35">
        <f t="shared" si="19"/>
        <v>0</v>
      </c>
      <c r="AO180" s="43">
        <f t="shared" si="20"/>
        <v>0</v>
      </c>
      <c r="AP180" s="35">
        <f t="shared" si="21"/>
        <v>0</v>
      </c>
      <c r="AQ180" s="36">
        <f t="shared" si="17"/>
        <v>0</v>
      </c>
      <c r="AR180" s="37">
        <f t="shared" si="22"/>
        <v>0</v>
      </c>
      <c r="AS180" s="43" t="s">
        <v>336</v>
      </c>
      <c r="AU180" s="106"/>
    </row>
    <row r="181" s="105" customFormat="1" ht="20.15" customHeight="1" spans="1:47">
      <c r="A181" s="182"/>
      <c r="B181" s="154" t="s">
        <v>334</v>
      </c>
      <c r="C181" s="182" t="s">
        <v>296</v>
      </c>
      <c r="D181" s="182" t="s">
        <v>180</v>
      </c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0" t="s">
        <v>11</v>
      </c>
      <c r="S181" s="183"/>
      <c r="T181" s="183" t="s">
        <v>11</v>
      </c>
      <c r="U181" s="183"/>
      <c r="V181" s="183"/>
      <c r="W181" s="183"/>
      <c r="X181" s="183"/>
      <c r="Y181" s="180" t="s">
        <v>11</v>
      </c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13"/>
      <c r="AM181" s="179"/>
      <c r="AN181" s="35">
        <f t="shared" si="19"/>
        <v>3</v>
      </c>
      <c r="AO181" s="43">
        <f t="shared" si="20"/>
        <v>0</v>
      </c>
      <c r="AP181" s="35">
        <f t="shared" si="21"/>
        <v>0</v>
      </c>
      <c r="AQ181" s="36">
        <f t="shared" si="17"/>
        <v>0</v>
      </c>
      <c r="AR181" s="37">
        <f t="shared" si="22"/>
        <v>3</v>
      </c>
      <c r="AS181" s="43" t="s">
        <v>193</v>
      </c>
      <c r="AU181" s="106"/>
    </row>
    <row r="182" s="105" customFormat="1" ht="20.15" customHeight="1" spans="1:47">
      <c r="A182" s="182"/>
      <c r="B182" s="154" t="s">
        <v>335</v>
      </c>
      <c r="C182" s="150" t="s">
        <v>59</v>
      </c>
      <c r="D182" s="182" t="s">
        <v>238</v>
      </c>
      <c r="E182" s="183"/>
      <c r="F182" s="180" t="s">
        <v>11</v>
      </c>
      <c r="G182" s="183"/>
      <c r="H182" s="183"/>
      <c r="I182" s="183"/>
      <c r="J182" s="183"/>
      <c r="K182" s="180" t="s">
        <v>11</v>
      </c>
      <c r="L182" s="183"/>
      <c r="M182" s="180" t="s">
        <v>11</v>
      </c>
      <c r="N182" s="183"/>
      <c r="O182" s="183"/>
      <c r="P182" s="183"/>
      <c r="Q182" s="183"/>
      <c r="R182" s="183"/>
      <c r="S182" s="183"/>
      <c r="T182" s="180" t="s">
        <v>11</v>
      </c>
      <c r="U182" s="183"/>
      <c r="V182" s="183"/>
      <c r="W182" s="183"/>
      <c r="X182" s="183"/>
      <c r="Y182" s="183"/>
      <c r="Z182" s="183"/>
      <c r="AA182" s="180" t="s">
        <v>11</v>
      </c>
      <c r="AB182" s="183"/>
      <c r="AC182" s="183"/>
      <c r="AD182" s="180"/>
      <c r="AE182" s="183"/>
      <c r="AF182" s="183"/>
      <c r="AG182" s="183"/>
      <c r="AH182" s="183"/>
      <c r="AI182" s="183"/>
      <c r="AJ182" s="183"/>
      <c r="AK182" s="183"/>
      <c r="AL182" s="113"/>
      <c r="AM182" s="179"/>
      <c r="AN182" s="35">
        <f t="shared" si="19"/>
        <v>5</v>
      </c>
      <c r="AO182" s="43">
        <f t="shared" si="20"/>
        <v>0</v>
      </c>
      <c r="AP182" s="35">
        <f t="shared" si="21"/>
        <v>0</v>
      </c>
      <c r="AQ182" s="36">
        <f t="shared" si="17"/>
        <v>0</v>
      </c>
      <c r="AR182" s="37">
        <f t="shared" si="22"/>
        <v>5</v>
      </c>
      <c r="AS182" s="43" t="s">
        <v>193</v>
      </c>
      <c r="AU182" s="106"/>
    </row>
    <row r="183" s="105" customFormat="1" ht="20.15" customHeight="1" spans="1:47">
      <c r="A183" s="182"/>
      <c r="B183" s="154" t="s">
        <v>359</v>
      </c>
      <c r="C183" s="182" t="s">
        <v>16</v>
      </c>
      <c r="D183" s="182" t="s">
        <v>180</v>
      </c>
      <c r="E183" s="183"/>
      <c r="F183" s="183"/>
      <c r="G183" s="180" t="s">
        <v>12</v>
      </c>
      <c r="H183" s="183"/>
      <c r="I183" s="96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0"/>
      <c r="Y183" s="180"/>
      <c r="Z183" s="180"/>
      <c r="AA183" s="183"/>
      <c r="AB183" s="183"/>
      <c r="AC183" s="183"/>
      <c r="AD183" s="183"/>
      <c r="AE183" s="183"/>
      <c r="AF183" s="183"/>
      <c r="AG183" s="183"/>
      <c r="AH183" s="183"/>
      <c r="AI183" s="183"/>
      <c r="AJ183" s="183"/>
      <c r="AK183" s="183"/>
      <c r="AL183" s="113"/>
      <c r="AM183" s="179"/>
      <c r="AN183" s="35">
        <f t="shared" si="19"/>
        <v>0</v>
      </c>
      <c r="AO183" s="35">
        <f t="shared" si="20"/>
        <v>1</v>
      </c>
      <c r="AP183" s="35">
        <f t="shared" si="21"/>
        <v>0</v>
      </c>
      <c r="AQ183" s="36">
        <f t="shared" si="17"/>
        <v>0</v>
      </c>
      <c r="AR183" s="37">
        <f t="shared" si="22"/>
        <v>1</v>
      </c>
      <c r="AS183" s="43" t="s">
        <v>400</v>
      </c>
      <c r="AU183" s="106"/>
    </row>
    <row r="184" s="105" customFormat="1" ht="20.15" customHeight="1" spans="1:47">
      <c r="A184" s="182"/>
      <c r="B184" s="154" t="s">
        <v>360</v>
      </c>
      <c r="C184" s="182" t="s">
        <v>16</v>
      </c>
      <c r="D184" s="182" t="s">
        <v>178</v>
      </c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0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13"/>
      <c r="AM184" s="179"/>
      <c r="AN184" s="131">
        <f t="shared" si="19"/>
        <v>0</v>
      </c>
      <c r="AO184" s="103">
        <f t="shared" si="20"/>
        <v>0</v>
      </c>
      <c r="AP184" s="131">
        <f t="shared" si="21"/>
        <v>0</v>
      </c>
      <c r="AQ184" s="103">
        <f t="shared" si="17"/>
        <v>0</v>
      </c>
      <c r="AR184" s="128">
        <f t="shared" si="22"/>
        <v>0</v>
      </c>
      <c r="AS184" s="131"/>
      <c r="AU184" s="106"/>
    </row>
    <row r="185" s="105" customFormat="1" ht="20.15" customHeight="1" spans="1:47">
      <c r="A185" s="182"/>
      <c r="B185" s="154" t="s">
        <v>361</v>
      </c>
      <c r="C185" s="166" t="s">
        <v>59</v>
      </c>
      <c r="D185" s="182" t="s">
        <v>180</v>
      </c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0"/>
      <c r="X185" s="183"/>
      <c r="Y185" s="183"/>
      <c r="Z185" s="183"/>
      <c r="AA185" s="183"/>
      <c r="AB185" s="180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13"/>
      <c r="AM185" s="151">
        <f>COUNTIF(E185:AK185,"H")</f>
        <v>0</v>
      </c>
      <c r="AN185" s="43">
        <f t="shared" si="19"/>
        <v>0</v>
      </c>
      <c r="AO185" s="43">
        <f t="shared" si="20"/>
        <v>0</v>
      </c>
      <c r="AP185" s="176">
        <f t="shared" si="21"/>
        <v>0</v>
      </c>
      <c r="AQ185" s="66">
        <f t="shared" si="17"/>
        <v>0</v>
      </c>
      <c r="AR185" s="43">
        <f t="shared" si="22"/>
        <v>0</v>
      </c>
      <c r="AS185" s="43" t="s">
        <v>382</v>
      </c>
      <c r="AU185" s="106"/>
    </row>
    <row r="186" s="105" customFormat="1" ht="20.15" customHeight="1" spans="1:47">
      <c r="A186" s="182"/>
      <c r="B186" s="154" t="s">
        <v>363</v>
      </c>
      <c r="C186" s="182" t="s">
        <v>131</v>
      </c>
      <c r="D186" s="182" t="s">
        <v>215</v>
      </c>
      <c r="E186" s="183"/>
      <c r="F186" s="183"/>
      <c r="G186" s="183"/>
      <c r="H186" s="183"/>
      <c r="I186" s="183"/>
      <c r="J186" s="183"/>
      <c r="K186" s="180" t="s">
        <v>11</v>
      </c>
      <c r="L186" s="183"/>
      <c r="M186" s="183"/>
      <c r="N186" s="183"/>
      <c r="O186" s="183"/>
      <c r="P186" s="183"/>
      <c r="Q186" s="183"/>
      <c r="R186" s="183"/>
      <c r="S186" s="180" t="s">
        <v>13</v>
      </c>
      <c r="T186" s="180" t="s">
        <v>11</v>
      </c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13"/>
      <c r="AM186" s="179"/>
      <c r="AN186" s="43">
        <f t="shared" si="19"/>
        <v>2</v>
      </c>
      <c r="AO186" s="43">
        <f t="shared" si="20"/>
        <v>0</v>
      </c>
      <c r="AP186" s="176">
        <f t="shared" si="21"/>
        <v>1</v>
      </c>
      <c r="AQ186" s="66">
        <f t="shared" si="17"/>
        <v>0</v>
      </c>
      <c r="AR186" s="43">
        <f t="shared" si="22"/>
        <v>3</v>
      </c>
      <c r="AS186" s="43" t="s">
        <v>193</v>
      </c>
      <c r="AU186" s="106"/>
    </row>
    <row r="187" s="105" customFormat="1" ht="20.15" customHeight="1" spans="1:47">
      <c r="A187" s="182"/>
      <c r="B187" s="154" t="s">
        <v>364</v>
      </c>
      <c r="C187" s="182" t="s">
        <v>211</v>
      </c>
      <c r="D187" s="182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13"/>
      <c r="AM187" s="179"/>
      <c r="AN187" s="112"/>
      <c r="AO187" s="112"/>
      <c r="AP187" s="112"/>
      <c r="AQ187" s="112"/>
      <c r="AR187" s="112"/>
      <c r="AS187" s="112"/>
      <c r="AU187" s="106"/>
    </row>
    <row r="188" s="113" customFormat="1" ht="20.15" customHeight="1" spans="1:47">
      <c r="A188" s="182"/>
      <c r="B188" s="154" t="s">
        <v>365</v>
      </c>
      <c r="C188" s="182" t="s">
        <v>296</v>
      </c>
      <c r="D188" s="182" t="s">
        <v>401</v>
      </c>
      <c r="E188" s="183"/>
      <c r="F188" s="183"/>
      <c r="G188" s="183"/>
      <c r="H188" s="183"/>
      <c r="I188" s="96"/>
      <c r="J188" s="183"/>
      <c r="K188" s="183"/>
      <c r="L188" s="183"/>
      <c r="M188" s="183"/>
      <c r="N188" s="96"/>
      <c r="O188" s="183"/>
      <c r="P188" s="96"/>
      <c r="Q188" s="183"/>
      <c r="R188" s="183"/>
      <c r="S188" s="183"/>
      <c r="T188" s="183"/>
      <c r="U188" s="241"/>
      <c r="V188" s="183"/>
      <c r="W188" s="183"/>
      <c r="X188" s="183"/>
      <c r="Y188" s="180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0"/>
      <c r="AK188" s="180"/>
      <c r="AM188" s="186"/>
      <c r="AN188" s="187">
        <f t="shared" ref="AN188:AN217" si="23">COUNTIF(E188:AK188,"S")</f>
        <v>0</v>
      </c>
      <c r="AO188" s="187">
        <f t="shared" ref="AO188:AO217" si="24">COUNTIF(E188:AK188,"I")</f>
        <v>0</v>
      </c>
      <c r="AP188" s="188">
        <f t="shared" ref="AP188:AP217" si="25">COUNTIF(E188:AK188,"A")</f>
        <v>0</v>
      </c>
      <c r="AQ188" s="112">
        <f>COUNTIF(E188:AK188,"OFF")</f>
        <v>0</v>
      </c>
      <c r="AR188" s="187">
        <f t="shared" ref="AR188:AR217" si="26">SUM(AM188:AP188)</f>
        <v>0</v>
      </c>
      <c r="AS188" s="43" t="s">
        <v>193</v>
      </c>
      <c r="AU188" s="114"/>
    </row>
    <row r="189" s="105" customFormat="1" ht="20.15" customHeight="1" spans="1:47">
      <c r="A189" s="182"/>
      <c r="B189" s="154" t="s">
        <v>366</v>
      </c>
      <c r="C189" s="182" t="s">
        <v>165</v>
      </c>
      <c r="D189" s="182" t="s">
        <v>180</v>
      </c>
      <c r="E189" s="183"/>
      <c r="F189" s="183"/>
      <c r="G189" s="183"/>
      <c r="H189" s="183"/>
      <c r="I189" s="96"/>
      <c r="J189" s="96"/>
      <c r="K189" s="183"/>
      <c r="L189" s="183"/>
      <c r="M189" s="183"/>
      <c r="N189" s="183"/>
      <c r="O189" s="183"/>
      <c r="P189" s="183"/>
      <c r="Q189" s="96"/>
      <c r="R189" s="183"/>
      <c r="S189" s="180"/>
      <c r="T189" s="183"/>
      <c r="U189" s="183"/>
      <c r="V189" s="183"/>
      <c r="W189" s="183"/>
      <c r="X189" s="180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13"/>
      <c r="AM189" s="179"/>
      <c r="AN189" s="43">
        <f t="shared" si="23"/>
        <v>0</v>
      </c>
      <c r="AO189" s="43">
        <f t="shared" si="24"/>
        <v>0</v>
      </c>
      <c r="AP189" s="176">
        <f t="shared" si="25"/>
        <v>0</v>
      </c>
      <c r="AQ189" s="66">
        <f>COUNTIF(E189:AK189,"OFF")</f>
        <v>0</v>
      </c>
      <c r="AR189" s="189">
        <f t="shared" si="26"/>
        <v>0</v>
      </c>
      <c r="AS189" s="189" t="s">
        <v>336</v>
      </c>
      <c r="AU189" s="106"/>
    </row>
    <row r="190" s="105" customFormat="1" ht="20.15" customHeight="1" spans="1:47">
      <c r="A190" s="182"/>
      <c r="B190" s="154" t="s">
        <v>367</v>
      </c>
      <c r="C190" s="182" t="s">
        <v>16</v>
      </c>
      <c r="D190" s="182" t="s">
        <v>178</v>
      </c>
      <c r="E190" s="183"/>
      <c r="F190" s="183"/>
      <c r="G190" s="183"/>
      <c r="H190" s="183"/>
      <c r="I190" s="183"/>
      <c r="J190" s="183"/>
      <c r="K190" s="183"/>
      <c r="L190" s="183"/>
      <c r="M190" s="183"/>
      <c r="N190" s="96"/>
      <c r="O190" s="183"/>
      <c r="P190" s="183"/>
      <c r="Q190" s="183"/>
      <c r="R190" s="183"/>
      <c r="S190" s="183"/>
      <c r="T190" s="183"/>
      <c r="U190" s="183"/>
      <c r="V190" s="183"/>
      <c r="W190" s="180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13"/>
      <c r="AM190" s="179"/>
      <c r="AN190" s="43">
        <f t="shared" si="23"/>
        <v>0</v>
      </c>
      <c r="AO190" s="66">
        <f t="shared" si="24"/>
        <v>0</v>
      </c>
      <c r="AP190" s="43">
        <f t="shared" si="25"/>
        <v>0</v>
      </c>
      <c r="AR190" s="43">
        <f t="shared" si="26"/>
        <v>0</v>
      </c>
      <c r="AS190" s="43" t="s">
        <v>336</v>
      </c>
      <c r="AT190" s="66"/>
      <c r="AU190" s="115"/>
    </row>
    <row r="191" s="105" customFormat="1" ht="20.15" customHeight="1" spans="1:47">
      <c r="A191" s="182"/>
      <c r="B191" s="154" t="s">
        <v>402</v>
      </c>
      <c r="C191" s="182" t="s">
        <v>16</v>
      </c>
      <c r="D191" s="182" t="s">
        <v>178</v>
      </c>
      <c r="E191" s="180" t="s">
        <v>11</v>
      </c>
      <c r="F191" s="180" t="s">
        <v>11</v>
      </c>
      <c r="G191" s="180" t="s">
        <v>11</v>
      </c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0" t="s">
        <v>11</v>
      </c>
      <c r="S191" s="183"/>
      <c r="T191" s="180"/>
      <c r="U191" s="183"/>
      <c r="V191" s="183"/>
      <c r="W191" s="183"/>
      <c r="X191" s="183"/>
      <c r="Y191" s="183"/>
      <c r="Z191" s="241"/>
      <c r="AA191" s="183"/>
      <c r="AB191" s="183"/>
      <c r="AC191" s="183"/>
      <c r="AD191" s="183"/>
      <c r="AE191" s="180"/>
      <c r="AF191" s="183"/>
      <c r="AG191" s="183"/>
      <c r="AH191" s="183"/>
      <c r="AI191" s="183"/>
      <c r="AJ191" s="183"/>
      <c r="AK191" s="183"/>
      <c r="AL191" s="113"/>
      <c r="AM191" s="179"/>
      <c r="AN191" s="131">
        <f t="shared" si="23"/>
        <v>4</v>
      </c>
      <c r="AO191" s="103">
        <f t="shared" si="24"/>
        <v>0</v>
      </c>
      <c r="AP191" s="131">
        <f t="shared" si="25"/>
        <v>0</v>
      </c>
      <c r="AQ191" s="36">
        <f>COUNTIF(E191:AK191,"OFF")</f>
        <v>0</v>
      </c>
      <c r="AR191" s="131">
        <f t="shared" si="26"/>
        <v>4</v>
      </c>
      <c r="AS191" s="43" t="s">
        <v>193</v>
      </c>
      <c r="AU191" s="106"/>
    </row>
    <row r="192" s="105" customFormat="1" ht="20.15" customHeight="1" spans="1:47">
      <c r="A192" s="182"/>
      <c r="B192" s="154" t="s">
        <v>368</v>
      </c>
      <c r="C192" s="182" t="s">
        <v>16</v>
      </c>
      <c r="D192" s="182" t="s">
        <v>112</v>
      </c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241"/>
      <c r="P192" s="183"/>
      <c r="Q192" s="183"/>
      <c r="R192" s="183"/>
      <c r="S192" s="183"/>
      <c r="T192" s="183"/>
      <c r="U192" s="183"/>
      <c r="V192" s="180"/>
      <c r="W192" s="183"/>
      <c r="X192" s="241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  <c r="AI192" s="183"/>
      <c r="AJ192" s="183"/>
      <c r="AK192" s="183"/>
      <c r="AL192" s="113"/>
      <c r="AM192" s="179"/>
      <c r="AN192" s="43">
        <f t="shared" si="23"/>
        <v>0</v>
      </c>
      <c r="AO192" s="66">
        <f t="shared" si="24"/>
        <v>0</v>
      </c>
      <c r="AP192" s="43">
        <f t="shared" si="25"/>
        <v>0</v>
      </c>
      <c r="AQ192" s="36">
        <f>COUNTIF(E192:AK192,"OFF")</f>
        <v>0</v>
      </c>
      <c r="AR192" s="43">
        <f t="shared" si="26"/>
        <v>0</v>
      </c>
      <c r="AS192" s="43" t="s">
        <v>336</v>
      </c>
      <c r="AT192" s="66"/>
      <c r="AU192" s="115"/>
    </row>
    <row r="193" spans="1:47">
      <c r="A193" s="182"/>
      <c r="B193" s="154" t="s">
        <v>369</v>
      </c>
      <c r="C193" s="182" t="s">
        <v>370</v>
      </c>
      <c r="D193" s="182" t="s">
        <v>180</v>
      </c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0"/>
      <c r="U193" s="241"/>
      <c r="V193" s="241"/>
      <c r="W193" s="241"/>
      <c r="X193" s="183"/>
      <c r="Y193" s="183"/>
      <c r="Z193" s="183"/>
      <c r="AA193" s="183"/>
      <c r="AB193" s="183"/>
      <c r="AC193" s="183"/>
      <c r="AD193" s="241"/>
      <c r="AE193" s="183"/>
      <c r="AF193" s="183"/>
      <c r="AG193" s="183"/>
      <c r="AH193" s="183"/>
      <c r="AI193" s="183"/>
      <c r="AJ193" s="183"/>
      <c r="AK193" s="183"/>
      <c r="AN193" s="131">
        <f t="shared" si="23"/>
        <v>0</v>
      </c>
      <c r="AO193" s="103">
        <f t="shared" si="24"/>
        <v>0</v>
      </c>
      <c r="AP193" s="131">
        <f t="shared" si="25"/>
        <v>0</v>
      </c>
      <c r="AQ193" s="103">
        <f>COUNTIF(E193:AK193,"OFF")</f>
        <v>0</v>
      </c>
      <c r="AR193" s="128">
        <f t="shared" si="26"/>
        <v>0</v>
      </c>
      <c r="AS193" s="43" t="s">
        <v>403</v>
      </c>
    </row>
    <row r="194" spans="1:47">
      <c r="A194" s="182"/>
      <c r="B194" s="154" t="s">
        <v>445</v>
      </c>
      <c r="C194" s="182" t="s">
        <v>16</v>
      </c>
      <c r="D194" s="182" t="s">
        <v>178</v>
      </c>
      <c r="E194" s="183"/>
      <c r="F194" s="183"/>
      <c r="G194" s="183"/>
      <c r="H194" s="183"/>
      <c r="I194" s="183"/>
      <c r="J194" s="183"/>
      <c r="K194" s="183"/>
      <c r="L194" s="183"/>
      <c r="M194" s="183"/>
      <c r="N194" s="180" t="s">
        <v>11</v>
      </c>
      <c r="O194" s="183"/>
      <c r="P194" s="183"/>
      <c r="Q194" s="183"/>
      <c r="R194" s="183"/>
      <c r="S194" s="183"/>
      <c r="T194" s="183"/>
      <c r="U194" s="183"/>
      <c r="V194" s="180"/>
      <c r="W194" s="180" t="s">
        <v>13</v>
      </c>
      <c r="X194" s="183"/>
      <c r="Y194" s="180" t="s">
        <v>13</v>
      </c>
      <c r="Z194" s="180"/>
      <c r="AA194" s="183"/>
      <c r="AB194" s="183"/>
      <c r="AC194" s="183"/>
      <c r="AD194" s="183"/>
      <c r="AE194" s="180" t="s">
        <v>11</v>
      </c>
      <c r="AF194" s="183"/>
      <c r="AG194" s="183"/>
      <c r="AH194" s="183"/>
      <c r="AI194" s="183"/>
      <c r="AJ194" s="183"/>
      <c r="AK194" s="183"/>
      <c r="AN194" s="43">
        <f t="shared" si="23"/>
        <v>2</v>
      </c>
      <c r="AO194" s="66">
        <f t="shared" si="24"/>
        <v>0</v>
      </c>
      <c r="AP194" s="43">
        <f t="shared" si="25"/>
        <v>2</v>
      </c>
      <c r="AR194" s="189">
        <f t="shared" si="26"/>
        <v>4</v>
      </c>
      <c r="AS194" s="247" t="s">
        <v>171</v>
      </c>
      <c r="AT194" s="99"/>
      <c r="AU194" s="99"/>
    </row>
    <row r="195" spans="1:47">
      <c r="A195" s="182"/>
      <c r="B195" s="154" t="s">
        <v>371</v>
      </c>
      <c r="C195" s="182" t="s">
        <v>16</v>
      </c>
      <c r="D195" s="182" t="s">
        <v>112</v>
      </c>
      <c r="E195" s="180"/>
      <c r="F195" s="180" t="s">
        <v>11</v>
      </c>
      <c r="G195" s="183"/>
      <c r="H195" s="180" t="s">
        <v>11</v>
      </c>
      <c r="I195" s="180" t="s">
        <v>11</v>
      </c>
      <c r="J195" s="183"/>
      <c r="K195" s="183"/>
      <c r="L195" s="180" t="s">
        <v>11</v>
      </c>
      <c r="M195" s="183"/>
      <c r="N195" s="183"/>
      <c r="O195" s="241"/>
      <c r="P195" s="183"/>
      <c r="Q195" s="183"/>
      <c r="R195" s="183"/>
      <c r="S195" s="183"/>
      <c r="T195" s="183"/>
      <c r="U195" s="183"/>
      <c r="V195" s="183"/>
      <c r="W195" s="183"/>
      <c r="X195" s="183"/>
      <c r="Y195" s="180"/>
      <c r="Z195" s="183"/>
      <c r="AA195" s="180"/>
      <c r="AB195" s="180"/>
      <c r="AC195" s="180"/>
      <c r="AD195" s="180"/>
      <c r="AE195" s="180"/>
      <c r="AF195" s="180"/>
      <c r="AG195" s="180"/>
      <c r="AH195" s="180"/>
      <c r="AI195" s="180"/>
      <c r="AJ195" s="180"/>
      <c r="AK195" s="180"/>
      <c r="AL195" s="43"/>
      <c r="AM195" s="43"/>
      <c r="AN195" s="35">
        <f t="shared" si="23"/>
        <v>4</v>
      </c>
      <c r="AO195" s="43">
        <f t="shared" si="24"/>
        <v>0</v>
      </c>
      <c r="AP195" s="35">
        <f t="shared" si="25"/>
        <v>0</v>
      </c>
      <c r="AQ195" s="36">
        <f t="shared" ref="AQ195:AQ217" si="27">COUNTIF(E195:AK195,"OFF")</f>
        <v>0</v>
      </c>
      <c r="AR195" s="37">
        <f t="shared" si="26"/>
        <v>4</v>
      </c>
      <c r="AS195" s="147" t="s">
        <v>446</v>
      </c>
      <c r="AT195" s="97"/>
      <c r="AU195" s="97"/>
    </row>
    <row r="196" spans="1:47">
      <c r="A196" s="182"/>
      <c r="B196" s="154" t="s">
        <v>372</v>
      </c>
      <c r="C196" s="182" t="s">
        <v>16</v>
      </c>
      <c r="D196" s="182" t="s">
        <v>178</v>
      </c>
      <c r="E196" s="180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0"/>
      <c r="Z196" s="183"/>
      <c r="AA196" s="180"/>
      <c r="AB196" s="180"/>
      <c r="AC196" s="180"/>
      <c r="AD196" s="180"/>
      <c r="AE196" s="180"/>
      <c r="AF196" s="180"/>
      <c r="AG196" s="180"/>
      <c r="AH196" s="180"/>
      <c r="AI196" s="180"/>
      <c r="AJ196" s="180"/>
      <c r="AK196" s="180"/>
      <c r="AL196" s="43"/>
      <c r="AM196" s="43"/>
      <c r="AN196" s="35">
        <f t="shared" si="23"/>
        <v>0</v>
      </c>
      <c r="AO196" s="43">
        <f t="shared" si="24"/>
        <v>0</v>
      </c>
      <c r="AP196" s="35">
        <f t="shared" si="25"/>
        <v>0</v>
      </c>
      <c r="AQ196" s="36">
        <f t="shared" si="27"/>
        <v>0</v>
      </c>
      <c r="AR196" s="37">
        <f t="shared" si="26"/>
        <v>0</v>
      </c>
      <c r="AS196" s="43" t="s">
        <v>336</v>
      </c>
    </row>
    <row r="197" s="20" customFormat="1" ht="19.5" customHeight="1" spans="1:47">
      <c r="A197" s="182"/>
      <c r="B197" s="154" t="s">
        <v>373</v>
      </c>
      <c r="C197" s="182" t="s">
        <v>211</v>
      </c>
      <c r="D197" s="182" t="s">
        <v>112</v>
      </c>
      <c r="E197" s="180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241"/>
      <c r="V197" s="183"/>
      <c r="W197" s="183"/>
      <c r="X197" s="183"/>
      <c r="Y197" s="183"/>
      <c r="Z197" s="180" t="s">
        <v>12</v>
      </c>
      <c r="AA197" s="183"/>
      <c r="AB197" s="180"/>
      <c r="AC197" s="180"/>
      <c r="AD197" s="180"/>
      <c r="AE197" s="180"/>
      <c r="AF197" s="180"/>
      <c r="AG197" s="180"/>
      <c r="AH197" s="180"/>
      <c r="AI197" s="180"/>
      <c r="AJ197" s="180"/>
      <c r="AK197" s="180"/>
      <c r="AL197" s="43"/>
      <c r="AM197" s="43"/>
      <c r="AN197" s="35">
        <f t="shared" si="23"/>
        <v>0</v>
      </c>
      <c r="AO197" s="43">
        <f t="shared" si="24"/>
        <v>1</v>
      </c>
      <c r="AP197" s="35">
        <f t="shared" si="25"/>
        <v>0</v>
      </c>
      <c r="AQ197" s="103">
        <f t="shared" si="27"/>
        <v>0</v>
      </c>
      <c r="AR197" s="37">
        <f t="shared" si="26"/>
        <v>1</v>
      </c>
      <c r="AS197" s="43" t="s">
        <v>336</v>
      </c>
    </row>
    <row r="198" s="20" customFormat="1" ht="19.5" customHeight="1" spans="1:47">
      <c r="A198" s="182"/>
      <c r="B198" s="159" t="s">
        <v>374</v>
      </c>
      <c r="C198" s="182" t="s">
        <v>16</v>
      </c>
      <c r="D198" s="182" t="s">
        <v>112</v>
      </c>
      <c r="E198" s="180"/>
      <c r="F198" s="180" t="s">
        <v>11</v>
      </c>
      <c r="G198" s="183"/>
      <c r="H198" s="183"/>
      <c r="I198" s="180" t="s">
        <v>11</v>
      </c>
      <c r="J198" s="180" t="s">
        <v>13</v>
      </c>
      <c r="K198" s="183"/>
      <c r="L198" s="183"/>
      <c r="M198" s="183"/>
      <c r="N198" s="183"/>
      <c r="O198" s="183"/>
      <c r="P198" s="183"/>
      <c r="Q198" s="241"/>
      <c r="R198" s="183"/>
      <c r="S198" s="183"/>
      <c r="T198" s="183"/>
      <c r="U198" s="183"/>
      <c r="V198" s="183"/>
      <c r="W198" s="183"/>
      <c r="X198" s="183"/>
      <c r="Y198" s="183"/>
      <c r="Z198" s="241"/>
      <c r="AA198" s="183"/>
      <c r="AB198" s="180"/>
      <c r="AC198" s="180"/>
      <c r="AD198" s="180"/>
      <c r="AE198" s="180"/>
      <c r="AF198" s="180"/>
      <c r="AG198" s="180"/>
      <c r="AH198" s="180"/>
      <c r="AI198" s="180"/>
      <c r="AJ198" s="180"/>
      <c r="AK198" s="180"/>
      <c r="AL198" s="43"/>
      <c r="AM198" s="43"/>
      <c r="AN198" s="35">
        <f t="shared" si="23"/>
        <v>2</v>
      </c>
      <c r="AO198" s="43">
        <f t="shared" si="24"/>
        <v>0</v>
      </c>
      <c r="AP198" s="35">
        <f t="shared" si="25"/>
        <v>1</v>
      </c>
      <c r="AQ198" s="36">
        <f t="shared" si="27"/>
        <v>0</v>
      </c>
      <c r="AR198" s="37">
        <f t="shared" si="26"/>
        <v>3</v>
      </c>
      <c r="AS198" s="147" t="s">
        <v>435</v>
      </c>
    </row>
    <row r="199" s="20" customFormat="1" ht="19.5" customHeight="1" spans="1:47">
      <c r="A199" s="182"/>
      <c r="B199" s="154" t="s">
        <v>375</v>
      </c>
      <c r="C199" s="182" t="s">
        <v>16</v>
      </c>
      <c r="D199" s="182" t="s">
        <v>180</v>
      </c>
      <c r="E199" s="180"/>
      <c r="F199" s="183"/>
      <c r="G199" s="183"/>
      <c r="H199" s="183"/>
      <c r="I199" s="183"/>
      <c r="J199" s="183"/>
      <c r="K199" s="183"/>
      <c r="L199" s="183"/>
      <c r="M199" s="96"/>
      <c r="N199" s="183"/>
      <c r="O199" s="183"/>
      <c r="P199" s="183"/>
      <c r="Q199" s="183"/>
      <c r="R199" s="62" t="s">
        <v>12</v>
      </c>
      <c r="S199" s="96"/>
      <c r="T199" s="180" t="s">
        <v>12</v>
      </c>
      <c r="U199" s="183"/>
      <c r="V199" s="183"/>
      <c r="W199" s="183"/>
      <c r="X199" s="183"/>
      <c r="Y199" s="183"/>
      <c r="Z199" s="62" t="s">
        <v>11</v>
      </c>
      <c r="AA199" s="180"/>
      <c r="AB199" s="180"/>
      <c r="AC199" s="180"/>
      <c r="AD199" s="180"/>
      <c r="AE199" s="180"/>
      <c r="AF199" s="180"/>
      <c r="AG199" s="180"/>
      <c r="AH199" s="180"/>
      <c r="AI199" s="180"/>
      <c r="AJ199" s="180"/>
      <c r="AK199" s="180"/>
      <c r="AL199" s="43"/>
      <c r="AM199" s="43"/>
      <c r="AN199" s="35">
        <f t="shared" si="23"/>
        <v>1</v>
      </c>
      <c r="AO199" s="43">
        <f t="shared" si="24"/>
        <v>2</v>
      </c>
      <c r="AP199" s="35">
        <f t="shared" si="25"/>
        <v>0</v>
      </c>
      <c r="AQ199" s="36">
        <f t="shared" si="27"/>
        <v>0</v>
      </c>
      <c r="AR199" s="37">
        <f t="shared" si="26"/>
        <v>3</v>
      </c>
      <c r="AS199" s="43"/>
    </row>
    <row r="200" s="116" customFormat="1" spans="1:47">
      <c r="A200" s="182"/>
      <c r="B200" s="154" t="s">
        <v>376</v>
      </c>
      <c r="C200" s="190" t="s">
        <v>296</v>
      </c>
      <c r="D200" s="190" t="s">
        <v>112</v>
      </c>
      <c r="E200" s="191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1"/>
      <c r="V200" s="242"/>
      <c r="W200" s="242"/>
      <c r="X200" s="242"/>
      <c r="Y200" s="242"/>
      <c r="Z200" s="242"/>
      <c r="AA200" s="242"/>
      <c r="AB200" s="191"/>
      <c r="AC200" s="191"/>
      <c r="AD200" s="191"/>
      <c r="AE200" s="191"/>
      <c r="AF200" s="191"/>
      <c r="AG200" s="191"/>
      <c r="AH200" s="191"/>
      <c r="AI200" s="191"/>
      <c r="AJ200" s="191"/>
      <c r="AK200" s="191"/>
      <c r="AL200" s="187"/>
      <c r="AM200" s="187"/>
      <c r="AN200" s="192">
        <f t="shared" si="23"/>
        <v>0</v>
      </c>
      <c r="AO200" s="187">
        <f t="shared" si="24"/>
        <v>0</v>
      </c>
      <c r="AP200" s="192">
        <f t="shared" si="25"/>
        <v>0</v>
      </c>
      <c r="AQ200" s="193">
        <f t="shared" si="27"/>
        <v>0</v>
      </c>
      <c r="AR200" s="145">
        <f t="shared" si="26"/>
        <v>0</v>
      </c>
      <c r="AS200" s="187"/>
    </row>
    <row r="201" spans="1:47">
      <c r="B201" s="154"/>
      <c r="C201" s="194"/>
      <c r="D201" s="194"/>
      <c r="E201" s="194"/>
      <c r="F201" s="194"/>
      <c r="G201" s="194"/>
      <c r="H201" s="194"/>
      <c r="I201" s="96"/>
      <c r="J201" s="194"/>
      <c r="K201" s="194"/>
      <c r="L201" s="194"/>
      <c r="M201" s="194"/>
      <c r="N201" s="194"/>
      <c r="O201" s="194"/>
      <c r="P201" s="194"/>
      <c r="Q201" s="194"/>
      <c r="R201" s="241"/>
      <c r="S201" s="194"/>
      <c r="T201" s="194"/>
      <c r="U201" s="194"/>
      <c r="V201" s="194"/>
      <c r="W201" s="194"/>
      <c r="X201" s="194"/>
      <c r="Y201" s="37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N201" s="35">
        <f t="shared" si="23"/>
        <v>0</v>
      </c>
      <c r="AO201" s="43">
        <f t="shared" si="24"/>
        <v>0</v>
      </c>
      <c r="AP201" s="35">
        <f t="shared" si="25"/>
        <v>0</v>
      </c>
      <c r="AQ201" s="36">
        <f t="shared" si="27"/>
        <v>0</v>
      </c>
      <c r="AR201" s="37">
        <f t="shared" si="26"/>
        <v>0</v>
      </c>
      <c r="AS201" s="117"/>
    </row>
    <row r="202" spans="1:47">
      <c r="B202" s="195" t="s">
        <v>405</v>
      </c>
      <c r="C202" s="198"/>
      <c r="D202" s="196" t="s">
        <v>250</v>
      </c>
      <c r="E202" s="194"/>
      <c r="F202" s="194"/>
      <c r="G202" s="194"/>
      <c r="H202" s="194"/>
      <c r="I202" s="96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N202" s="35">
        <f t="shared" si="23"/>
        <v>0</v>
      </c>
      <c r="AO202" s="43">
        <f t="shared" si="24"/>
        <v>0</v>
      </c>
      <c r="AP202" s="35">
        <f t="shared" si="25"/>
        <v>0</v>
      </c>
      <c r="AQ202" s="36">
        <f t="shared" si="27"/>
        <v>0</v>
      </c>
      <c r="AR202" s="37">
        <f t="shared" si="26"/>
        <v>0</v>
      </c>
      <c r="AS202" s="189" t="s">
        <v>406</v>
      </c>
    </row>
    <row r="203" spans="1:47">
      <c r="B203" s="154" t="s">
        <v>407</v>
      </c>
      <c r="C203" s="154" t="s">
        <v>16</v>
      </c>
      <c r="D203" s="154" t="s">
        <v>180</v>
      </c>
      <c r="E203" s="194"/>
      <c r="F203" s="194"/>
      <c r="G203" s="194"/>
      <c r="H203" s="194"/>
      <c r="I203" s="96"/>
      <c r="J203" s="180" t="s">
        <v>12</v>
      </c>
      <c r="K203" s="194"/>
      <c r="L203" s="194"/>
      <c r="M203" s="194"/>
      <c r="N203" s="194"/>
      <c r="O203" s="241"/>
      <c r="P203" s="194"/>
      <c r="Q203" s="241"/>
      <c r="R203" s="194"/>
      <c r="S203" s="180" t="s">
        <v>11</v>
      </c>
      <c r="T203" s="194"/>
      <c r="U203" s="194"/>
      <c r="V203" s="194"/>
      <c r="W203" s="180" t="s">
        <v>13</v>
      </c>
      <c r="X203" s="37"/>
      <c r="Y203" s="37"/>
      <c r="Z203" s="180" t="s">
        <v>12</v>
      </c>
      <c r="AA203" s="194"/>
      <c r="AB203" s="194"/>
      <c r="AC203" s="194"/>
      <c r="AD203" s="180" t="s">
        <v>13</v>
      </c>
      <c r="AE203" s="37"/>
      <c r="AF203" s="194"/>
      <c r="AG203" s="194"/>
      <c r="AH203" s="194"/>
      <c r="AI203" s="194"/>
      <c r="AJ203" s="194"/>
      <c r="AK203" s="194"/>
      <c r="AN203" s="35">
        <f t="shared" si="23"/>
        <v>1</v>
      </c>
      <c r="AO203" s="43">
        <f t="shared" si="24"/>
        <v>2</v>
      </c>
      <c r="AP203" s="35">
        <f t="shared" si="25"/>
        <v>2</v>
      </c>
      <c r="AQ203" s="36">
        <f t="shared" si="27"/>
        <v>0</v>
      </c>
      <c r="AR203" s="37">
        <f t="shared" si="26"/>
        <v>5</v>
      </c>
      <c r="AS203" s="43" t="s">
        <v>447</v>
      </c>
    </row>
    <row r="204" spans="1:47">
      <c r="B204" s="197" t="s">
        <v>408</v>
      </c>
      <c r="C204" s="182" t="s">
        <v>448</v>
      </c>
      <c r="D204" s="182" t="s">
        <v>180</v>
      </c>
      <c r="E204" s="198"/>
      <c r="F204" s="198"/>
      <c r="G204" s="180"/>
      <c r="H204" s="198"/>
      <c r="I204" s="198"/>
      <c r="J204" s="198"/>
      <c r="K204" s="198"/>
      <c r="L204" s="198"/>
      <c r="M204" s="243"/>
      <c r="N204" s="112"/>
      <c r="O204" s="244"/>
      <c r="P204" s="198"/>
      <c r="Q204" s="198"/>
      <c r="R204" s="198"/>
      <c r="S204" s="198"/>
      <c r="T204" s="198"/>
      <c r="U204" s="198"/>
      <c r="V204" s="198"/>
      <c r="W204" s="37"/>
      <c r="X204" s="198"/>
      <c r="Y204" s="198"/>
      <c r="Z204" s="198"/>
      <c r="AA204" s="198"/>
      <c r="AB204" s="198"/>
      <c r="AC204" s="198"/>
      <c r="AD204" s="180" t="s">
        <v>12</v>
      </c>
      <c r="AE204" s="198"/>
      <c r="AF204" s="198"/>
      <c r="AG204" s="198"/>
      <c r="AH204" s="198"/>
      <c r="AI204" s="198"/>
      <c r="AJ204" s="198"/>
      <c r="AK204" s="198"/>
      <c r="AN204" s="35">
        <f t="shared" si="23"/>
        <v>0</v>
      </c>
      <c r="AO204" s="43">
        <f t="shared" si="24"/>
        <v>1</v>
      </c>
      <c r="AP204" s="35">
        <f t="shared" si="25"/>
        <v>0</v>
      </c>
      <c r="AQ204" s="103">
        <f t="shared" si="27"/>
        <v>0</v>
      </c>
      <c r="AR204" s="37">
        <f t="shared" si="26"/>
        <v>1</v>
      </c>
      <c r="AS204" s="147" t="s">
        <v>449</v>
      </c>
    </row>
    <row r="205" spans="1:47">
      <c r="B205" s="200" t="s">
        <v>409</v>
      </c>
      <c r="C205" s="201" t="s">
        <v>16</v>
      </c>
      <c r="D205" s="201" t="s">
        <v>178</v>
      </c>
      <c r="E205" s="202"/>
      <c r="F205" s="202"/>
      <c r="G205" s="202"/>
      <c r="H205" s="202"/>
      <c r="I205" s="215"/>
      <c r="J205" s="215"/>
      <c r="K205" s="241"/>
      <c r="L205" s="202"/>
      <c r="M205" s="241"/>
      <c r="N205" s="180" t="s">
        <v>11</v>
      </c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N205" s="131">
        <f t="shared" si="23"/>
        <v>1</v>
      </c>
      <c r="AO205" s="189">
        <f t="shared" si="24"/>
        <v>0</v>
      </c>
      <c r="AP205" s="131">
        <f t="shared" si="25"/>
        <v>0</v>
      </c>
      <c r="AQ205" s="103">
        <f t="shared" si="27"/>
        <v>0</v>
      </c>
      <c r="AR205" s="128">
        <f t="shared" si="26"/>
        <v>1</v>
      </c>
      <c r="AS205" s="43" t="s">
        <v>336</v>
      </c>
    </row>
    <row r="206" spans="1:47">
      <c r="B206" s="154" t="s">
        <v>410</v>
      </c>
      <c r="C206" s="154" t="s">
        <v>59</v>
      </c>
      <c r="D206" s="154" t="s">
        <v>350</v>
      </c>
      <c r="E206" s="202"/>
      <c r="I206" s="241"/>
      <c r="J206" s="241"/>
      <c r="K206" s="241"/>
      <c r="L206" s="202"/>
      <c r="M206" s="202"/>
      <c r="N206" s="202"/>
      <c r="O206" s="202"/>
      <c r="P206" s="202"/>
      <c r="Q206" s="202"/>
      <c r="R206" s="202"/>
      <c r="S206" s="202"/>
      <c r="T206" s="202"/>
      <c r="U206" s="37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N206" s="35">
        <f t="shared" si="23"/>
        <v>0</v>
      </c>
      <c r="AO206" s="43">
        <f t="shared" si="24"/>
        <v>0</v>
      </c>
      <c r="AP206" s="35">
        <f t="shared" si="25"/>
        <v>0</v>
      </c>
      <c r="AQ206" s="36">
        <f t="shared" si="27"/>
        <v>0</v>
      </c>
      <c r="AR206" s="37">
        <f t="shared" si="26"/>
        <v>0</v>
      </c>
      <c r="AS206" s="43" t="s">
        <v>315</v>
      </c>
    </row>
    <row r="207" spans="1:47">
      <c r="B207" s="194" t="s">
        <v>104</v>
      </c>
      <c r="C207" s="182" t="s">
        <v>16</v>
      </c>
      <c r="D207" s="152" t="s">
        <v>411</v>
      </c>
      <c r="E207" s="194"/>
      <c r="F207" s="194"/>
      <c r="G207" s="194"/>
      <c r="H207" s="194"/>
      <c r="I207" s="194"/>
      <c r="J207" s="194"/>
      <c r="K207" s="194"/>
      <c r="L207" s="198"/>
      <c r="M207" s="241"/>
      <c r="N207" s="198"/>
      <c r="O207" s="194"/>
      <c r="P207" s="194"/>
      <c r="Q207" s="194"/>
      <c r="R207" s="194"/>
      <c r="S207" s="180" t="s">
        <v>12</v>
      </c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N207" s="35">
        <f t="shared" si="23"/>
        <v>0</v>
      </c>
      <c r="AO207" s="43">
        <f t="shared" si="24"/>
        <v>1</v>
      </c>
      <c r="AP207" s="35">
        <f t="shared" si="25"/>
        <v>0</v>
      </c>
      <c r="AQ207" s="36">
        <f t="shared" si="27"/>
        <v>0</v>
      </c>
      <c r="AR207" s="37">
        <f t="shared" si="26"/>
        <v>1</v>
      </c>
      <c r="AS207" s="43" t="s">
        <v>193</v>
      </c>
    </row>
    <row r="208" spans="1:47">
      <c r="B208" s="154" t="s">
        <v>412</v>
      </c>
      <c r="C208" s="182" t="s">
        <v>413</v>
      </c>
      <c r="D208" s="204" t="s">
        <v>414</v>
      </c>
      <c r="E208" s="97"/>
      <c r="F208" s="97"/>
      <c r="G208" s="97"/>
      <c r="H208" s="97"/>
      <c r="I208" s="97"/>
      <c r="J208" s="97"/>
      <c r="K208" s="241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N208" s="43">
        <f t="shared" si="23"/>
        <v>0</v>
      </c>
      <c r="AO208" s="43">
        <f t="shared" si="24"/>
        <v>0</v>
      </c>
      <c r="AP208" s="43">
        <f t="shared" si="25"/>
        <v>0</v>
      </c>
      <c r="AQ208" s="66">
        <f t="shared" si="27"/>
        <v>0</v>
      </c>
      <c r="AR208" s="43">
        <f t="shared" si="26"/>
        <v>0</v>
      </c>
      <c r="AS208" s="43" t="s">
        <v>336</v>
      </c>
    </row>
    <row r="209" spans="2:45">
      <c r="B209" s="154" t="s">
        <v>415</v>
      </c>
      <c r="C209" s="182" t="s">
        <v>16</v>
      </c>
      <c r="D209" s="201" t="s">
        <v>178</v>
      </c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180" t="s">
        <v>11</v>
      </c>
      <c r="R209" s="97"/>
      <c r="S209" s="97"/>
      <c r="T209" s="97"/>
      <c r="U209" s="37"/>
      <c r="V209" s="97"/>
      <c r="W209" s="97"/>
      <c r="X209" s="97"/>
      <c r="Y209" s="97"/>
      <c r="Z209" s="97"/>
      <c r="AA209" s="97"/>
      <c r="AB209" s="97"/>
      <c r="AC209" s="97"/>
      <c r="AD209" s="62" t="s">
        <v>11</v>
      </c>
      <c r="AE209" s="97"/>
      <c r="AF209" s="97"/>
      <c r="AG209" s="97"/>
      <c r="AH209" s="97"/>
      <c r="AI209" s="97"/>
      <c r="AJ209" s="97"/>
      <c r="AK209" s="97"/>
      <c r="AN209" s="35">
        <f t="shared" si="23"/>
        <v>2</v>
      </c>
      <c r="AO209" s="43">
        <f t="shared" si="24"/>
        <v>0</v>
      </c>
      <c r="AP209" s="35">
        <f t="shared" si="25"/>
        <v>0</v>
      </c>
      <c r="AQ209" s="103">
        <f t="shared" si="27"/>
        <v>0</v>
      </c>
      <c r="AR209" s="37">
        <f t="shared" si="26"/>
        <v>2</v>
      </c>
      <c r="AS209" s="43" t="s">
        <v>193</v>
      </c>
    </row>
    <row r="210" spans="2:45">
      <c r="B210" s="195" t="s">
        <v>416</v>
      </c>
      <c r="C210" s="195" t="s">
        <v>16</v>
      </c>
      <c r="D210" s="162" t="s">
        <v>178</v>
      </c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28"/>
      <c r="V210" s="162"/>
      <c r="W210" s="128"/>
      <c r="X210" s="162"/>
      <c r="Y210" s="128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62"/>
      <c r="AN210" s="131">
        <f t="shared" si="23"/>
        <v>0</v>
      </c>
      <c r="AO210" s="189">
        <f t="shared" si="24"/>
        <v>0</v>
      </c>
      <c r="AP210" s="207">
        <f t="shared" si="25"/>
        <v>0</v>
      </c>
      <c r="AQ210" s="101">
        <f t="shared" si="27"/>
        <v>0</v>
      </c>
      <c r="AR210" s="208">
        <f t="shared" si="26"/>
        <v>0</v>
      </c>
      <c r="AS210" s="209" t="s">
        <v>417</v>
      </c>
    </row>
    <row r="211" spans="2:45">
      <c r="B211" s="197" t="s">
        <v>418</v>
      </c>
      <c r="C211" s="154" t="s">
        <v>16</v>
      </c>
      <c r="D211" s="162" t="s">
        <v>180</v>
      </c>
      <c r="E211" s="97"/>
      <c r="F211" s="97"/>
      <c r="G211" s="97"/>
      <c r="H211" s="97"/>
      <c r="I211" s="97"/>
      <c r="J211" s="180" t="s">
        <v>11</v>
      </c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  <c r="AA211" s="97"/>
      <c r="AB211" s="97"/>
      <c r="AC211" s="97"/>
      <c r="AD211" s="37"/>
      <c r="AE211" s="97"/>
      <c r="AF211" s="97"/>
      <c r="AG211" s="97"/>
      <c r="AH211" s="97"/>
      <c r="AI211" s="97"/>
      <c r="AJ211" s="97"/>
      <c r="AK211" s="97"/>
      <c r="AL211" s="210"/>
      <c r="AM211" s="97"/>
      <c r="AN211" s="35">
        <f t="shared" si="23"/>
        <v>1</v>
      </c>
      <c r="AO211" s="43">
        <f t="shared" si="24"/>
        <v>0</v>
      </c>
      <c r="AP211" s="35">
        <f t="shared" si="25"/>
        <v>0</v>
      </c>
      <c r="AQ211" s="36">
        <f t="shared" si="27"/>
        <v>0</v>
      </c>
      <c r="AR211" s="37">
        <f t="shared" si="26"/>
        <v>1</v>
      </c>
      <c r="AS211" s="43" t="s">
        <v>382</v>
      </c>
    </row>
    <row r="212" spans="2:45">
      <c r="B212" s="197" t="s">
        <v>450</v>
      </c>
      <c r="C212" s="177" t="s">
        <v>165</v>
      </c>
      <c r="D212" s="182" t="s">
        <v>178</v>
      </c>
      <c r="E212" s="97"/>
      <c r="F212" s="180" t="s">
        <v>11</v>
      </c>
      <c r="G212" s="180" t="s">
        <v>11</v>
      </c>
      <c r="H212" s="97"/>
      <c r="I212" s="97"/>
      <c r="J212" s="97"/>
      <c r="K212" s="97"/>
      <c r="L212" s="180" t="s">
        <v>11</v>
      </c>
      <c r="M212" s="180" t="s">
        <v>11</v>
      </c>
      <c r="N212" s="180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N212" s="35">
        <f t="shared" si="23"/>
        <v>4</v>
      </c>
      <c r="AO212" s="43">
        <f t="shared" si="24"/>
        <v>0</v>
      </c>
      <c r="AP212" s="35">
        <f t="shared" si="25"/>
        <v>0</v>
      </c>
      <c r="AQ212" s="103">
        <f t="shared" si="27"/>
        <v>0</v>
      </c>
      <c r="AR212" s="37">
        <f t="shared" si="26"/>
        <v>4</v>
      </c>
      <c r="AS212" s="147" t="s">
        <v>382</v>
      </c>
    </row>
    <row r="213" spans="2:45">
      <c r="B213" s="197" t="s">
        <v>451</v>
      </c>
      <c r="C213" s="197" t="s">
        <v>16</v>
      </c>
      <c r="D213" s="182" t="s">
        <v>178</v>
      </c>
      <c r="E213" s="97"/>
      <c r="F213" s="97"/>
      <c r="G213" s="97"/>
      <c r="H213" s="97"/>
      <c r="I213" s="180" t="s">
        <v>12</v>
      </c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180" t="s">
        <v>11</v>
      </c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180" t="s">
        <v>13</v>
      </c>
      <c r="AJ213" s="97"/>
      <c r="AK213" s="97"/>
      <c r="AN213" s="35">
        <f t="shared" si="23"/>
        <v>1</v>
      </c>
      <c r="AO213" s="43">
        <f t="shared" si="24"/>
        <v>1</v>
      </c>
      <c r="AP213" s="35">
        <f t="shared" si="25"/>
        <v>1</v>
      </c>
      <c r="AQ213" s="103">
        <f t="shared" si="27"/>
        <v>0</v>
      </c>
      <c r="AR213" s="37">
        <f t="shared" si="26"/>
        <v>3</v>
      </c>
      <c r="AS213" s="97"/>
    </row>
    <row r="214" spans="2:45">
      <c r="B214" s="197" t="s">
        <v>452</v>
      </c>
      <c r="C214" s="197" t="s">
        <v>59</v>
      </c>
      <c r="D214" s="182" t="s">
        <v>178</v>
      </c>
      <c r="E214" s="97"/>
      <c r="F214" s="97"/>
      <c r="G214" s="97"/>
      <c r="H214" s="97"/>
      <c r="I214" s="97"/>
      <c r="J214" s="97"/>
      <c r="K214" s="180" t="s">
        <v>12</v>
      </c>
      <c r="L214" s="180"/>
      <c r="M214" s="180" t="s">
        <v>11</v>
      </c>
      <c r="N214" s="97"/>
      <c r="O214" s="97"/>
      <c r="P214" s="97"/>
      <c r="Q214" s="97"/>
      <c r="R214" s="97"/>
      <c r="S214" s="97"/>
      <c r="T214" s="97"/>
      <c r="U214" s="180" t="s">
        <v>11</v>
      </c>
      <c r="V214" s="180" t="s">
        <v>11</v>
      </c>
      <c r="W214" s="97"/>
      <c r="X214" s="180" t="s">
        <v>11</v>
      </c>
      <c r="Y214" s="180" t="s">
        <v>12</v>
      </c>
      <c r="Z214" s="180" t="s">
        <v>12</v>
      </c>
      <c r="AA214" s="180" t="s">
        <v>12</v>
      </c>
      <c r="AB214" s="97"/>
      <c r="AC214" s="97"/>
      <c r="AD214" s="97"/>
      <c r="AE214" s="97"/>
      <c r="AF214" s="97"/>
      <c r="AG214" s="97"/>
      <c r="AH214" s="97"/>
      <c r="AI214" s="97"/>
      <c r="AJ214" s="97"/>
      <c r="AK214" s="97"/>
      <c r="AN214" s="35">
        <f t="shared" si="23"/>
        <v>4</v>
      </c>
      <c r="AO214" s="43">
        <f t="shared" si="24"/>
        <v>4</v>
      </c>
      <c r="AP214" s="35">
        <f t="shared" si="25"/>
        <v>0</v>
      </c>
      <c r="AQ214" s="103">
        <f t="shared" si="27"/>
        <v>0</v>
      </c>
      <c r="AR214" s="37">
        <f t="shared" si="26"/>
        <v>8</v>
      </c>
      <c r="AS214" s="43" t="s">
        <v>193</v>
      </c>
    </row>
    <row r="215" spans="2:45">
      <c r="B215" s="197" t="s">
        <v>453</v>
      </c>
      <c r="C215" s="197" t="s">
        <v>16</v>
      </c>
      <c r="D215" s="182" t="s">
        <v>178</v>
      </c>
      <c r="E215" s="97"/>
      <c r="F215" s="97"/>
      <c r="G215" s="97"/>
      <c r="H215" s="97"/>
      <c r="I215" s="97"/>
      <c r="J215" s="97"/>
      <c r="K215" s="97"/>
      <c r="L215" s="97"/>
      <c r="M215" s="97"/>
      <c r="N215" s="180" t="s">
        <v>11</v>
      </c>
      <c r="O215" s="97"/>
      <c r="P215" s="97"/>
      <c r="Q215" s="97"/>
      <c r="R215" s="97"/>
      <c r="S215" s="97"/>
      <c r="T215" s="97"/>
      <c r="U215" s="97"/>
      <c r="V215" s="180" t="s">
        <v>11</v>
      </c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97"/>
      <c r="AM215" s="116"/>
      <c r="AN215" s="35">
        <f t="shared" si="23"/>
        <v>2</v>
      </c>
      <c r="AO215" s="43">
        <f t="shared" si="24"/>
        <v>0</v>
      </c>
      <c r="AP215" s="35">
        <f t="shared" si="25"/>
        <v>0</v>
      </c>
      <c r="AQ215" s="103">
        <f t="shared" si="27"/>
        <v>0</v>
      </c>
      <c r="AR215" s="37">
        <f t="shared" si="26"/>
        <v>2</v>
      </c>
      <c r="AS215" s="147" t="s">
        <v>382</v>
      </c>
    </row>
    <row r="216" spans="2:45">
      <c r="B216" s="197" t="s">
        <v>454</v>
      </c>
      <c r="C216" s="197" t="s">
        <v>165</v>
      </c>
      <c r="D216" s="182" t="s">
        <v>178</v>
      </c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80"/>
      <c r="T216" s="180" t="s">
        <v>12</v>
      </c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80" t="s">
        <v>11</v>
      </c>
      <c r="AH216" s="197"/>
      <c r="AI216" s="197"/>
      <c r="AJ216" s="197"/>
      <c r="AK216" s="197"/>
      <c r="AM216" s="116"/>
      <c r="AN216" s="43">
        <f t="shared" si="23"/>
        <v>1</v>
      </c>
      <c r="AO216" s="43">
        <f t="shared" si="24"/>
        <v>1</v>
      </c>
      <c r="AP216" s="176">
        <f t="shared" si="25"/>
        <v>0</v>
      </c>
      <c r="AQ216" s="66">
        <f t="shared" si="27"/>
        <v>0</v>
      </c>
      <c r="AR216" s="43">
        <f t="shared" si="26"/>
        <v>2</v>
      </c>
      <c r="AS216" s="43"/>
    </row>
    <row r="217" spans="2:45">
      <c r="B217" s="197" t="s">
        <v>455</v>
      </c>
      <c r="C217" s="197" t="s">
        <v>16</v>
      </c>
      <c r="D217" s="182" t="s">
        <v>178</v>
      </c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80" t="s">
        <v>11</v>
      </c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N217" s="35">
        <f t="shared" si="23"/>
        <v>1</v>
      </c>
      <c r="AO217" s="43">
        <f t="shared" si="24"/>
        <v>0</v>
      </c>
      <c r="AP217" s="35">
        <f t="shared" si="25"/>
        <v>0</v>
      </c>
      <c r="AQ217" s="36">
        <f t="shared" si="27"/>
        <v>0</v>
      </c>
      <c r="AR217" s="37">
        <f t="shared" si="26"/>
        <v>1</v>
      </c>
      <c r="AS217" s="43" t="s">
        <v>193</v>
      </c>
    </row>
  </sheetData>
  <autoFilter xmlns:etc="http://www.wps.cn/officeDocument/2017/etCustomData" ref="A11:AU217" etc:filterBottomFollowUsedRange="0">
    <extLst/>
  </autoFilter>
  <mergeCells count="13">
    <mergeCell ref="E10:AK10"/>
    <mergeCell ref="AN10:AQ10"/>
    <mergeCell ref="A10:A11"/>
    <mergeCell ref="B10:B11"/>
    <mergeCell ref="C10:C11"/>
    <mergeCell ref="D10:D11"/>
    <mergeCell ref="AM10:AM11"/>
    <mergeCell ref="AR10:AR11"/>
    <mergeCell ref="AS10:AS11"/>
    <mergeCell ref="AT10:AT11"/>
    <mergeCell ref="AU10:AU11"/>
    <mergeCell ref="E4:AK6"/>
    <mergeCell ref="E7:AK8"/>
  </mergeCells>
  <conditionalFormatting sqref="G164">
    <cfRule type="containsText" dxfId="3" priority="1761" operator="between" text="OFF">
      <formula>NOT(ISERROR(SEARCH("OFF",G164)))</formula>
    </cfRule>
    <cfRule type="containsText" dxfId="4" priority="1762" operator="between" text="OFF">
      <formula>NOT(ISERROR(SEARCH("OFF",G164)))</formula>
    </cfRule>
    <cfRule type="containsText" dxfId="5" priority="1763" operator="between" text="S">
      <formula>NOT(ISERROR(SEARCH("S",G164)))</formula>
    </cfRule>
    <cfRule type="containsText" dxfId="6" priority="1764" operator="between" text="I">
      <formula>NOT(ISERROR(SEARCH("I",G164)))</formula>
    </cfRule>
    <cfRule type="containsText" dxfId="7" priority="1765" operator="between" text="A">
      <formula>NOT(ISERROR(SEARCH("A",G164)))</formula>
    </cfRule>
    <cfRule type="containsText" dxfId="8" priority="1766" operator="between" text="L">
      <formula>NOT(ISERROR(SEARCH("L",G164)))</formula>
    </cfRule>
    <cfRule type="containsText" dxfId="6" priority="1767" operator="between" text="A">
      <formula>NOT(ISERROR(SEARCH("A",G164)))</formula>
    </cfRule>
    <cfRule type="containsText" dxfId="7" priority="1768" operator="between" text="S">
      <formula>NOT(ISERROR(SEARCH("S",G164)))</formula>
    </cfRule>
    <cfRule type="containsText" dxfId="5" priority="1769" operator="between" text="OFF">
      <formula>NOT(ISERROR(SEARCH("OFF",G164)))</formula>
    </cfRule>
    <cfRule type="containsText" dxfId="7" priority="1770" operator="between" text="OFF">
      <formula>NOT(ISERROR(SEARCH("OFF",G164)))</formula>
    </cfRule>
  </conditionalFormatting>
  <conditionalFormatting sqref="T164">
    <cfRule type="containsText" dxfId="3" priority="361" operator="between" text="OFF">
      <formula>NOT(ISERROR(SEARCH("OFF",T164)))</formula>
    </cfRule>
    <cfRule type="containsText" dxfId="4" priority="362" operator="between" text="OFF">
      <formula>NOT(ISERROR(SEARCH("OFF",T164)))</formula>
    </cfRule>
    <cfRule type="containsText" dxfId="5" priority="363" operator="between" text="S">
      <formula>NOT(ISERROR(SEARCH("S",T164)))</formula>
    </cfRule>
    <cfRule type="containsText" dxfId="6" priority="364" operator="between" text="I">
      <formula>NOT(ISERROR(SEARCH("I",T164)))</formula>
    </cfRule>
    <cfRule type="containsText" dxfId="7" priority="365" operator="between" text="A">
      <formula>NOT(ISERROR(SEARCH("A",T164)))</formula>
    </cfRule>
    <cfRule type="containsText" dxfId="8" priority="366" operator="between" text="L">
      <formula>NOT(ISERROR(SEARCH("L",T164)))</formula>
    </cfRule>
    <cfRule type="containsText" dxfId="6" priority="367" operator="between" text="A">
      <formula>NOT(ISERROR(SEARCH("A",T164)))</formula>
    </cfRule>
    <cfRule type="containsText" dxfId="7" priority="368" operator="between" text="S">
      <formula>NOT(ISERROR(SEARCH("S",T164)))</formula>
    </cfRule>
    <cfRule type="containsText" dxfId="5" priority="369" operator="between" text="OFF">
      <formula>NOT(ISERROR(SEARCH("OFF",T164)))</formula>
    </cfRule>
    <cfRule type="containsText" dxfId="7" priority="370" operator="between" text="OFF">
      <formula>NOT(ISERROR(SEARCH("OFF",T164)))</formula>
    </cfRule>
  </conditionalFormatting>
  <conditionalFormatting sqref="Y164">
    <cfRule type="containsText" dxfId="3" priority="1811" operator="between" text="OFF">
      <formula>NOT(ISERROR(SEARCH("OFF",Y164)))</formula>
    </cfRule>
    <cfRule type="containsText" dxfId="4" priority="1812" operator="between" text="OFF">
      <formula>NOT(ISERROR(SEARCH("OFF",Y164)))</formula>
    </cfRule>
    <cfRule type="containsText" dxfId="5" priority="1813" operator="between" text="S">
      <formula>NOT(ISERROR(SEARCH("S",Y164)))</formula>
    </cfRule>
    <cfRule type="containsText" dxfId="6" priority="1814" operator="between" text="I">
      <formula>NOT(ISERROR(SEARCH("I",Y164)))</formula>
    </cfRule>
    <cfRule type="containsText" dxfId="7" priority="1815" operator="between" text="A">
      <formula>NOT(ISERROR(SEARCH("A",Y164)))</formula>
    </cfRule>
    <cfRule type="containsText" dxfId="8" priority="1816" operator="between" text="L">
      <formula>NOT(ISERROR(SEARCH("L",Y164)))</formula>
    </cfRule>
    <cfRule type="containsText" dxfId="6" priority="1817" operator="between" text="A">
      <formula>NOT(ISERROR(SEARCH("A",Y164)))</formula>
    </cfRule>
    <cfRule type="containsText" dxfId="7" priority="1818" operator="between" text="S">
      <formula>NOT(ISERROR(SEARCH("S",Y164)))</formula>
    </cfRule>
    <cfRule type="containsText" dxfId="5" priority="1819" operator="between" text="OFF">
      <formula>NOT(ISERROR(SEARCH("OFF",Y164)))</formula>
    </cfRule>
    <cfRule type="containsText" dxfId="7" priority="1820" operator="between" text="OFF">
      <formula>NOT(ISERROR(SEARCH("OFF",Y164)))</formula>
    </cfRule>
  </conditionalFormatting>
  <conditionalFormatting sqref="AG164">
    <cfRule type="containsText" dxfId="3" priority="211" operator="between" text="OFF">
      <formula>NOT(ISERROR(SEARCH("OFF",AG164)))</formula>
    </cfRule>
    <cfRule type="containsText" dxfId="4" priority="212" operator="between" text="OFF">
      <formula>NOT(ISERROR(SEARCH("OFF",AG164)))</formula>
    </cfRule>
    <cfRule type="containsText" dxfId="5" priority="213" operator="between" text="S">
      <formula>NOT(ISERROR(SEARCH("S",AG164)))</formula>
    </cfRule>
    <cfRule type="containsText" dxfId="6" priority="214" operator="between" text="I">
      <formula>NOT(ISERROR(SEARCH("I",AG164)))</formula>
    </cfRule>
    <cfRule type="containsText" dxfId="7" priority="215" operator="between" text="A">
      <formula>NOT(ISERROR(SEARCH("A",AG164)))</formula>
    </cfRule>
    <cfRule type="containsText" dxfId="8" priority="216" operator="between" text="L">
      <formula>NOT(ISERROR(SEARCH("L",AG164)))</formula>
    </cfRule>
    <cfRule type="containsText" dxfId="6" priority="217" operator="between" text="A">
      <formula>NOT(ISERROR(SEARCH("A",AG164)))</formula>
    </cfRule>
    <cfRule type="containsText" dxfId="7" priority="218" operator="between" text="S">
      <formula>NOT(ISERROR(SEARCH("S",AG164)))</formula>
    </cfRule>
    <cfRule type="containsText" dxfId="5" priority="219" operator="between" text="OFF">
      <formula>NOT(ISERROR(SEARCH("OFF",AG164)))</formula>
    </cfRule>
    <cfRule type="containsText" dxfId="7" priority="220" operator="between" text="OFF">
      <formula>NOT(ISERROR(SEARCH("OFF",AG164)))</formula>
    </cfRule>
  </conditionalFormatting>
  <conditionalFormatting sqref="H165:I165">
    <cfRule type="containsText" dxfId="3" priority="1771" operator="between" text="OFF">
      <formula>NOT(ISERROR(SEARCH("OFF",H165)))</formula>
    </cfRule>
    <cfRule type="containsText" dxfId="4" priority="1772" operator="between" text="OFF">
      <formula>NOT(ISERROR(SEARCH("OFF",H165)))</formula>
    </cfRule>
    <cfRule type="containsText" dxfId="5" priority="1773" operator="between" text="S">
      <formula>NOT(ISERROR(SEARCH("S",H165)))</formula>
    </cfRule>
    <cfRule type="containsText" dxfId="6" priority="1774" operator="between" text="I">
      <formula>NOT(ISERROR(SEARCH("I",H165)))</formula>
    </cfRule>
    <cfRule type="containsText" dxfId="7" priority="1775" operator="between" text="A">
      <formula>NOT(ISERROR(SEARCH("A",H165)))</formula>
    </cfRule>
    <cfRule type="containsText" dxfId="8" priority="1776" operator="between" text="L">
      <formula>NOT(ISERROR(SEARCH("L",H165)))</formula>
    </cfRule>
    <cfRule type="containsText" dxfId="6" priority="1777" operator="between" text="A">
      <formula>NOT(ISERROR(SEARCH("A",H165)))</formula>
    </cfRule>
    <cfRule type="containsText" dxfId="7" priority="1778" operator="between" text="S">
      <formula>NOT(ISERROR(SEARCH("S",H165)))</formula>
    </cfRule>
    <cfRule type="containsText" dxfId="5" priority="1779" operator="between" text="OFF">
      <formula>NOT(ISERROR(SEARCH("OFF",H165)))</formula>
    </cfRule>
    <cfRule type="containsText" dxfId="7" priority="1780" operator="between" text="OFF">
      <formula>NOT(ISERROR(SEARCH("OFF",H165)))</formula>
    </cfRule>
  </conditionalFormatting>
  <conditionalFormatting sqref="P165:Q165">
    <cfRule type="containsText" dxfId="3" priority="431" operator="between" text="OFF">
      <formula>NOT(ISERROR(SEARCH("OFF",P165)))</formula>
    </cfRule>
    <cfRule type="containsText" dxfId="4" priority="432" operator="between" text="OFF">
      <formula>NOT(ISERROR(SEARCH("OFF",P165)))</formula>
    </cfRule>
    <cfRule type="containsText" dxfId="5" priority="433" operator="between" text="S">
      <formula>NOT(ISERROR(SEARCH("S",P165)))</formula>
    </cfRule>
    <cfRule type="containsText" dxfId="6" priority="434" operator="between" text="I">
      <formula>NOT(ISERROR(SEARCH("I",P165)))</formula>
    </cfRule>
    <cfRule type="containsText" dxfId="7" priority="435" operator="between" text="A">
      <formula>NOT(ISERROR(SEARCH("A",P165)))</formula>
    </cfRule>
    <cfRule type="containsText" dxfId="8" priority="436" operator="between" text="L">
      <formula>NOT(ISERROR(SEARCH("L",P165)))</formula>
    </cfRule>
    <cfRule type="containsText" dxfId="6" priority="437" operator="between" text="A">
      <formula>NOT(ISERROR(SEARCH("A",P165)))</formula>
    </cfRule>
    <cfRule type="containsText" dxfId="7" priority="438" operator="between" text="S">
      <formula>NOT(ISERROR(SEARCH("S",P165)))</formula>
    </cfRule>
    <cfRule type="containsText" dxfId="5" priority="439" operator="between" text="OFF">
      <formula>NOT(ISERROR(SEARCH("OFF",P165)))</formula>
    </cfRule>
    <cfRule type="containsText" dxfId="7" priority="440" operator="between" text="OFF">
      <formula>NOT(ISERROR(SEARCH("OFF",P165)))</formula>
    </cfRule>
  </conditionalFormatting>
  <conditionalFormatting sqref="S165">
    <cfRule type="containsText" dxfId="3" priority="1321" operator="between" text="OFF">
      <formula>NOT(ISERROR(SEARCH("OFF",S165)))</formula>
    </cfRule>
    <cfRule type="containsText" dxfId="4" priority="1322" operator="between" text="OFF">
      <formula>NOT(ISERROR(SEARCH("OFF",S165)))</formula>
    </cfRule>
    <cfRule type="containsText" dxfId="5" priority="1323" operator="between" text="S">
      <formula>NOT(ISERROR(SEARCH("S",S165)))</formula>
    </cfRule>
    <cfRule type="containsText" dxfId="6" priority="1324" operator="between" text="I">
      <formula>NOT(ISERROR(SEARCH("I",S165)))</formula>
    </cfRule>
    <cfRule type="containsText" dxfId="7" priority="1325" operator="between" text="A">
      <formula>NOT(ISERROR(SEARCH("A",S165)))</formula>
    </cfRule>
    <cfRule type="containsText" dxfId="8" priority="1326" operator="between" text="L">
      <formula>NOT(ISERROR(SEARCH("L",S165)))</formula>
    </cfRule>
    <cfRule type="containsText" dxfId="6" priority="1327" operator="between" text="A">
      <formula>NOT(ISERROR(SEARCH("A",S165)))</formula>
    </cfRule>
    <cfRule type="containsText" dxfId="7" priority="1328" operator="between" text="S">
      <formula>NOT(ISERROR(SEARCH("S",S165)))</formula>
    </cfRule>
    <cfRule type="containsText" dxfId="5" priority="1329" operator="between" text="OFF">
      <formula>NOT(ISERROR(SEARCH("OFF",S165)))</formula>
    </cfRule>
    <cfRule type="containsText" dxfId="7" priority="1330" operator="between" text="OFF">
      <formula>NOT(ISERROR(SEARCH("OFF",S165)))</formula>
    </cfRule>
  </conditionalFormatting>
  <conditionalFormatting sqref="AC165">
    <cfRule type="containsText" dxfId="3" priority="1021" operator="between" text="OFF">
      <formula>NOT(ISERROR(SEARCH("OFF",AC165)))</formula>
    </cfRule>
    <cfRule type="containsText" dxfId="4" priority="1022" operator="between" text="OFF">
      <formula>NOT(ISERROR(SEARCH("OFF",AC165)))</formula>
    </cfRule>
    <cfRule type="containsText" dxfId="5" priority="1023" operator="between" text="S">
      <formula>NOT(ISERROR(SEARCH("S",AC165)))</formula>
    </cfRule>
    <cfRule type="containsText" dxfId="6" priority="1024" operator="between" text="I">
      <formula>NOT(ISERROR(SEARCH("I",AC165)))</formula>
    </cfRule>
    <cfRule type="containsText" dxfId="7" priority="1025" operator="between" text="A">
      <formula>NOT(ISERROR(SEARCH("A",AC165)))</formula>
    </cfRule>
    <cfRule type="containsText" dxfId="8" priority="1026" operator="between" text="L">
      <formula>NOT(ISERROR(SEARCH("L",AC165)))</formula>
    </cfRule>
    <cfRule type="containsText" dxfId="6" priority="1027" operator="between" text="A">
      <formula>NOT(ISERROR(SEARCH("A",AC165)))</formula>
    </cfRule>
    <cfRule type="containsText" dxfId="7" priority="1028" operator="between" text="S">
      <formula>NOT(ISERROR(SEARCH("S",AC165)))</formula>
    </cfRule>
    <cfRule type="containsText" dxfId="5" priority="1029" operator="between" text="OFF">
      <formula>NOT(ISERROR(SEARCH("OFF",AC165)))</formula>
    </cfRule>
    <cfRule type="containsText" dxfId="7" priority="1030" operator="between" text="OFF">
      <formula>NOT(ISERROR(SEARCH("OFF",AC165)))</formula>
    </cfRule>
  </conditionalFormatting>
  <conditionalFormatting sqref="AE165:AF165">
    <cfRule type="containsText" dxfId="3" priority="191" operator="between" text="OFF">
      <formula>NOT(ISERROR(SEARCH("OFF",AE165)))</formula>
    </cfRule>
    <cfRule type="containsText" dxfId="4" priority="192" operator="between" text="OFF">
      <formula>NOT(ISERROR(SEARCH("OFF",AE165)))</formula>
    </cfRule>
    <cfRule type="containsText" dxfId="5" priority="193" operator="between" text="S">
      <formula>NOT(ISERROR(SEARCH("S",AE165)))</formula>
    </cfRule>
    <cfRule type="containsText" dxfId="6" priority="194" operator="between" text="I">
      <formula>NOT(ISERROR(SEARCH("I",AE165)))</formula>
    </cfRule>
    <cfRule type="containsText" dxfId="7" priority="195" operator="between" text="A">
      <formula>NOT(ISERROR(SEARCH("A",AE165)))</formula>
    </cfRule>
    <cfRule type="containsText" dxfId="8" priority="196" operator="between" text="L">
      <formula>NOT(ISERROR(SEARCH("L",AE165)))</formula>
    </cfRule>
    <cfRule type="containsText" dxfId="6" priority="197" operator="between" text="A">
      <formula>NOT(ISERROR(SEARCH("A",AE165)))</formula>
    </cfRule>
    <cfRule type="containsText" dxfId="7" priority="198" operator="between" text="S">
      <formula>NOT(ISERROR(SEARCH("S",AE165)))</formula>
    </cfRule>
    <cfRule type="containsText" dxfId="5" priority="199" operator="between" text="OFF">
      <formula>NOT(ISERROR(SEARCH("OFF",AE165)))</formula>
    </cfRule>
    <cfRule type="containsText" dxfId="7" priority="200" operator="between" text="OFF">
      <formula>NOT(ISERROR(SEARCH("OFF",AE165)))</formula>
    </cfRule>
  </conditionalFormatting>
  <conditionalFormatting sqref="AH165:AI165">
    <cfRule type="containsText" dxfId="3" priority="1801" operator="between" text="OFF">
      <formula>NOT(ISERROR(SEARCH("OFF",AH165)))</formula>
    </cfRule>
    <cfRule type="containsText" dxfId="4" priority="1802" operator="between" text="OFF">
      <formula>NOT(ISERROR(SEARCH("OFF",AH165)))</formula>
    </cfRule>
    <cfRule type="containsText" dxfId="5" priority="1803" operator="between" text="S">
      <formula>NOT(ISERROR(SEARCH("S",AH165)))</formula>
    </cfRule>
    <cfRule type="containsText" dxfId="6" priority="1804" operator="between" text="I">
      <formula>NOT(ISERROR(SEARCH("I",AH165)))</formula>
    </cfRule>
    <cfRule type="containsText" dxfId="7" priority="1805" operator="between" text="A">
      <formula>NOT(ISERROR(SEARCH("A",AH165)))</formula>
    </cfRule>
    <cfRule type="containsText" dxfId="8" priority="1806" operator="between" text="L">
      <formula>NOT(ISERROR(SEARCH("L",AH165)))</formula>
    </cfRule>
    <cfRule type="containsText" dxfId="6" priority="1807" operator="between" text="A">
      <formula>NOT(ISERROR(SEARCH("A",AH165)))</formula>
    </cfRule>
    <cfRule type="containsText" dxfId="7" priority="1808" operator="between" text="S">
      <formula>NOT(ISERROR(SEARCH("S",AH165)))</formula>
    </cfRule>
    <cfRule type="containsText" dxfId="5" priority="1809" operator="between" text="OFF">
      <formula>NOT(ISERROR(SEARCH("OFF",AH165)))</formula>
    </cfRule>
    <cfRule type="containsText" dxfId="7" priority="1810" operator="between" text="OFF">
      <formula>NOT(ISERROR(SEARCH("OFF",AH165)))</formula>
    </cfRule>
  </conditionalFormatting>
  <conditionalFormatting sqref="I180">
    <cfRule type="containsText" dxfId="3" priority="1521" operator="between" text="OFF">
      <formula>NOT(ISERROR(SEARCH("OFF",I180)))</formula>
    </cfRule>
    <cfRule type="containsText" dxfId="4" priority="1522" operator="between" text="OFF">
      <formula>NOT(ISERROR(SEARCH("OFF",I180)))</formula>
    </cfRule>
    <cfRule type="containsText" dxfId="5" priority="1523" operator="between" text="S">
      <formula>NOT(ISERROR(SEARCH("S",I180)))</formula>
    </cfRule>
    <cfRule type="containsText" dxfId="6" priority="1524" operator="between" text="I">
      <formula>NOT(ISERROR(SEARCH("I",I180)))</formula>
    </cfRule>
    <cfRule type="containsText" dxfId="7" priority="1525" operator="between" text="A">
      <formula>NOT(ISERROR(SEARCH("A",I180)))</formula>
    </cfRule>
    <cfRule type="containsText" dxfId="8" priority="1526" operator="between" text="L">
      <formula>NOT(ISERROR(SEARCH("L",I180)))</formula>
    </cfRule>
    <cfRule type="containsText" dxfId="6" priority="1527" operator="between" text="A">
      <formula>NOT(ISERROR(SEARCH("A",I180)))</formula>
    </cfRule>
    <cfRule type="containsText" dxfId="7" priority="1528" operator="between" text="S">
      <formula>NOT(ISERROR(SEARCH("S",I180)))</formula>
    </cfRule>
    <cfRule type="containsText" dxfId="5" priority="1529" operator="between" text="OFF">
      <formula>NOT(ISERROR(SEARCH("OFF",I180)))</formula>
    </cfRule>
    <cfRule type="containsText" dxfId="7" priority="1530" operator="between" text="OFF">
      <formula>NOT(ISERROR(SEARCH("OFF",I180)))</formula>
    </cfRule>
  </conditionalFormatting>
  <conditionalFormatting sqref="AA180">
    <cfRule type="containsText" dxfId="3" priority="1731" operator="between" text="OFF">
      <formula>NOT(ISERROR(SEARCH("OFF",AA180)))</formula>
    </cfRule>
    <cfRule type="containsText" dxfId="4" priority="1732" operator="between" text="OFF">
      <formula>NOT(ISERROR(SEARCH("OFF",AA180)))</formula>
    </cfRule>
    <cfRule type="containsText" dxfId="5" priority="1733" operator="between" text="S">
      <formula>NOT(ISERROR(SEARCH("S",AA180)))</formula>
    </cfRule>
    <cfRule type="containsText" dxfId="6" priority="1734" operator="between" text="I">
      <formula>NOT(ISERROR(SEARCH("I",AA180)))</formula>
    </cfRule>
    <cfRule type="containsText" dxfId="7" priority="1735" operator="between" text="A">
      <formula>NOT(ISERROR(SEARCH("A",AA180)))</formula>
    </cfRule>
    <cfRule type="containsText" dxfId="8" priority="1736" operator="between" text="L">
      <formula>NOT(ISERROR(SEARCH("L",AA180)))</formula>
    </cfRule>
    <cfRule type="containsText" dxfId="6" priority="1737" operator="between" text="A">
      <formula>NOT(ISERROR(SEARCH("A",AA180)))</formula>
    </cfRule>
    <cfRule type="containsText" dxfId="7" priority="1738" operator="between" text="S">
      <formula>NOT(ISERROR(SEARCH("S",AA180)))</formula>
    </cfRule>
    <cfRule type="containsText" dxfId="5" priority="1739" operator="between" text="OFF">
      <formula>NOT(ISERROR(SEARCH("OFF",AA180)))</formula>
    </cfRule>
    <cfRule type="containsText" dxfId="7" priority="1740" operator="between" text="OFF">
      <formula>NOT(ISERROR(SEARCH("OFF",AA180)))</formula>
    </cfRule>
  </conditionalFormatting>
  <conditionalFormatting sqref="R181">
    <cfRule type="containsText" dxfId="3" priority="481" operator="between" text="OFF">
      <formula>NOT(ISERROR(SEARCH("OFF",R181)))</formula>
    </cfRule>
    <cfRule type="containsText" dxfId="4" priority="482" operator="between" text="OFF">
      <formula>NOT(ISERROR(SEARCH("OFF",R181)))</formula>
    </cfRule>
    <cfRule type="containsText" dxfId="5" priority="483" operator="between" text="S">
      <formula>NOT(ISERROR(SEARCH("S",R181)))</formula>
    </cfRule>
    <cfRule type="containsText" dxfId="6" priority="484" operator="between" text="I">
      <formula>NOT(ISERROR(SEARCH("I",R181)))</formula>
    </cfRule>
    <cfRule type="containsText" dxfId="7" priority="485" operator="between" text="A">
      <formula>NOT(ISERROR(SEARCH("A",R181)))</formula>
    </cfRule>
    <cfRule type="containsText" dxfId="8" priority="486" operator="between" text="L">
      <formula>NOT(ISERROR(SEARCH("L",R181)))</formula>
    </cfRule>
    <cfRule type="containsText" dxfId="6" priority="487" operator="between" text="A">
      <formula>NOT(ISERROR(SEARCH("A",R181)))</formula>
    </cfRule>
    <cfRule type="containsText" dxfId="7" priority="488" operator="between" text="S">
      <formula>NOT(ISERROR(SEARCH("S",R181)))</formula>
    </cfRule>
    <cfRule type="containsText" dxfId="5" priority="489" operator="between" text="OFF">
      <formula>NOT(ISERROR(SEARCH("OFF",R181)))</formula>
    </cfRule>
    <cfRule type="containsText" dxfId="7" priority="490" operator="between" text="OFF">
      <formula>NOT(ISERROR(SEARCH("OFF",R181)))</formula>
    </cfRule>
  </conditionalFormatting>
  <conditionalFormatting sqref="F182">
    <cfRule type="containsText" dxfId="3" priority="841" operator="between" text="OFF">
      <formula>NOT(ISERROR(SEARCH("OFF",F182)))</formula>
    </cfRule>
    <cfRule type="containsText" dxfId="4" priority="842" operator="between" text="OFF">
      <formula>NOT(ISERROR(SEARCH("OFF",F182)))</formula>
    </cfRule>
    <cfRule type="containsText" dxfId="5" priority="843" operator="between" text="S">
      <formula>NOT(ISERROR(SEARCH("S",F182)))</formula>
    </cfRule>
    <cfRule type="containsText" dxfId="6" priority="844" operator="between" text="I">
      <formula>NOT(ISERROR(SEARCH("I",F182)))</formula>
    </cfRule>
    <cfRule type="containsText" dxfId="7" priority="845" operator="between" text="A">
      <formula>NOT(ISERROR(SEARCH("A",F182)))</formula>
    </cfRule>
    <cfRule type="containsText" dxfId="8" priority="846" operator="between" text="L">
      <formula>NOT(ISERROR(SEARCH("L",F182)))</formula>
    </cfRule>
    <cfRule type="containsText" dxfId="6" priority="847" operator="between" text="A">
      <formula>NOT(ISERROR(SEARCH("A",F182)))</formula>
    </cfRule>
    <cfRule type="containsText" dxfId="7" priority="848" operator="between" text="S">
      <formula>NOT(ISERROR(SEARCH("S",F182)))</formula>
    </cfRule>
    <cfRule type="containsText" dxfId="5" priority="849" operator="between" text="OFF">
      <formula>NOT(ISERROR(SEARCH("OFF",F182)))</formula>
    </cfRule>
    <cfRule type="containsText" dxfId="7" priority="850" operator="between" text="OFF">
      <formula>NOT(ISERROR(SEARCH("OFF",F182)))</formula>
    </cfRule>
  </conditionalFormatting>
  <conditionalFormatting sqref="K182">
    <cfRule type="containsText" dxfId="3" priority="71" operator="between" text="OFF">
      <formula>NOT(ISERROR(SEARCH("OFF",K182)))</formula>
    </cfRule>
    <cfRule type="containsText" dxfId="4" priority="72" operator="between" text="OFF">
      <formula>NOT(ISERROR(SEARCH("OFF",K182)))</formula>
    </cfRule>
    <cfRule type="containsText" dxfId="5" priority="73" operator="between" text="S">
      <formula>NOT(ISERROR(SEARCH("S",K182)))</formula>
    </cfRule>
    <cfRule type="containsText" dxfId="6" priority="74" operator="between" text="I">
      <formula>NOT(ISERROR(SEARCH("I",K182)))</formula>
    </cfRule>
    <cfRule type="containsText" dxfId="7" priority="75" operator="between" text="A">
      <formula>NOT(ISERROR(SEARCH("A",K182)))</formula>
    </cfRule>
    <cfRule type="containsText" dxfId="8" priority="76" operator="between" text="L">
      <formula>NOT(ISERROR(SEARCH("L",K182)))</formula>
    </cfRule>
    <cfRule type="containsText" dxfId="6" priority="77" operator="between" text="A">
      <formula>NOT(ISERROR(SEARCH("A",K182)))</formula>
    </cfRule>
    <cfRule type="containsText" dxfId="7" priority="78" operator="between" text="S">
      <formula>NOT(ISERROR(SEARCH("S",K182)))</formula>
    </cfRule>
    <cfRule type="containsText" dxfId="5" priority="79" operator="between" text="OFF">
      <formula>NOT(ISERROR(SEARCH("OFF",K182)))</formula>
    </cfRule>
    <cfRule type="containsText" dxfId="7" priority="80" operator="between" text="OFF">
      <formula>NOT(ISERROR(SEARCH("OFF",K182)))</formula>
    </cfRule>
  </conditionalFormatting>
  <conditionalFormatting sqref="M182">
    <cfRule type="containsText" dxfId="3" priority="61" operator="between" text="OFF">
      <formula>NOT(ISERROR(SEARCH("OFF",M182)))</formula>
    </cfRule>
    <cfRule type="containsText" dxfId="4" priority="62" operator="between" text="OFF">
      <formula>NOT(ISERROR(SEARCH("OFF",M182)))</formula>
    </cfRule>
    <cfRule type="containsText" dxfId="5" priority="63" operator="between" text="S">
      <formula>NOT(ISERROR(SEARCH("S",M182)))</formula>
    </cfRule>
    <cfRule type="containsText" dxfId="6" priority="64" operator="between" text="I">
      <formula>NOT(ISERROR(SEARCH("I",M182)))</formula>
    </cfRule>
    <cfRule type="containsText" dxfId="7" priority="65" operator="between" text="A">
      <formula>NOT(ISERROR(SEARCH("A",M182)))</formula>
    </cfRule>
    <cfRule type="containsText" dxfId="8" priority="66" operator="between" text="L">
      <formula>NOT(ISERROR(SEARCH("L",M182)))</formula>
    </cfRule>
    <cfRule type="containsText" dxfId="6" priority="67" operator="between" text="A">
      <formula>NOT(ISERROR(SEARCH("A",M182)))</formula>
    </cfRule>
    <cfRule type="containsText" dxfId="7" priority="68" operator="between" text="S">
      <formula>NOT(ISERROR(SEARCH("S",M182)))</formula>
    </cfRule>
    <cfRule type="containsText" dxfId="5" priority="69" operator="between" text="OFF">
      <formula>NOT(ISERROR(SEARCH("OFF",M182)))</formula>
    </cfRule>
    <cfRule type="containsText" dxfId="7" priority="70" operator="between" text="OFF">
      <formula>NOT(ISERROR(SEARCH("OFF",M182)))</formula>
    </cfRule>
  </conditionalFormatting>
  <conditionalFormatting sqref="T182">
    <cfRule type="containsText" dxfId="3" priority="501" operator="between" text="OFF">
      <formula>NOT(ISERROR(SEARCH("OFF",T182)))</formula>
    </cfRule>
    <cfRule type="containsText" dxfId="4" priority="502" operator="between" text="OFF">
      <formula>NOT(ISERROR(SEARCH("OFF",T182)))</formula>
    </cfRule>
    <cfRule type="containsText" dxfId="5" priority="503" operator="between" text="S">
      <formula>NOT(ISERROR(SEARCH("S",T182)))</formula>
    </cfRule>
    <cfRule type="containsText" dxfId="6" priority="504" operator="between" text="I">
      <formula>NOT(ISERROR(SEARCH("I",T182)))</formula>
    </cfRule>
    <cfRule type="containsText" dxfId="7" priority="505" operator="between" text="A">
      <formula>NOT(ISERROR(SEARCH("A",T182)))</formula>
    </cfRule>
    <cfRule type="containsText" dxfId="8" priority="506" operator="between" text="L">
      <formula>NOT(ISERROR(SEARCH("L",T182)))</formula>
    </cfRule>
    <cfRule type="containsText" dxfId="6" priority="507" operator="between" text="A">
      <formula>NOT(ISERROR(SEARCH("A",T182)))</formula>
    </cfRule>
    <cfRule type="containsText" dxfId="7" priority="508" operator="between" text="S">
      <formula>NOT(ISERROR(SEARCH("S",T182)))</formula>
    </cfRule>
    <cfRule type="containsText" dxfId="5" priority="509" operator="between" text="OFF">
      <formula>NOT(ISERROR(SEARCH("OFF",T182)))</formula>
    </cfRule>
    <cfRule type="containsText" dxfId="7" priority="510" operator="between" text="OFF">
      <formula>NOT(ISERROR(SEARCH("OFF",T182)))</formula>
    </cfRule>
  </conditionalFormatting>
  <conditionalFormatting sqref="AA182">
    <cfRule type="containsText" dxfId="3" priority="271" operator="between" text="OFF">
      <formula>NOT(ISERROR(SEARCH("OFF",AA182)))</formula>
    </cfRule>
    <cfRule type="containsText" dxfId="4" priority="272" operator="between" text="OFF">
      <formula>NOT(ISERROR(SEARCH("OFF",AA182)))</formula>
    </cfRule>
    <cfRule type="containsText" dxfId="5" priority="273" operator="between" text="S">
      <formula>NOT(ISERROR(SEARCH("S",AA182)))</formula>
    </cfRule>
    <cfRule type="containsText" dxfId="6" priority="274" operator="between" text="I">
      <formula>NOT(ISERROR(SEARCH("I",AA182)))</formula>
    </cfRule>
    <cfRule type="containsText" dxfId="7" priority="275" operator="between" text="A">
      <formula>NOT(ISERROR(SEARCH("A",AA182)))</formula>
    </cfRule>
    <cfRule type="containsText" dxfId="8" priority="276" operator="between" text="L">
      <formula>NOT(ISERROR(SEARCH("L",AA182)))</formula>
    </cfRule>
    <cfRule type="containsText" dxfId="6" priority="277" operator="between" text="A">
      <formula>NOT(ISERROR(SEARCH("A",AA182)))</formula>
    </cfRule>
    <cfRule type="containsText" dxfId="7" priority="278" operator="between" text="S">
      <formula>NOT(ISERROR(SEARCH("S",AA182)))</formula>
    </cfRule>
    <cfRule type="containsText" dxfId="5" priority="279" operator="between" text="OFF">
      <formula>NOT(ISERROR(SEARCH("OFF",AA182)))</formula>
    </cfRule>
    <cfRule type="containsText" dxfId="7" priority="280" operator="between" text="OFF">
      <formula>NOT(ISERROR(SEARCH("OFF",AA182)))</formula>
    </cfRule>
  </conditionalFormatting>
  <conditionalFormatting sqref="AD182">
    <cfRule type="containsText" dxfId="3" priority="1001" operator="between" text="OFF">
      <formula>NOT(ISERROR(SEARCH("OFF",AD182)))</formula>
    </cfRule>
    <cfRule type="containsText" dxfId="4" priority="1002" operator="between" text="OFF">
      <formula>NOT(ISERROR(SEARCH("OFF",AD182)))</formula>
    </cfRule>
    <cfRule type="containsText" dxfId="5" priority="1003" operator="between" text="S">
      <formula>NOT(ISERROR(SEARCH("S",AD182)))</formula>
    </cfRule>
    <cfRule type="containsText" dxfId="6" priority="1004" operator="between" text="I">
      <formula>NOT(ISERROR(SEARCH("I",AD182)))</formula>
    </cfRule>
    <cfRule type="containsText" dxfId="7" priority="1005" operator="between" text="A">
      <formula>NOT(ISERROR(SEARCH("A",AD182)))</formula>
    </cfRule>
    <cfRule type="containsText" dxfId="8" priority="1006" operator="between" text="L">
      <formula>NOT(ISERROR(SEARCH("L",AD182)))</formula>
    </cfRule>
    <cfRule type="containsText" dxfId="6" priority="1007" operator="between" text="A">
      <formula>NOT(ISERROR(SEARCH("A",AD182)))</formula>
    </cfRule>
    <cfRule type="containsText" dxfId="7" priority="1008" operator="between" text="S">
      <formula>NOT(ISERROR(SEARCH("S",AD182)))</formula>
    </cfRule>
    <cfRule type="containsText" dxfId="5" priority="1009" operator="between" text="OFF">
      <formula>NOT(ISERROR(SEARCH("OFF",AD182)))</formula>
    </cfRule>
    <cfRule type="containsText" dxfId="7" priority="1010" operator="between" text="OFF">
      <formula>NOT(ISERROR(SEARCH("OFF",AD182)))</formula>
    </cfRule>
  </conditionalFormatting>
  <conditionalFormatting sqref="G183">
    <cfRule type="containsText" dxfId="3" priority="821" operator="between" text="OFF">
      <formula>NOT(ISERROR(SEARCH("OFF",G183)))</formula>
    </cfRule>
    <cfRule type="containsText" dxfId="4" priority="822" operator="between" text="OFF">
      <formula>NOT(ISERROR(SEARCH("OFF",G183)))</formula>
    </cfRule>
    <cfRule type="containsText" dxfId="5" priority="823" operator="between" text="S">
      <formula>NOT(ISERROR(SEARCH("S",G183)))</formula>
    </cfRule>
    <cfRule type="containsText" dxfId="6" priority="824" operator="between" text="I">
      <formula>NOT(ISERROR(SEARCH("I",G183)))</formula>
    </cfRule>
    <cfRule type="containsText" dxfId="7" priority="825" operator="between" text="A">
      <formula>NOT(ISERROR(SEARCH("A",G183)))</formula>
    </cfRule>
    <cfRule type="containsText" dxfId="8" priority="826" operator="between" text="L">
      <formula>NOT(ISERROR(SEARCH("L",G183)))</formula>
    </cfRule>
    <cfRule type="containsText" dxfId="6" priority="827" operator="between" text="A">
      <formula>NOT(ISERROR(SEARCH("A",G183)))</formula>
    </cfRule>
    <cfRule type="containsText" dxfId="7" priority="828" operator="between" text="S">
      <formula>NOT(ISERROR(SEARCH("S",G183)))</formula>
    </cfRule>
    <cfRule type="containsText" dxfId="5" priority="829" operator="between" text="OFF">
      <formula>NOT(ISERROR(SEARCH("OFF",G183)))</formula>
    </cfRule>
    <cfRule type="containsText" dxfId="7" priority="830" operator="between" text="OFF">
      <formula>NOT(ISERROR(SEARCH("OFF",G183)))</formula>
    </cfRule>
  </conditionalFormatting>
  <conditionalFormatting sqref="I183">
    <cfRule type="containsText" dxfId="3" priority="1581" operator="between" text="OFF">
      <formula>NOT(ISERROR(SEARCH("OFF",I183)))</formula>
    </cfRule>
    <cfRule type="containsText" dxfId="4" priority="1582" operator="between" text="OFF">
      <formula>NOT(ISERROR(SEARCH("OFF",I183)))</formula>
    </cfRule>
    <cfRule type="containsText" dxfId="5" priority="1583" operator="between" text="S">
      <formula>NOT(ISERROR(SEARCH("S",I183)))</formula>
    </cfRule>
    <cfRule type="containsText" dxfId="6" priority="1584" operator="between" text="I">
      <formula>NOT(ISERROR(SEARCH("I",I183)))</formula>
    </cfRule>
    <cfRule type="containsText" dxfId="7" priority="1585" operator="between" text="A">
      <formula>NOT(ISERROR(SEARCH("A",I183)))</formula>
    </cfRule>
    <cfRule type="containsText" dxfId="8" priority="1586" operator="between" text="L">
      <formula>NOT(ISERROR(SEARCH("L",I183)))</formula>
    </cfRule>
    <cfRule type="containsText" dxfId="6" priority="1587" operator="between" text="A">
      <formula>NOT(ISERROR(SEARCH("A",I183)))</formula>
    </cfRule>
    <cfRule type="containsText" dxfId="7" priority="1588" operator="between" text="S">
      <formula>NOT(ISERROR(SEARCH("S",I183)))</formula>
    </cfRule>
    <cfRule type="containsText" dxfId="5" priority="1589" operator="between" text="OFF">
      <formula>NOT(ISERROR(SEARCH("OFF",I183)))</formula>
    </cfRule>
    <cfRule type="containsText" dxfId="7" priority="1590" operator="between" text="OFF">
      <formula>NOT(ISERROR(SEARCH("OFF",I183)))</formula>
    </cfRule>
  </conditionalFormatting>
  <conditionalFormatting sqref="X183:Z183">
    <cfRule type="containsText" dxfId="3" priority="1061" operator="between" text="OFF">
      <formula>NOT(ISERROR(SEARCH("OFF",X183)))</formula>
    </cfRule>
    <cfRule type="containsText" dxfId="4" priority="1062" operator="between" text="OFF">
      <formula>NOT(ISERROR(SEARCH("OFF",X183)))</formula>
    </cfRule>
    <cfRule type="containsText" dxfId="5" priority="1063" operator="between" text="S">
      <formula>NOT(ISERROR(SEARCH("S",X183)))</formula>
    </cfRule>
    <cfRule type="containsText" dxfId="6" priority="1064" operator="between" text="I">
      <formula>NOT(ISERROR(SEARCH("I",X183)))</formula>
    </cfRule>
    <cfRule type="containsText" dxfId="7" priority="1065" operator="between" text="A">
      <formula>NOT(ISERROR(SEARCH("A",X183)))</formula>
    </cfRule>
    <cfRule type="containsText" dxfId="8" priority="1066" operator="between" text="L">
      <formula>NOT(ISERROR(SEARCH("L",X183)))</formula>
    </cfRule>
    <cfRule type="containsText" dxfId="6" priority="1067" operator="between" text="A">
      <formula>NOT(ISERROR(SEARCH("A",X183)))</formula>
    </cfRule>
    <cfRule type="containsText" dxfId="7" priority="1068" operator="between" text="S">
      <formula>NOT(ISERROR(SEARCH("S",X183)))</formula>
    </cfRule>
    <cfRule type="containsText" dxfId="5" priority="1069" operator="between" text="OFF">
      <formula>NOT(ISERROR(SEARCH("OFF",X183)))</formula>
    </cfRule>
    <cfRule type="containsText" dxfId="7" priority="1070" operator="between" text="OFF">
      <formula>NOT(ISERROR(SEARCH("OFF",X183)))</formula>
    </cfRule>
  </conditionalFormatting>
  <conditionalFormatting sqref="U184">
    <cfRule type="containsText" dxfId="3" priority="1251" operator="between" text="OFF">
      <formula>NOT(ISERROR(SEARCH("OFF",U184)))</formula>
    </cfRule>
    <cfRule type="containsText" dxfId="4" priority="1252" operator="between" text="OFF">
      <formula>NOT(ISERROR(SEARCH("OFF",U184)))</formula>
    </cfRule>
    <cfRule type="containsText" dxfId="5" priority="1253" operator="between" text="S">
      <formula>NOT(ISERROR(SEARCH("S",U184)))</formula>
    </cfRule>
    <cfRule type="containsText" dxfId="6" priority="1254" operator="between" text="I">
      <formula>NOT(ISERROR(SEARCH("I",U184)))</formula>
    </cfRule>
    <cfRule type="containsText" dxfId="7" priority="1255" operator="between" text="A">
      <formula>NOT(ISERROR(SEARCH("A",U184)))</formula>
    </cfRule>
    <cfRule type="containsText" dxfId="8" priority="1256" operator="between" text="L">
      <formula>NOT(ISERROR(SEARCH("L",U184)))</formula>
    </cfRule>
    <cfRule type="containsText" dxfId="6" priority="1257" operator="between" text="A">
      <formula>NOT(ISERROR(SEARCH("A",U184)))</formula>
    </cfRule>
    <cfRule type="containsText" dxfId="7" priority="1258" operator="between" text="S">
      <formula>NOT(ISERROR(SEARCH("S",U184)))</formula>
    </cfRule>
    <cfRule type="containsText" dxfId="5" priority="1259" operator="between" text="OFF">
      <formula>NOT(ISERROR(SEARCH("OFF",U184)))</formula>
    </cfRule>
    <cfRule type="containsText" dxfId="7" priority="1260" operator="between" text="OFF">
      <formula>NOT(ISERROR(SEARCH("OFF",U184)))</formula>
    </cfRule>
  </conditionalFormatting>
  <conditionalFormatting sqref="W185">
    <cfRule type="containsText" dxfId="3" priority="1151" operator="between" text="OFF">
      <formula>NOT(ISERROR(SEARCH("OFF",W185)))</formula>
    </cfRule>
    <cfRule type="containsText" dxfId="4" priority="1152" operator="between" text="OFF">
      <formula>NOT(ISERROR(SEARCH("OFF",W185)))</formula>
    </cfRule>
    <cfRule type="containsText" dxfId="5" priority="1153" operator="between" text="S">
      <formula>NOT(ISERROR(SEARCH("S",W185)))</formula>
    </cfRule>
    <cfRule type="containsText" dxfId="6" priority="1154" operator="between" text="I">
      <formula>NOT(ISERROR(SEARCH("I",W185)))</formula>
    </cfRule>
    <cfRule type="containsText" dxfId="7" priority="1155" operator="between" text="A">
      <formula>NOT(ISERROR(SEARCH("A",W185)))</formula>
    </cfRule>
    <cfRule type="containsText" dxfId="8" priority="1156" operator="between" text="L">
      <formula>NOT(ISERROR(SEARCH("L",W185)))</formula>
    </cfRule>
    <cfRule type="containsText" dxfId="6" priority="1157" operator="between" text="A">
      <formula>NOT(ISERROR(SEARCH("A",W185)))</formula>
    </cfRule>
    <cfRule type="containsText" dxfId="7" priority="1158" operator="between" text="S">
      <formula>NOT(ISERROR(SEARCH("S",W185)))</formula>
    </cfRule>
    <cfRule type="containsText" dxfId="5" priority="1159" operator="between" text="OFF">
      <formula>NOT(ISERROR(SEARCH("OFF",W185)))</formula>
    </cfRule>
    <cfRule type="containsText" dxfId="7" priority="1160" operator="between" text="OFF">
      <formula>NOT(ISERROR(SEARCH("OFF",W185)))</formula>
    </cfRule>
  </conditionalFormatting>
  <conditionalFormatting sqref="AB185">
    <cfRule type="containsText" dxfId="3" priority="1041" operator="between" text="OFF">
      <formula>NOT(ISERROR(SEARCH("OFF",AB185)))</formula>
    </cfRule>
    <cfRule type="containsText" dxfId="4" priority="1042" operator="between" text="OFF">
      <formula>NOT(ISERROR(SEARCH("OFF",AB185)))</formula>
    </cfRule>
    <cfRule type="containsText" dxfId="5" priority="1043" operator="between" text="S">
      <formula>NOT(ISERROR(SEARCH("S",AB185)))</formula>
    </cfRule>
    <cfRule type="containsText" dxfId="6" priority="1044" operator="between" text="I">
      <formula>NOT(ISERROR(SEARCH("I",AB185)))</formula>
    </cfRule>
    <cfRule type="containsText" dxfId="7" priority="1045" operator="between" text="A">
      <formula>NOT(ISERROR(SEARCH("A",AB185)))</formula>
    </cfRule>
    <cfRule type="containsText" dxfId="8" priority="1046" operator="between" text="L">
      <formula>NOT(ISERROR(SEARCH("L",AB185)))</formula>
    </cfRule>
    <cfRule type="containsText" dxfId="6" priority="1047" operator="between" text="A">
      <formula>NOT(ISERROR(SEARCH("A",AB185)))</formula>
    </cfRule>
    <cfRule type="containsText" dxfId="7" priority="1048" operator="between" text="S">
      <formula>NOT(ISERROR(SEARCH("S",AB185)))</formula>
    </cfRule>
    <cfRule type="containsText" dxfId="5" priority="1049" operator="between" text="OFF">
      <formula>NOT(ISERROR(SEARCH("OFF",AB185)))</formula>
    </cfRule>
    <cfRule type="containsText" dxfId="7" priority="1050" operator="between" text="OFF">
      <formula>NOT(ISERROR(SEARCH("OFF",AB185)))</formula>
    </cfRule>
  </conditionalFormatting>
  <conditionalFormatting sqref="K186">
    <cfRule type="containsText" dxfId="3" priority="651" operator="between" text="OFF">
      <formula>NOT(ISERROR(SEARCH("OFF",K186)))</formula>
    </cfRule>
    <cfRule type="containsText" dxfId="4" priority="652" operator="between" text="OFF">
      <formula>NOT(ISERROR(SEARCH("OFF",K186)))</formula>
    </cfRule>
    <cfRule type="containsText" dxfId="5" priority="653" operator="between" text="S">
      <formula>NOT(ISERROR(SEARCH("S",K186)))</formula>
    </cfRule>
    <cfRule type="containsText" dxfId="6" priority="654" operator="between" text="I">
      <formula>NOT(ISERROR(SEARCH("I",K186)))</formula>
    </cfRule>
    <cfRule type="containsText" dxfId="7" priority="655" operator="between" text="A">
      <formula>NOT(ISERROR(SEARCH("A",K186)))</formula>
    </cfRule>
    <cfRule type="containsText" dxfId="8" priority="656" operator="between" text="L">
      <formula>NOT(ISERROR(SEARCH("L",K186)))</formula>
    </cfRule>
    <cfRule type="containsText" dxfId="6" priority="657" operator="between" text="A">
      <formula>NOT(ISERROR(SEARCH("A",K186)))</formula>
    </cfRule>
    <cfRule type="containsText" dxfId="7" priority="658" operator="between" text="S">
      <formula>NOT(ISERROR(SEARCH("S",K186)))</formula>
    </cfRule>
    <cfRule type="containsText" dxfId="5" priority="659" operator="between" text="OFF">
      <formula>NOT(ISERROR(SEARCH("OFF",K186)))</formula>
    </cfRule>
    <cfRule type="containsText" dxfId="7" priority="660" operator="between" text="OFF">
      <formula>NOT(ISERROR(SEARCH("OFF",K186)))</formula>
    </cfRule>
  </conditionalFormatting>
  <conditionalFormatting sqref="S186:T186">
    <cfRule type="containsText" dxfId="3" priority="551" operator="between" text="OFF">
      <formula>NOT(ISERROR(SEARCH("OFF",S186)))</formula>
    </cfRule>
    <cfRule type="containsText" dxfId="4" priority="552" operator="between" text="OFF">
      <formula>NOT(ISERROR(SEARCH("OFF",S186)))</formula>
    </cfRule>
    <cfRule type="containsText" dxfId="5" priority="553" operator="between" text="S">
      <formula>NOT(ISERROR(SEARCH("S",S186)))</formula>
    </cfRule>
    <cfRule type="containsText" dxfId="6" priority="554" operator="between" text="I">
      <formula>NOT(ISERROR(SEARCH("I",S186)))</formula>
    </cfRule>
    <cfRule type="containsText" dxfId="7" priority="555" operator="between" text="A">
      <formula>NOT(ISERROR(SEARCH("A",S186)))</formula>
    </cfRule>
    <cfRule type="containsText" dxfId="8" priority="556" operator="between" text="L">
      <formula>NOT(ISERROR(SEARCH("L",S186)))</formula>
    </cfRule>
    <cfRule type="containsText" dxfId="6" priority="557" operator="between" text="A">
      <formula>NOT(ISERROR(SEARCH("A",S186)))</formula>
    </cfRule>
    <cfRule type="containsText" dxfId="7" priority="558" operator="between" text="S">
      <formula>NOT(ISERROR(SEARCH("S",S186)))</formula>
    </cfRule>
    <cfRule type="containsText" dxfId="5" priority="559" operator="between" text="OFF">
      <formula>NOT(ISERROR(SEARCH("OFF",S186)))</formula>
    </cfRule>
    <cfRule type="containsText" dxfId="7" priority="560" operator="between" text="OFF">
      <formula>NOT(ISERROR(SEARCH("OFF",S186)))</formula>
    </cfRule>
  </conditionalFormatting>
  <conditionalFormatting sqref="N188">
    <cfRule type="containsText" dxfId="3" priority="1431" operator="between" text="OFF">
      <formula>NOT(ISERROR(SEARCH("OFF",N188)))</formula>
    </cfRule>
    <cfRule type="containsText" dxfId="4" priority="1432" operator="between" text="OFF">
      <formula>NOT(ISERROR(SEARCH("OFF",N188)))</formula>
    </cfRule>
    <cfRule type="containsText" dxfId="5" priority="1433" operator="between" text="S">
      <formula>NOT(ISERROR(SEARCH("S",N188)))</formula>
    </cfRule>
    <cfRule type="containsText" dxfId="6" priority="1434" operator="between" text="I">
      <formula>NOT(ISERROR(SEARCH("I",N188)))</formula>
    </cfRule>
    <cfRule type="containsText" dxfId="7" priority="1435" operator="between" text="A">
      <formula>NOT(ISERROR(SEARCH("A",N188)))</formula>
    </cfRule>
    <cfRule type="containsText" dxfId="8" priority="1436" operator="between" text="L">
      <formula>NOT(ISERROR(SEARCH("L",N188)))</formula>
    </cfRule>
    <cfRule type="containsText" dxfId="6" priority="1437" operator="between" text="A">
      <formula>NOT(ISERROR(SEARCH("A",N188)))</formula>
    </cfRule>
    <cfRule type="containsText" dxfId="7" priority="1438" operator="between" text="S">
      <formula>NOT(ISERROR(SEARCH("S",N188)))</formula>
    </cfRule>
    <cfRule type="containsText" dxfId="5" priority="1439" operator="between" text="OFF">
      <formula>NOT(ISERROR(SEARCH("OFF",N188)))</formula>
    </cfRule>
    <cfRule type="containsText" dxfId="7" priority="1440" operator="between" text="OFF">
      <formula>NOT(ISERROR(SEARCH("OFF",N188)))</formula>
    </cfRule>
  </conditionalFormatting>
  <conditionalFormatting sqref="P188">
    <cfRule type="containsText" dxfId="3" priority="1361" operator="between" text="OFF">
      <formula>NOT(ISERROR(SEARCH("OFF",P188)))</formula>
    </cfRule>
    <cfRule type="containsText" dxfId="4" priority="1362" operator="between" text="OFF">
      <formula>NOT(ISERROR(SEARCH("OFF",P188)))</formula>
    </cfRule>
    <cfRule type="containsText" dxfId="5" priority="1363" operator="between" text="S">
      <formula>NOT(ISERROR(SEARCH("S",P188)))</formula>
    </cfRule>
    <cfRule type="containsText" dxfId="6" priority="1364" operator="between" text="I">
      <formula>NOT(ISERROR(SEARCH("I",P188)))</formula>
    </cfRule>
    <cfRule type="containsText" dxfId="7" priority="1365" operator="between" text="A">
      <formula>NOT(ISERROR(SEARCH("A",P188)))</formula>
    </cfRule>
    <cfRule type="containsText" dxfId="8" priority="1366" operator="between" text="L">
      <formula>NOT(ISERROR(SEARCH("L",P188)))</formula>
    </cfRule>
    <cfRule type="containsText" dxfId="6" priority="1367" operator="between" text="A">
      <formula>NOT(ISERROR(SEARCH("A",P188)))</formula>
    </cfRule>
    <cfRule type="containsText" dxfId="7" priority="1368" operator="between" text="S">
      <formula>NOT(ISERROR(SEARCH("S",P188)))</formula>
    </cfRule>
    <cfRule type="containsText" dxfId="5" priority="1369" operator="between" text="OFF">
      <formula>NOT(ISERROR(SEARCH("OFF",P188)))</formula>
    </cfRule>
    <cfRule type="containsText" dxfId="7" priority="1370" operator="between" text="OFF">
      <formula>NOT(ISERROR(SEARCH("OFF",P188)))</formula>
    </cfRule>
  </conditionalFormatting>
  <conditionalFormatting sqref="U188">
    <cfRule type="containsText" dxfId="3" priority="1281" operator="between" text="OFF">
      <formula>NOT(ISERROR(SEARCH("OFF",U188)))</formula>
    </cfRule>
    <cfRule type="containsText" dxfId="4" priority="1282" operator="between" text="OFF">
      <formula>NOT(ISERROR(SEARCH("OFF",U188)))</formula>
    </cfRule>
    <cfRule type="containsText" dxfId="5" priority="1283" operator="between" text="S">
      <formula>NOT(ISERROR(SEARCH("S",U188)))</formula>
    </cfRule>
    <cfRule type="containsText" dxfId="6" priority="1284" operator="between" text="I">
      <formula>NOT(ISERROR(SEARCH("I",U188)))</formula>
    </cfRule>
    <cfRule type="containsText" dxfId="7" priority="1285" operator="between" text="A">
      <formula>NOT(ISERROR(SEARCH("A",U188)))</formula>
    </cfRule>
    <cfRule type="containsText" dxfId="8" priority="1286" operator="between" text="L">
      <formula>NOT(ISERROR(SEARCH("L",U188)))</formula>
    </cfRule>
    <cfRule type="containsText" dxfId="6" priority="1287" operator="between" text="A">
      <formula>NOT(ISERROR(SEARCH("A",U188)))</formula>
    </cfRule>
    <cfRule type="containsText" dxfId="7" priority="1288" operator="between" text="S">
      <formula>NOT(ISERROR(SEARCH("S",U188)))</formula>
    </cfRule>
    <cfRule type="containsText" dxfId="5" priority="1289" operator="between" text="OFF">
      <formula>NOT(ISERROR(SEARCH("OFF",U188)))</formula>
    </cfRule>
    <cfRule type="containsText" dxfId="7" priority="1290" operator="between" text="OFF">
      <formula>NOT(ISERROR(SEARCH("OFF",U188)))</formula>
    </cfRule>
  </conditionalFormatting>
  <conditionalFormatting sqref="Y188">
    <cfRule type="containsText" dxfId="3" priority="1131" operator="between" text="OFF">
      <formula>NOT(ISERROR(SEARCH("OFF",Y188)))</formula>
    </cfRule>
    <cfRule type="containsText" dxfId="4" priority="1132" operator="between" text="OFF">
      <formula>NOT(ISERROR(SEARCH("OFF",Y188)))</formula>
    </cfRule>
    <cfRule type="containsText" dxfId="5" priority="1133" operator="between" text="S">
      <formula>NOT(ISERROR(SEARCH("S",Y188)))</formula>
    </cfRule>
    <cfRule type="containsText" dxfId="6" priority="1134" operator="between" text="I">
      <formula>NOT(ISERROR(SEARCH("I",Y188)))</formula>
    </cfRule>
    <cfRule type="containsText" dxfId="7" priority="1135" operator="between" text="A">
      <formula>NOT(ISERROR(SEARCH("A",Y188)))</formula>
    </cfRule>
    <cfRule type="containsText" dxfId="8" priority="1136" operator="between" text="L">
      <formula>NOT(ISERROR(SEARCH("L",Y188)))</formula>
    </cfRule>
    <cfRule type="containsText" dxfId="6" priority="1137" operator="between" text="A">
      <formula>NOT(ISERROR(SEARCH("A",Y188)))</formula>
    </cfRule>
    <cfRule type="containsText" dxfId="7" priority="1138" operator="between" text="S">
      <formula>NOT(ISERROR(SEARCH("S",Y188)))</formula>
    </cfRule>
    <cfRule type="containsText" dxfId="5" priority="1139" operator="between" text="OFF">
      <formula>NOT(ISERROR(SEARCH("OFF",Y188)))</formula>
    </cfRule>
    <cfRule type="containsText" dxfId="7" priority="1140" operator="between" text="OFF">
      <formula>NOT(ISERROR(SEARCH("OFF",Y188)))</formula>
    </cfRule>
  </conditionalFormatting>
  <conditionalFormatting sqref="AJ188:AK188">
    <cfRule type="containsText" dxfId="3" priority="111" operator="between" text="OFF">
      <formula>NOT(ISERROR(SEARCH("OFF",AJ188)))</formula>
    </cfRule>
    <cfRule type="containsText" dxfId="4" priority="112" operator="between" text="OFF">
      <formula>NOT(ISERROR(SEARCH("OFF",AJ188)))</formula>
    </cfRule>
    <cfRule type="containsText" dxfId="5" priority="113" operator="between" text="S">
      <formula>NOT(ISERROR(SEARCH("S",AJ188)))</formula>
    </cfRule>
    <cfRule type="containsText" dxfId="6" priority="114" operator="between" text="I">
      <formula>NOT(ISERROR(SEARCH("I",AJ188)))</formula>
    </cfRule>
    <cfRule type="containsText" dxfId="7" priority="115" operator="between" text="A">
      <formula>NOT(ISERROR(SEARCH("A",AJ188)))</formula>
    </cfRule>
    <cfRule type="containsText" dxfId="8" priority="116" operator="between" text="L">
      <formula>NOT(ISERROR(SEARCH("L",AJ188)))</formula>
    </cfRule>
    <cfRule type="containsText" dxfId="6" priority="117" operator="between" text="A">
      <formula>NOT(ISERROR(SEARCH("A",AJ188)))</formula>
    </cfRule>
    <cfRule type="containsText" dxfId="7" priority="118" operator="between" text="S">
      <formula>NOT(ISERROR(SEARCH("S",AJ188)))</formula>
    </cfRule>
    <cfRule type="containsText" dxfId="5" priority="119" operator="between" text="OFF">
      <formula>NOT(ISERROR(SEARCH("OFF",AJ188)))</formula>
    </cfRule>
    <cfRule type="containsText" dxfId="7" priority="120" operator="between" text="OFF">
      <formula>NOT(ISERROR(SEARCH("OFF",AJ188)))</formula>
    </cfRule>
  </conditionalFormatting>
  <conditionalFormatting sqref="J189">
    <cfRule type="containsText" dxfId="3" priority="1541" operator="between" text="OFF">
      <formula>NOT(ISERROR(SEARCH("OFF",J189)))</formula>
    </cfRule>
    <cfRule type="containsText" dxfId="4" priority="1542" operator="between" text="OFF">
      <formula>NOT(ISERROR(SEARCH("OFF",J189)))</formula>
    </cfRule>
    <cfRule type="containsText" dxfId="5" priority="1543" operator="between" text="S">
      <formula>NOT(ISERROR(SEARCH("S",J189)))</formula>
    </cfRule>
    <cfRule type="containsText" dxfId="6" priority="1544" operator="between" text="I">
      <formula>NOT(ISERROR(SEARCH("I",J189)))</formula>
    </cfRule>
    <cfRule type="containsText" dxfId="7" priority="1545" operator="between" text="A">
      <formula>NOT(ISERROR(SEARCH("A",J189)))</formula>
    </cfRule>
    <cfRule type="containsText" dxfId="8" priority="1546" operator="between" text="L">
      <formula>NOT(ISERROR(SEARCH("L",J189)))</formula>
    </cfRule>
    <cfRule type="containsText" dxfId="6" priority="1547" operator="between" text="A">
      <formula>NOT(ISERROR(SEARCH("A",J189)))</formula>
    </cfRule>
    <cfRule type="containsText" dxfId="7" priority="1548" operator="between" text="S">
      <formula>NOT(ISERROR(SEARCH("S",J189)))</formula>
    </cfRule>
    <cfRule type="containsText" dxfId="5" priority="1549" operator="between" text="OFF">
      <formula>NOT(ISERROR(SEARCH("OFF",J189)))</formula>
    </cfRule>
    <cfRule type="containsText" dxfId="7" priority="1550" operator="between" text="OFF">
      <formula>NOT(ISERROR(SEARCH("OFF",J189)))</formula>
    </cfRule>
  </conditionalFormatting>
  <conditionalFormatting sqref="Q189">
    <cfRule type="containsText" dxfId="3" priority="1341" operator="between" text="OFF">
      <formula>NOT(ISERROR(SEARCH("OFF",Q189)))</formula>
    </cfRule>
    <cfRule type="containsText" dxfId="4" priority="1342" operator="between" text="OFF">
      <formula>NOT(ISERROR(SEARCH("OFF",Q189)))</formula>
    </cfRule>
    <cfRule type="containsText" dxfId="5" priority="1343" operator="between" text="S">
      <formula>NOT(ISERROR(SEARCH("S",Q189)))</formula>
    </cfRule>
    <cfRule type="containsText" dxfId="6" priority="1344" operator="between" text="I">
      <formula>NOT(ISERROR(SEARCH("I",Q189)))</formula>
    </cfRule>
    <cfRule type="containsText" dxfId="7" priority="1345" operator="between" text="A">
      <formula>NOT(ISERROR(SEARCH("A",Q189)))</formula>
    </cfRule>
    <cfRule type="containsText" dxfId="8" priority="1346" operator="between" text="L">
      <formula>NOT(ISERROR(SEARCH("L",Q189)))</formula>
    </cfRule>
    <cfRule type="containsText" dxfId="6" priority="1347" operator="between" text="A">
      <formula>NOT(ISERROR(SEARCH("A",Q189)))</formula>
    </cfRule>
    <cfRule type="containsText" dxfId="7" priority="1348" operator="between" text="S">
      <formula>NOT(ISERROR(SEARCH("S",Q189)))</formula>
    </cfRule>
    <cfRule type="containsText" dxfId="5" priority="1349" operator="between" text="OFF">
      <formula>NOT(ISERROR(SEARCH("OFF",Q189)))</formula>
    </cfRule>
    <cfRule type="containsText" dxfId="7" priority="1350" operator="between" text="OFF">
      <formula>NOT(ISERROR(SEARCH("OFF",Q189)))</formula>
    </cfRule>
  </conditionalFormatting>
  <conditionalFormatting sqref="S189">
    <cfRule type="containsText" dxfId="3" priority="1621" operator="between" text="OFF">
      <formula>NOT(ISERROR(SEARCH("OFF",S189)))</formula>
    </cfRule>
    <cfRule type="containsText" dxfId="4" priority="1622" operator="between" text="OFF">
      <formula>NOT(ISERROR(SEARCH("OFF",S189)))</formula>
    </cfRule>
    <cfRule type="containsText" dxfId="5" priority="1623" operator="between" text="S">
      <formula>NOT(ISERROR(SEARCH("S",S189)))</formula>
    </cfRule>
    <cfRule type="containsText" dxfId="6" priority="1624" operator="between" text="I">
      <formula>NOT(ISERROR(SEARCH("I",S189)))</formula>
    </cfRule>
    <cfRule type="containsText" dxfId="7" priority="1625" operator="between" text="A">
      <formula>NOT(ISERROR(SEARCH("A",S189)))</formula>
    </cfRule>
    <cfRule type="containsText" dxfId="8" priority="1626" operator="between" text="L">
      <formula>NOT(ISERROR(SEARCH("L",S189)))</formula>
    </cfRule>
    <cfRule type="containsText" dxfId="6" priority="1627" operator="between" text="A">
      <formula>NOT(ISERROR(SEARCH("A",S189)))</formula>
    </cfRule>
    <cfRule type="containsText" dxfId="7" priority="1628" operator="between" text="S">
      <formula>NOT(ISERROR(SEARCH("S",S189)))</formula>
    </cfRule>
    <cfRule type="containsText" dxfId="5" priority="1629" operator="between" text="OFF">
      <formula>NOT(ISERROR(SEARCH("OFF",S189)))</formula>
    </cfRule>
    <cfRule type="containsText" dxfId="7" priority="1630" operator="between" text="OFF">
      <formula>NOT(ISERROR(SEARCH("OFF",S189)))</formula>
    </cfRule>
  </conditionalFormatting>
  <conditionalFormatting sqref="X189">
    <cfRule type="containsText" dxfId="3" priority="1631" operator="between" text="OFF">
      <formula>NOT(ISERROR(SEARCH("OFF",X189)))</formula>
    </cfRule>
    <cfRule type="containsText" dxfId="4" priority="1632" operator="between" text="OFF">
      <formula>NOT(ISERROR(SEARCH("OFF",X189)))</formula>
    </cfRule>
    <cfRule type="containsText" dxfId="5" priority="1633" operator="between" text="S">
      <formula>NOT(ISERROR(SEARCH("S",X189)))</formula>
    </cfRule>
    <cfRule type="containsText" dxfId="6" priority="1634" operator="between" text="I">
      <formula>NOT(ISERROR(SEARCH("I",X189)))</formula>
    </cfRule>
    <cfRule type="containsText" dxfId="7" priority="1635" operator="between" text="A">
      <formula>NOT(ISERROR(SEARCH("A",X189)))</formula>
    </cfRule>
    <cfRule type="containsText" dxfId="8" priority="1636" operator="between" text="L">
      <formula>NOT(ISERROR(SEARCH("L",X189)))</formula>
    </cfRule>
    <cfRule type="containsText" dxfId="6" priority="1637" operator="between" text="A">
      <formula>NOT(ISERROR(SEARCH("A",X189)))</formula>
    </cfRule>
    <cfRule type="containsText" dxfId="7" priority="1638" operator="between" text="S">
      <formula>NOT(ISERROR(SEARCH("S",X189)))</formula>
    </cfRule>
    <cfRule type="containsText" dxfId="5" priority="1639" operator="between" text="OFF">
      <formula>NOT(ISERROR(SEARCH("OFF",X189)))</formula>
    </cfRule>
    <cfRule type="containsText" dxfId="7" priority="1640" operator="between" text="OFF">
      <formula>NOT(ISERROR(SEARCH("OFF",X189)))</formula>
    </cfRule>
  </conditionalFormatting>
  <conditionalFormatting sqref="N190">
    <cfRule type="containsText" dxfId="3" priority="1461" operator="between" text="OFF">
      <formula>NOT(ISERROR(SEARCH("OFF",N190)))</formula>
    </cfRule>
    <cfRule type="containsText" dxfId="4" priority="1462" operator="between" text="OFF">
      <formula>NOT(ISERROR(SEARCH("OFF",N190)))</formula>
    </cfRule>
    <cfRule type="containsText" dxfId="5" priority="1463" operator="between" text="S">
      <formula>NOT(ISERROR(SEARCH("S",N190)))</formula>
    </cfRule>
    <cfRule type="containsText" dxfId="6" priority="1464" operator="between" text="I">
      <formula>NOT(ISERROR(SEARCH("I",N190)))</formula>
    </cfRule>
    <cfRule type="containsText" dxfId="7" priority="1465" operator="between" text="A">
      <formula>NOT(ISERROR(SEARCH("A",N190)))</formula>
    </cfRule>
    <cfRule type="containsText" dxfId="8" priority="1466" operator="between" text="L">
      <formula>NOT(ISERROR(SEARCH("L",N190)))</formula>
    </cfRule>
    <cfRule type="containsText" dxfId="6" priority="1467" operator="between" text="A">
      <formula>NOT(ISERROR(SEARCH("A",N190)))</formula>
    </cfRule>
    <cfRule type="containsText" dxfId="7" priority="1468" operator="between" text="S">
      <formula>NOT(ISERROR(SEARCH("S",N190)))</formula>
    </cfRule>
    <cfRule type="containsText" dxfId="5" priority="1469" operator="between" text="OFF">
      <formula>NOT(ISERROR(SEARCH("OFF",N190)))</formula>
    </cfRule>
    <cfRule type="containsText" dxfId="7" priority="1470" operator="between" text="OFF">
      <formula>NOT(ISERROR(SEARCH("OFF",N190)))</formula>
    </cfRule>
  </conditionalFormatting>
  <conditionalFormatting sqref="W190">
    <cfRule type="containsText" dxfId="3" priority="1641" operator="between" text="OFF">
      <formula>NOT(ISERROR(SEARCH("OFF",W190)))</formula>
    </cfRule>
    <cfRule type="containsText" dxfId="4" priority="1642" operator="between" text="OFF">
      <formula>NOT(ISERROR(SEARCH("OFF",W190)))</formula>
    </cfRule>
    <cfRule type="containsText" dxfId="5" priority="1643" operator="between" text="S">
      <formula>NOT(ISERROR(SEARCH("S",W190)))</formula>
    </cfRule>
    <cfRule type="containsText" dxfId="6" priority="1644" operator="between" text="I">
      <formula>NOT(ISERROR(SEARCH("I",W190)))</formula>
    </cfRule>
    <cfRule type="containsText" dxfId="7" priority="1645" operator="between" text="A">
      <formula>NOT(ISERROR(SEARCH("A",W190)))</formula>
    </cfRule>
    <cfRule type="containsText" dxfId="8" priority="1646" operator="between" text="L">
      <formula>NOT(ISERROR(SEARCH("L",W190)))</formula>
    </cfRule>
    <cfRule type="containsText" dxfId="6" priority="1647" operator="between" text="A">
      <formula>NOT(ISERROR(SEARCH("A",W190)))</formula>
    </cfRule>
    <cfRule type="containsText" dxfId="7" priority="1648" operator="between" text="S">
      <formula>NOT(ISERROR(SEARCH("S",W190)))</formula>
    </cfRule>
    <cfRule type="containsText" dxfId="5" priority="1649" operator="between" text="OFF">
      <formula>NOT(ISERROR(SEARCH("OFF",W190)))</formula>
    </cfRule>
    <cfRule type="containsText" dxfId="7" priority="1650" operator="between" text="OFF">
      <formula>NOT(ISERROR(SEARCH("OFF",W190)))</formula>
    </cfRule>
  </conditionalFormatting>
  <conditionalFormatting sqref="E191:G191">
    <cfRule type="containsText" dxfId="3" priority="801" operator="between" text="OFF">
      <formula>NOT(ISERROR(SEARCH("OFF",E191)))</formula>
    </cfRule>
    <cfRule type="containsText" dxfId="4" priority="802" operator="between" text="OFF">
      <formula>NOT(ISERROR(SEARCH("OFF",E191)))</formula>
    </cfRule>
    <cfRule type="containsText" dxfId="5" priority="803" operator="between" text="S">
      <formula>NOT(ISERROR(SEARCH("S",E191)))</formula>
    </cfRule>
    <cfRule type="containsText" dxfId="6" priority="804" operator="between" text="I">
      <formula>NOT(ISERROR(SEARCH("I",E191)))</formula>
    </cfRule>
    <cfRule type="containsText" dxfId="7" priority="805" operator="between" text="A">
      <formula>NOT(ISERROR(SEARCH("A",E191)))</formula>
    </cfRule>
    <cfRule type="containsText" dxfId="8" priority="806" operator="between" text="L">
      <formula>NOT(ISERROR(SEARCH("L",E191)))</formula>
    </cfRule>
    <cfRule type="containsText" dxfId="6" priority="807" operator="between" text="A">
      <formula>NOT(ISERROR(SEARCH("A",E191)))</formula>
    </cfRule>
    <cfRule type="containsText" dxfId="7" priority="808" operator="between" text="S">
      <formula>NOT(ISERROR(SEARCH("S",E191)))</formula>
    </cfRule>
    <cfRule type="containsText" dxfId="5" priority="809" operator="between" text="OFF">
      <formula>NOT(ISERROR(SEARCH("OFF",E191)))</formula>
    </cfRule>
    <cfRule type="containsText" dxfId="7" priority="810" operator="between" text="OFF">
      <formula>NOT(ISERROR(SEARCH("OFF",E191)))</formula>
    </cfRule>
  </conditionalFormatting>
  <conditionalFormatting sqref="R191">
    <cfRule type="containsText" dxfId="3" priority="471" operator="between" text="OFF">
      <formula>NOT(ISERROR(SEARCH("OFF",R191)))</formula>
    </cfRule>
    <cfRule type="containsText" dxfId="4" priority="472" operator="between" text="OFF">
      <formula>NOT(ISERROR(SEARCH("OFF",R191)))</formula>
    </cfRule>
    <cfRule type="containsText" dxfId="5" priority="473" operator="between" text="S">
      <formula>NOT(ISERROR(SEARCH("S",R191)))</formula>
    </cfRule>
    <cfRule type="containsText" dxfId="6" priority="474" operator="between" text="I">
      <formula>NOT(ISERROR(SEARCH("I",R191)))</formula>
    </cfRule>
    <cfRule type="containsText" dxfId="7" priority="475" operator="between" text="A">
      <formula>NOT(ISERROR(SEARCH("A",R191)))</formula>
    </cfRule>
    <cfRule type="containsText" dxfId="8" priority="476" operator="between" text="L">
      <formula>NOT(ISERROR(SEARCH("L",R191)))</formula>
    </cfRule>
    <cfRule type="containsText" dxfId="6" priority="477" operator="between" text="A">
      <formula>NOT(ISERROR(SEARCH("A",R191)))</formula>
    </cfRule>
    <cfRule type="containsText" dxfId="7" priority="478" operator="between" text="S">
      <formula>NOT(ISERROR(SEARCH("S",R191)))</formula>
    </cfRule>
    <cfRule type="containsText" dxfId="5" priority="479" operator="between" text="OFF">
      <formula>NOT(ISERROR(SEARCH("OFF",R191)))</formula>
    </cfRule>
    <cfRule type="containsText" dxfId="7" priority="480" operator="between" text="OFF">
      <formula>NOT(ISERROR(SEARCH("OFF",R191)))</formula>
    </cfRule>
  </conditionalFormatting>
  <conditionalFormatting sqref="T191">
    <cfRule type="containsText" dxfId="3" priority="1651" operator="between" text="OFF">
      <formula>NOT(ISERROR(SEARCH("OFF",T191)))</formula>
    </cfRule>
    <cfRule type="containsText" dxfId="4" priority="1652" operator="between" text="OFF">
      <formula>NOT(ISERROR(SEARCH("OFF",T191)))</formula>
    </cfRule>
    <cfRule type="containsText" dxfId="5" priority="1653" operator="between" text="S">
      <formula>NOT(ISERROR(SEARCH("S",T191)))</formula>
    </cfRule>
    <cfRule type="containsText" dxfId="6" priority="1654" operator="between" text="I">
      <formula>NOT(ISERROR(SEARCH("I",T191)))</formula>
    </cfRule>
    <cfRule type="containsText" dxfId="7" priority="1655" operator="between" text="A">
      <formula>NOT(ISERROR(SEARCH("A",T191)))</formula>
    </cfRule>
    <cfRule type="containsText" dxfId="8" priority="1656" operator="between" text="L">
      <formula>NOT(ISERROR(SEARCH("L",T191)))</formula>
    </cfRule>
    <cfRule type="containsText" dxfId="6" priority="1657" operator="between" text="A">
      <formula>NOT(ISERROR(SEARCH("A",T191)))</formula>
    </cfRule>
    <cfRule type="containsText" dxfId="7" priority="1658" operator="between" text="S">
      <formula>NOT(ISERROR(SEARCH("S",T191)))</formula>
    </cfRule>
    <cfRule type="containsText" dxfId="5" priority="1659" operator="between" text="OFF">
      <formula>NOT(ISERROR(SEARCH("OFF",T191)))</formula>
    </cfRule>
    <cfRule type="containsText" dxfId="7" priority="1660" operator="between" text="OFF">
      <formula>NOT(ISERROR(SEARCH("OFF",T191)))</formula>
    </cfRule>
  </conditionalFormatting>
  <conditionalFormatting sqref="Z191">
    <cfRule type="containsText" dxfId="3" priority="1071" operator="between" text="OFF">
      <formula>NOT(ISERROR(SEARCH("OFF",Z191)))</formula>
    </cfRule>
    <cfRule type="containsText" dxfId="4" priority="1072" operator="between" text="OFF">
      <formula>NOT(ISERROR(SEARCH("OFF",Z191)))</formula>
    </cfRule>
    <cfRule type="containsText" dxfId="5" priority="1073" operator="between" text="S">
      <formula>NOT(ISERROR(SEARCH("S",Z191)))</formula>
    </cfRule>
    <cfRule type="containsText" dxfId="6" priority="1074" operator="between" text="I">
      <formula>NOT(ISERROR(SEARCH("I",Z191)))</formula>
    </cfRule>
    <cfRule type="containsText" dxfId="7" priority="1075" operator="between" text="A">
      <formula>NOT(ISERROR(SEARCH("A",Z191)))</formula>
    </cfRule>
    <cfRule type="containsText" dxfId="8" priority="1076" operator="between" text="L">
      <formula>NOT(ISERROR(SEARCH("L",Z191)))</formula>
    </cfRule>
    <cfRule type="containsText" dxfId="6" priority="1077" operator="between" text="A">
      <formula>NOT(ISERROR(SEARCH("A",Z191)))</formula>
    </cfRule>
    <cfRule type="containsText" dxfId="7" priority="1078" operator="between" text="S">
      <formula>NOT(ISERROR(SEARCH("S",Z191)))</formula>
    </cfRule>
    <cfRule type="containsText" dxfId="5" priority="1079" operator="between" text="OFF">
      <formula>NOT(ISERROR(SEARCH("OFF",Z191)))</formula>
    </cfRule>
    <cfRule type="containsText" dxfId="7" priority="1080" operator="between" text="OFF">
      <formula>NOT(ISERROR(SEARCH("OFF",Z191)))</formula>
    </cfRule>
  </conditionalFormatting>
  <conditionalFormatting sqref="AE191">
    <cfRule type="containsText" dxfId="3" priority="991" operator="between" text="OFF">
      <formula>NOT(ISERROR(SEARCH("OFF",AE191)))</formula>
    </cfRule>
    <cfRule type="containsText" dxfId="4" priority="992" operator="between" text="OFF">
      <formula>NOT(ISERROR(SEARCH("OFF",AE191)))</formula>
    </cfRule>
    <cfRule type="containsText" dxfId="5" priority="993" operator="between" text="S">
      <formula>NOT(ISERROR(SEARCH("S",AE191)))</formula>
    </cfRule>
    <cfRule type="containsText" dxfId="6" priority="994" operator="between" text="I">
      <formula>NOT(ISERROR(SEARCH("I",AE191)))</formula>
    </cfRule>
    <cfRule type="containsText" dxfId="7" priority="995" operator="between" text="A">
      <formula>NOT(ISERROR(SEARCH("A",AE191)))</formula>
    </cfRule>
    <cfRule type="containsText" dxfId="8" priority="996" operator="between" text="L">
      <formula>NOT(ISERROR(SEARCH("L",AE191)))</formula>
    </cfRule>
    <cfRule type="containsText" dxfId="6" priority="997" operator="between" text="A">
      <formula>NOT(ISERROR(SEARCH("A",AE191)))</formula>
    </cfRule>
    <cfRule type="containsText" dxfId="7" priority="998" operator="between" text="S">
      <formula>NOT(ISERROR(SEARCH("S",AE191)))</formula>
    </cfRule>
    <cfRule type="containsText" dxfId="5" priority="999" operator="between" text="OFF">
      <formula>NOT(ISERROR(SEARCH("OFF",AE191)))</formula>
    </cfRule>
    <cfRule type="containsText" dxfId="7" priority="1000" operator="between" text="OFF">
      <formula>NOT(ISERROR(SEARCH("OFF",AE191)))</formula>
    </cfRule>
  </conditionalFormatting>
  <conditionalFormatting sqref="O192">
    <cfRule type="containsText" dxfId="3" priority="1411" operator="between" text="OFF">
      <formula>NOT(ISERROR(SEARCH("OFF",O192)))</formula>
    </cfRule>
    <cfRule type="containsText" dxfId="4" priority="1412" operator="between" text="OFF">
      <formula>NOT(ISERROR(SEARCH("OFF",O192)))</formula>
    </cfRule>
    <cfRule type="containsText" dxfId="5" priority="1413" operator="between" text="S">
      <formula>NOT(ISERROR(SEARCH("S",O192)))</formula>
    </cfRule>
    <cfRule type="containsText" dxfId="6" priority="1414" operator="between" text="I">
      <formula>NOT(ISERROR(SEARCH("I",O192)))</formula>
    </cfRule>
    <cfRule type="containsText" dxfId="7" priority="1415" operator="between" text="A">
      <formula>NOT(ISERROR(SEARCH("A",O192)))</formula>
    </cfRule>
    <cfRule type="containsText" dxfId="8" priority="1416" operator="between" text="L">
      <formula>NOT(ISERROR(SEARCH("L",O192)))</formula>
    </cfRule>
    <cfRule type="containsText" dxfId="6" priority="1417" operator="between" text="A">
      <formula>NOT(ISERROR(SEARCH("A",O192)))</formula>
    </cfRule>
    <cfRule type="containsText" dxfId="7" priority="1418" operator="between" text="S">
      <formula>NOT(ISERROR(SEARCH("S",O192)))</formula>
    </cfRule>
    <cfRule type="containsText" dxfId="5" priority="1419" operator="between" text="OFF">
      <formula>NOT(ISERROR(SEARCH("OFF",O192)))</formula>
    </cfRule>
    <cfRule type="containsText" dxfId="7" priority="1420" operator="between" text="OFF">
      <formula>NOT(ISERROR(SEARCH("OFF",O192)))</formula>
    </cfRule>
  </conditionalFormatting>
  <conditionalFormatting sqref="X192">
    <cfRule type="containsText" dxfId="3" priority="1161" operator="between" text="OFF">
      <formula>NOT(ISERROR(SEARCH("OFF",X192)))</formula>
    </cfRule>
    <cfRule type="containsText" dxfId="4" priority="1162" operator="between" text="OFF">
      <formula>NOT(ISERROR(SEARCH("OFF",X192)))</formula>
    </cfRule>
    <cfRule type="containsText" dxfId="5" priority="1163" operator="between" text="S">
      <formula>NOT(ISERROR(SEARCH("S",X192)))</formula>
    </cfRule>
    <cfRule type="containsText" dxfId="6" priority="1164" operator="between" text="I">
      <formula>NOT(ISERROR(SEARCH("I",X192)))</formula>
    </cfRule>
    <cfRule type="containsText" dxfId="7" priority="1165" operator="between" text="A">
      <formula>NOT(ISERROR(SEARCH("A",X192)))</formula>
    </cfRule>
    <cfRule type="containsText" dxfId="8" priority="1166" operator="between" text="L">
      <formula>NOT(ISERROR(SEARCH("L",X192)))</formula>
    </cfRule>
    <cfRule type="containsText" dxfId="6" priority="1167" operator="between" text="A">
      <formula>NOT(ISERROR(SEARCH("A",X192)))</formula>
    </cfRule>
    <cfRule type="containsText" dxfId="7" priority="1168" operator="between" text="S">
      <formula>NOT(ISERROR(SEARCH("S",X192)))</formula>
    </cfRule>
    <cfRule type="containsText" dxfId="5" priority="1169" operator="between" text="OFF">
      <formula>NOT(ISERROR(SEARCH("OFF",X192)))</formula>
    </cfRule>
    <cfRule type="containsText" dxfId="7" priority="1170" operator="between" text="OFF">
      <formula>NOT(ISERROR(SEARCH("OFF",X192)))</formula>
    </cfRule>
  </conditionalFormatting>
  <conditionalFormatting sqref="T193:U193">
    <cfRule type="containsText" dxfId="3" priority="1221" operator="between" text="OFF">
      <formula>NOT(ISERROR(SEARCH("OFF",T193)))</formula>
    </cfRule>
    <cfRule type="containsText" dxfId="4" priority="1222" operator="between" text="OFF">
      <formula>NOT(ISERROR(SEARCH("OFF",T193)))</formula>
    </cfRule>
    <cfRule type="containsText" dxfId="5" priority="1223" operator="between" text="S">
      <formula>NOT(ISERROR(SEARCH("S",T193)))</formula>
    </cfRule>
    <cfRule type="containsText" dxfId="6" priority="1224" operator="between" text="I">
      <formula>NOT(ISERROR(SEARCH("I",T193)))</formula>
    </cfRule>
    <cfRule type="containsText" dxfId="7" priority="1225" operator="between" text="A">
      <formula>NOT(ISERROR(SEARCH("A",T193)))</formula>
    </cfRule>
    <cfRule type="containsText" dxfId="8" priority="1226" operator="between" text="L">
      <formula>NOT(ISERROR(SEARCH("L",T193)))</formula>
    </cfRule>
    <cfRule type="containsText" dxfId="6" priority="1227" operator="between" text="A">
      <formula>NOT(ISERROR(SEARCH("A",T193)))</formula>
    </cfRule>
    <cfRule type="containsText" dxfId="7" priority="1228" operator="between" text="S">
      <formula>NOT(ISERROR(SEARCH("S",T193)))</formula>
    </cfRule>
    <cfRule type="containsText" dxfId="5" priority="1229" operator="between" text="OFF">
      <formula>NOT(ISERROR(SEARCH("OFF",T193)))</formula>
    </cfRule>
    <cfRule type="containsText" dxfId="7" priority="1230" operator="between" text="OFF">
      <formula>NOT(ISERROR(SEARCH("OFF",T193)))</formula>
    </cfRule>
  </conditionalFormatting>
  <conditionalFormatting sqref="W193">
    <cfRule type="containsText" dxfId="3" priority="1191" operator="between" text="OFF">
      <formula>NOT(ISERROR(SEARCH("OFF",W193)))</formula>
    </cfRule>
    <cfRule type="containsText" dxfId="4" priority="1192" operator="between" text="OFF">
      <formula>NOT(ISERROR(SEARCH("OFF",W193)))</formula>
    </cfRule>
    <cfRule type="containsText" dxfId="5" priority="1193" operator="between" text="S">
      <formula>NOT(ISERROR(SEARCH("S",W193)))</formula>
    </cfRule>
    <cfRule type="containsText" dxfId="6" priority="1194" operator="between" text="I">
      <formula>NOT(ISERROR(SEARCH("I",W193)))</formula>
    </cfRule>
    <cfRule type="containsText" dxfId="7" priority="1195" operator="between" text="A">
      <formula>NOT(ISERROR(SEARCH("A",W193)))</formula>
    </cfRule>
    <cfRule type="containsText" dxfId="8" priority="1196" operator="between" text="L">
      <formula>NOT(ISERROR(SEARCH("L",W193)))</formula>
    </cfRule>
    <cfRule type="containsText" dxfId="6" priority="1197" operator="between" text="A">
      <formula>NOT(ISERROR(SEARCH("A",W193)))</formula>
    </cfRule>
    <cfRule type="containsText" dxfId="7" priority="1198" operator="between" text="S">
      <formula>NOT(ISERROR(SEARCH("S",W193)))</formula>
    </cfRule>
    <cfRule type="containsText" dxfId="5" priority="1199" operator="between" text="OFF">
      <formula>NOT(ISERROR(SEARCH("OFF",W193)))</formula>
    </cfRule>
    <cfRule type="containsText" dxfId="7" priority="1200" operator="between" text="OFF">
      <formula>NOT(ISERROR(SEARCH("OFF",W193)))</formula>
    </cfRule>
  </conditionalFormatting>
  <conditionalFormatting sqref="AD193">
    <cfRule type="containsText" dxfId="3" priority="971" operator="between" text="OFF">
      <formula>NOT(ISERROR(SEARCH("OFF",AD193)))</formula>
    </cfRule>
    <cfRule type="containsText" dxfId="4" priority="972" operator="between" text="OFF">
      <formula>NOT(ISERROR(SEARCH("OFF",AD193)))</formula>
    </cfRule>
    <cfRule type="containsText" dxfId="5" priority="973" operator="between" text="S">
      <formula>NOT(ISERROR(SEARCH("S",AD193)))</formula>
    </cfRule>
    <cfRule type="containsText" dxfId="6" priority="974" operator="between" text="I">
      <formula>NOT(ISERROR(SEARCH("I",AD193)))</formula>
    </cfRule>
    <cfRule type="containsText" dxfId="7" priority="975" operator="between" text="A">
      <formula>NOT(ISERROR(SEARCH("A",AD193)))</formula>
    </cfRule>
    <cfRule type="containsText" dxfId="8" priority="976" operator="between" text="L">
      <formula>NOT(ISERROR(SEARCH("L",AD193)))</formula>
    </cfRule>
    <cfRule type="containsText" dxfId="6" priority="977" operator="between" text="A">
      <formula>NOT(ISERROR(SEARCH("A",AD193)))</formula>
    </cfRule>
    <cfRule type="containsText" dxfId="7" priority="978" operator="between" text="S">
      <formula>NOT(ISERROR(SEARCH("S",AD193)))</formula>
    </cfRule>
    <cfRule type="containsText" dxfId="5" priority="979" operator="between" text="OFF">
      <formula>NOT(ISERROR(SEARCH("OFF",AD193)))</formula>
    </cfRule>
    <cfRule type="containsText" dxfId="7" priority="980" operator="between" text="OFF">
      <formula>NOT(ISERROR(SEARCH("OFF",AD193)))</formula>
    </cfRule>
  </conditionalFormatting>
  <conditionalFormatting sqref="N194">
    <cfRule type="containsText" dxfId="3" priority="391" operator="between" text="OFF">
      <formula>NOT(ISERROR(SEARCH("OFF",N194)))</formula>
    </cfRule>
    <cfRule type="containsText" dxfId="4" priority="392" operator="between" text="OFF">
      <formula>NOT(ISERROR(SEARCH("OFF",N194)))</formula>
    </cfRule>
    <cfRule type="containsText" dxfId="5" priority="393" operator="between" text="S">
      <formula>NOT(ISERROR(SEARCH("S",N194)))</formula>
    </cfRule>
    <cfRule type="containsText" dxfId="6" priority="394" operator="between" text="I">
      <formula>NOT(ISERROR(SEARCH("I",N194)))</formula>
    </cfRule>
    <cfRule type="containsText" dxfId="7" priority="395" operator="between" text="A">
      <formula>NOT(ISERROR(SEARCH("A",N194)))</formula>
    </cfRule>
    <cfRule type="containsText" dxfId="8" priority="396" operator="between" text="L">
      <formula>NOT(ISERROR(SEARCH("L",N194)))</formula>
    </cfRule>
    <cfRule type="containsText" dxfId="6" priority="397" operator="between" text="A">
      <formula>NOT(ISERROR(SEARCH("A",N194)))</formula>
    </cfRule>
    <cfRule type="containsText" dxfId="7" priority="398" operator="between" text="S">
      <formula>NOT(ISERROR(SEARCH("S",N194)))</formula>
    </cfRule>
    <cfRule type="containsText" dxfId="5" priority="399" operator="between" text="OFF">
      <formula>NOT(ISERROR(SEARCH("OFF",N194)))</formula>
    </cfRule>
    <cfRule type="containsText" dxfId="7" priority="400" operator="between" text="OFF">
      <formula>NOT(ISERROR(SEARCH("OFF",N194)))</formula>
    </cfRule>
  </conditionalFormatting>
  <conditionalFormatting sqref="V194:W194">
    <cfRule type="containsText" dxfId="3" priority="1681" operator="between" text="OFF">
      <formula>NOT(ISERROR(SEARCH("OFF",V194)))</formula>
    </cfRule>
    <cfRule type="containsText" dxfId="4" priority="1682" operator="between" text="OFF">
      <formula>NOT(ISERROR(SEARCH("OFF",V194)))</formula>
    </cfRule>
    <cfRule type="containsText" dxfId="5" priority="1683" operator="between" text="S">
      <formula>NOT(ISERROR(SEARCH("S",V194)))</formula>
    </cfRule>
    <cfRule type="containsText" dxfId="6" priority="1684" operator="between" text="I">
      <formula>NOT(ISERROR(SEARCH("I",V194)))</formula>
    </cfRule>
    <cfRule type="containsText" dxfId="7" priority="1685" operator="between" text="A">
      <formula>NOT(ISERROR(SEARCH("A",V194)))</formula>
    </cfRule>
    <cfRule type="containsText" dxfId="8" priority="1686" operator="between" text="L">
      <formula>NOT(ISERROR(SEARCH("L",V194)))</formula>
    </cfRule>
    <cfRule type="containsText" dxfId="6" priority="1687" operator="between" text="A">
      <formula>NOT(ISERROR(SEARCH("A",V194)))</formula>
    </cfRule>
    <cfRule type="containsText" dxfId="7" priority="1688" operator="between" text="S">
      <formula>NOT(ISERROR(SEARCH("S",V194)))</formula>
    </cfRule>
    <cfRule type="containsText" dxfId="5" priority="1689" operator="between" text="OFF">
      <formula>NOT(ISERROR(SEARCH("OFF",V194)))</formula>
    </cfRule>
    <cfRule type="containsText" dxfId="7" priority="1690" operator="between" text="OFF">
      <formula>NOT(ISERROR(SEARCH("OFF",V194)))</formula>
    </cfRule>
  </conditionalFormatting>
  <conditionalFormatting sqref="Z194">
    <cfRule type="containsText" dxfId="3" priority="341" operator="between" text="OFF">
      <formula>NOT(ISERROR(SEARCH("OFF",Z194)))</formula>
    </cfRule>
    <cfRule type="containsText" dxfId="4" priority="342" operator="between" text="OFF">
      <formula>NOT(ISERROR(SEARCH("OFF",Z194)))</formula>
    </cfRule>
    <cfRule type="containsText" dxfId="5" priority="343" operator="between" text="S">
      <formula>NOT(ISERROR(SEARCH("S",Z194)))</formula>
    </cfRule>
    <cfRule type="containsText" dxfId="6" priority="344" operator="between" text="I">
      <formula>NOT(ISERROR(SEARCH("I",Z194)))</formula>
    </cfRule>
    <cfRule type="containsText" dxfId="7" priority="345" operator="between" text="A">
      <formula>NOT(ISERROR(SEARCH("A",Z194)))</formula>
    </cfRule>
    <cfRule type="containsText" dxfId="8" priority="346" operator="between" text="L">
      <formula>NOT(ISERROR(SEARCH("L",Z194)))</formula>
    </cfRule>
    <cfRule type="containsText" dxfId="6" priority="347" operator="between" text="A">
      <formula>NOT(ISERROR(SEARCH("A",Z194)))</formula>
    </cfRule>
    <cfRule type="containsText" dxfId="7" priority="348" operator="between" text="S">
      <formula>NOT(ISERROR(SEARCH("S",Z194)))</formula>
    </cfRule>
    <cfRule type="containsText" dxfId="5" priority="349" operator="between" text="OFF">
      <formula>NOT(ISERROR(SEARCH("OFF",Z194)))</formula>
    </cfRule>
    <cfRule type="containsText" dxfId="7" priority="350" operator="between" text="OFF">
      <formula>NOT(ISERROR(SEARCH("OFF",Z194)))</formula>
    </cfRule>
  </conditionalFormatting>
  <conditionalFormatting sqref="AE194">
    <cfRule type="containsText" dxfId="3" priority="181" operator="between" text="OFF">
      <formula>NOT(ISERROR(SEARCH("OFF",AE194)))</formula>
    </cfRule>
    <cfRule type="containsText" dxfId="4" priority="182" operator="between" text="OFF">
      <formula>NOT(ISERROR(SEARCH("OFF",AE194)))</formula>
    </cfRule>
    <cfRule type="containsText" dxfId="5" priority="183" operator="between" text="S">
      <formula>NOT(ISERROR(SEARCH("S",AE194)))</formula>
    </cfRule>
    <cfRule type="containsText" dxfId="6" priority="184" operator="between" text="I">
      <formula>NOT(ISERROR(SEARCH("I",AE194)))</formula>
    </cfRule>
    <cfRule type="containsText" dxfId="7" priority="185" operator="between" text="A">
      <formula>NOT(ISERROR(SEARCH("A",AE194)))</formula>
    </cfRule>
    <cfRule type="containsText" dxfId="8" priority="186" operator="between" text="L">
      <formula>NOT(ISERROR(SEARCH("L",AE194)))</formula>
    </cfRule>
    <cfRule type="containsText" dxfId="6" priority="187" operator="between" text="A">
      <formula>NOT(ISERROR(SEARCH("A",AE194)))</formula>
    </cfRule>
    <cfRule type="containsText" dxfId="7" priority="188" operator="between" text="S">
      <formula>NOT(ISERROR(SEARCH("S",AE194)))</formula>
    </cfRule>
    <cfRule type="containsText" dxfId="5" priority="189" operator="between" text="OFF">
      <formula>NOT(ISERROR(SEARCH("OFF",AE194)))</formula>
    </cfRule>
    <cfRule type="containsText" dxfId="7" priority="190" operator="between" text="OFF">
      <formula>NOT(ISERROR(SEARCH("OFF",AE194)))</formula>
    </cfRule>
  </conditionalFormatting>
  <conditionalFormatting sqref="F195">
    <cfRule type="containsText" dxfId="3" priority="851" operator="between" text="OFF">
      <formula>NOT(ISERROR(SEARCH("OFF",F195)))</formula>
    </cfRule>
    <cfRule type="containsText" dxfId="4" priority="852" operator="between" text="OFF">
      <formula>NOT(ISERROR(SEARCH("OFF",F195)))</formula>
    </cfRule>
    <cfRule type="containsText" dxfId="5" priority="853" operator="between" text="S">
      <formula>NOT(ISERROR(SEARCH("S",F195)))</formula>
    </cfRule>
    <cfRule type="containsText" dxfId="6" priority="854" operator="between" text="I">
      <formula>NOT(ISERROR(SEARCH("I",F195)))</formula>
    </cfRule>
    <cfRule type="containsText" dxfId="7" priority="855" operator="between" text="A">
      <formula>NOT(ISERROR(SEARCH("A",F195)))</formula>
    </cfRule>
    <cfRule type="containsText" dxfId="8" priority="856" operator="between" text="L">
      <formula>NOT(ISERROR(SEARCH("L",F195)))</formula>
    </cfRule>
    <cfRule type="containsText" dxfId="6" priority="857" operator="between" text="A">
      <formula>NOT(ISERROR(SEARCH("A",F195)))</formula>
    </cfRule>
    <cfRule type="containsText" dxfId="7" priority="858" operator="between" text="S">
      <formula>NOT(ISERROR(SEARCH("S",F195)))</formula>
    </cfRule>
    <cfRule type="containsText" dxfId="5" priority="859" operator="between" text="OFF">
      <formula>NOT(ISERROR(SEARCH("OFF",F195)))</formula>
    </cfRule>
    <cfRule type="containsText" dxfId="7" priority="860" operator="between" text="OFF">
      <formula>NOT(ISERROR(SEARCH("OFF",F195)))</formula>
    </cfRule>
  </conditionalFormatting>
  <conditionalFormatting sqref="H195:I195">
    <cfRule type="containsText" dxfId="3" priority="671" operator="between" text="OFF">
      <formula>NOT(ISERROR(SEARCH("OFF",H195)))</formula>
    </cfRule>
    <cfRule type="containsText" dxfId="4" priority="672" operator="between" text="OFF">
      <formula>NOT(ISERROR(SEARCH("OFF",H195)))</formula>
    </cfRule>
    <cfRule type="containsText" dxfId="5" priority="673" operator="between" text="S">
      <formula>NOT(ISERROR(SEARCH("S",H195)))</formula>
    </cfRule>
    <cfRule type="containsText" dxfId="6" priority="674" operator="between" text="I">
      <formula>NOT(ISERROR(SEARCH("I",H195)))</formula>
    </cfRule>
    <cfRule type="containsText" dxfId="7" priority="675" operator="between" text="A">
      <formula>NOT(ISERROR(SEARCH("A",H195)))</formula>
    </cfRule>
    <cfRule type="containsText" dxfId="8" priority="676" operator="between" text="L">
      <formula>NOT(ISERROR(SEARCH("L",H195)))</formula>
    </cfRule>
    <cfRule type="containsText" dxfId="6" priority="677" operator="between" text="A">
      <formula>NOT(ISERROR(SEARCH("A",H195)))</formula>
    </cfRule>
    <cfRule type="containsText" dxfId="7" priority="678" operator="between" text="S">
      <formula>NOT(ISERROR(SEARCH("S",H195)))</formula>
    </cfRule>
    <cfRule type="containsText" dxfId="5" priority="679" operator="between" text="OFF">
      <formula>NOT(ISERROR(SEARCH("OFF",H195)))</formula>
    </cfRule>
    <cfRule type="containsText" dxfId="7" priority="680" operator="between" text="OFF">
      <formula>NOT(ISERROR(SEARCH("OFF",H195)))</formula>
    </cfRule>
  </conditionalFormatting>
  <conditionalFormatting sqref="L195">
    <cfRule type="containsText" dxfId="3" priority="641" operator="between" text="OFF">
      <formula>NOT(ISERROR(SEARCH("OFF",L195)))</formula>
    </cfRule>
    <cfRule type="containsText" dxfId="4" priority="642" operator="between" text="OFF">
      <formula>NOT(ISERROR(SEARCH("OFF",L195)))</formula>
    </cfRule>
    <cfRule type="containsText" dxfId="5" priority="643" operator="between" text="S">
      <formula>NOT(ISERROR(SEARCH("S",L195)))</formula>
    </cfRule>
    <cfRule type="containsText" dxfId="6" priority="644" operator="between" text="I">
      <formula>NOT(ISERROR(SEARCH("I",L195)))</formula>
    </cfRule>
    <cfRule type="containsText" dxfId="7" priority="645" operator="between" text="A">
      <formula>NOT(ISERROR(SEARCH("A",L195)))</formula>
    </cfRule>
    <cfRule type="containsText" dxfId="8" priority="646" operator="between" text="L">
      <formula>NOT(ISERROR(SEARCH("L",L195)))</formula>
    </cfRule>
    <cfRule type="containsText" dxfId="6" priority="647" operator="between" text="A">
      <formula>NOT(ISERROR(SEARCH("A",L195)))</formula>
    </cfRule>
    <cfRule type="containsText" dxfId="7" priority="648" operator="between" text="S">
      <formula>NOT(ISERROR(SEARCH("S",L195)))</formula>
    </cfRule>
    <cfRule type="containsText" dxfId="5" priority="649" operator="between" text="OFF">
      <formula>NOT(ISERROR(SEARCH("OFF",L195)))</formula>
    </cfRule>
    <cfRule type="containsText" dxfId="7" priority="650" operator="between" text="OFF">
      <formula>NOT(ISERROR(SEARCH("OFF",L195)))</formula>
    </cfRule>
  </conditionalFormatting>
  <conditionalFormatting sqref="O195">
    <cfRule type="containsText" dxfId="3" priority="1391" operator="between" text="OFF">
      <formula>NOT(ISERROR(SEARCH("OFF",O195)))</formula>
    </cfRule>
    <cfRule type="containsText" dxfId="4" priority="1392" operator="between" text="OFF">
      <formula>NOT(ISERROR(SEARCH("OFF",O195)))</formula>
    </cfRule>
    <cfRule type="containsText" dxfId="5" priority="1393" operator="between" text="S">
      <formula>NOT(ISERROR(SEARCH("S",O195)))</formula>
    </cfRule>
    <cfRule type="containsText" dxfId="6" priority="1394" operator="between" text="I">
      <formula>NOT(ISERROR(SEARCH("I",O195)))</formula>
    </cfRule>
    <cfRule type="containsText" dxfId="7" priority="1395" operator="between" text="A">
      <formula>NOT(ISERROR(SEARCH("A",O195)))</formula>
    </cfRule>
    <cfRule type="containsText" dxfId="8" priority="1396" operator="between" text="L">
      <formula>NOT(ISERROR(SEARCH("L",O195)))</formula>
    </cfRule>
    <cfRule type="containsText" dxfId="6" priority="1397" operator="between" text="A">
      <formula>NOT(ISERROR(SEARCH("A",O195)))</formula>
    </cfRule>
    <cfRule type="containsText" dxfId="7" priority="1398" operator="between" text="S">
      <formula>NOT(ISERROR(SEARCH("S",O195)))</formula>
    </cfRule>
    <cfRule type="containsText" dxfId="5" priority="1399" operator="between" text="OFF">
      <formula>NOT(ISERROR(SEARCH("OFF",O195)))</formula>
    </cfRule>
    <cfRule type="containsText" dxfId="7" priority="1400" operator="between" text="OFF">
      <formula>NOT(ISERROR(SEARCH("OFF",O195)))</formula>
    </cfRule>
  </conditionalFormatting>
  <conditionalFormatting sqref="U197">
    <cfRule type="containsText" dxfId="3" priority="1261" operator="between" text="OFF">
      <formula>NOT(ISERROR(SEARCH("OFF",U197)))</formula>
    </cfRule>
    <cfRule type="containsText" dxfId="4" priority="1262" operator="between" text="OFF">
      <formula>NOT(ISERROR(SEARCH("OFF",U197)))</formula>
    </cfRule>
    <cfRule type="containsText" dxfId="5" priority="1263" operator="between" text="S">
      <formula>NOT(ISERROR(SEARCH("S",U197)))</formula>
    </cfRule>
    <cfRule type="containsText" dxfId="6" priority="1264" operator="between" text="I">
      <formula>NOT(ISERROR(SEARCH("I",U197)))</formula>
    </cfRule>
    <cfRule type="containsText" dxfId="7" priority="1265" operator="between" text="A">
      <formula>NOT(ISERROR(SEARCH("A",U197)))</formula>
    </cfRule>
    <cfRule type="containsText" dxfId="8" priority="1266" operator="between" text="L">
      <formula>NOT(ISERROR(SEARCH("L",U197)))</formula>
    </cfRule>
    <cfRule type="containsText" dxfId="6" priority="1267" operator="between" text="A">
      <formula>NOT(ISERROR(SEARCH("A",U197)))</formula>
    </cfRule>
    <cfRule type="containsText" dxfId="7" priority="1268" operator="between" text="S">
      <formula>NOT(ISERROR(SEARCH("S",U197)))</formula>
    </cfRule>
    <cfRule type="containsText" dxfId="5" priority="1269" operator="between" text="OFF">
      <formula>NOT(ISERROR(SEARCH("OFF",U197)))</formula>
    </cfRule>
    <cfRule type="containsText" dxfId="7" priority="1270" operator="between" text="OFF">
      <formula>NOT(ISERROR(SEARCH("OFF",U197)))</formula>
    </cfRule>
  </conditionalFormatting>
  <conditionalFormatting sqref="F198">
    <cfRule type="containsText" dxfId="3" priority="831" operator="between" text="OFF">
      <formula>NOT(ISERROR(SEARCH("OFF",F198)))</formula>
    </cfRule>
    <cfRule type="containsText" dxfId="4" priority="832" operator="between" text="OFF">
      <formula>NOT(ISERROR(SEARCH("OFF",F198)))</formula>
    </cfRule>
    <cfRule type="containsText" dxfId="5" priority="833" operator="between" text="S">
      <formula>NOT(ISERROR(SEARCH("S",F198)))</formula>
    </cfRule>
    <cfRule type="containsText" dxfId="6" priority="834" operator="between" text="I">
      <formula>NOT(ISERROR(SEARCH("I",F198)))</formula>
    </cfRule>
    <cfRule type="containsText" dxfId="7" priority="835" operator="between" text="A">
      <formula>NOT(ISERROR(SEARCH("A",F198)))</formula>
    </cfRule>
    <cfRule type="containsText" dxfId="8" priority="836" operator="between" text="L">
      <formula>NOT(ISERROR(SEARCH("L",F198)))</formula>
    </cfRule>
    <cfRule type="containsText" dxfId="6" priority="837" operator="between" text="A">
      <formula>NOT(ISERROR(SEARCH("A",F198)))</formula>
    </cfRule>
    <cfRule type="containsText" dxfId="7" priority="838" operator="between" text="S">
      <formula>NOT(ISERROR(SEARCH("S",F198)))</formula>
    </cfRule>
    <cfRule type="containsText" dxfId="5" priority="839" operator="between" text="OFF">
      <formula>NOT(ISERROR(SEARCH("OFF",F198)))</formula>
    </cfRule>
    <cfRule type="containsText" dxfId="7" priority="840" operator="between" text="OFF">
      <formula>NOT(ISERROR(SEARCH("OFF",F198)))</formula>
    </cfRule>
  </conditionalFormatting>
  <conditionalFormatting sqref="I198:J198">
    <cfRule type="containsText" dxfId="3" priority="731" operator="between" text="OFF">
      <formula>NOT(ISERROR(SEARCH("OFF",I198)))</formula>
    </cfRule>
    <cfRule type="containsText" dxfId="4" priority="732" operator="between" text="OFF">
      <formula>NOT(ISERROR(SEARCH("OFF",I198)))</formula>
    </cfRule>
    <cfRule type="containsText" dxfId="5" priority="733" operator="between" text="S">
      <formula>NOT(ISERROR(SEARCH("S",I198)))</formula>
    </cfRule>
    <cfRule type="containsText" dxfId="6" priority="734" operator="between" text="I">
      <formula>NOT(ISERROR(SEARCH("I",I198)))</formula>
    </cfRule>
    <cfRule type="containsText" dxfId="7" priority="735" operator="between" text="A">
      <formula>NOT(ISERROR(SEARCH("A",I198)))</formula>
    </cfRule>
    <cfRule type="containsText" dxfId="8" priority="736" operator="between" text="L">
      <formula>NOT(ISERROR(SEARCH("L",I198)))</formula>
    </cfRule>
    <cfRule type="containsText" dxfId="6" priority="737" operator="between" text="A">
      <formula>NOT(ISERROR(SEARCH("A",I198)))</formula>
    </cfRule>
    <cfRule type="containsText" dxfId="7" priority="738" operator="between" text="S">
      <formula>NOT(ISERROR(SEARCH("S",I198)))</formula>
    </cfRule>
    <cfRule type="containsText" dxfId="5" priority="739" operator="between" text="OFF">
      <formula>NOT(ISERROR(SEARCH("OFF",I198)))</formula>
    </cfRule>
    <cfRule type="containsText" dxfId="7" priority="740" operator="between" text="OFF">
      <formula>NOT(ISERROR(SEARCH("OFF",I198)))</formula>
    </cfRule>
  </conditionalFormatting>
  <conditionalFormatting sqref="Q198">
    <cfRule type="containsText" dxfId="3" priority="1351" operator="between" text="OFF">
      <formula>NOT(ISERROR(SEARCH("OFF",Q198)))</formula>
    </cfRule>
    <cfRule type="containsText" dxfId="4" priority="1352" operator="between" text="OFF">
      <formula>NOT(ISERROR(SEARCH("OFF",Q198)))</formula>
    </cfRule>
    <cfRule type="containsText" dxfId="5" priority="1353" operator="between" text="S">
      <formula>NOT(ISERROR(SEARCH("S",Q198)))</formula>
    </cfRule>
    <cfRule type="containsText" dxfId="6" priority="1354" operator="between" text="I">
      <formula>NOT(ISERROR(SEARCH("I",Q198)))</formula>
    </cfRule>
    <cfRule type="containsText" dxfId="7" priority="1355" operator="between" text="A">
      <formula>NOT(ISERROR(SEARCH("A",Q198)))</formula>
    </cfRule>
    <cfRule type="containsText" dxfId="8" priority="1356" operator="between" text="L">
      <formula>NOT(ISERROR(SEARCH("L",Q198)))</formula>
    </cfRule>
    <cfRule type="containsText" dxfId="6" priority="1357" operator="between" text="A">
      <formula>NOT(ISERROR(SEARCH("A",Q198)))</formula>
    </cfRule>
    <cfRule type="containsText" dxfId="7" priority="1358" operator="between" text="S">
      <formula>NOT(ISERROR(SEARCH("S",Q198)))</formula>
    </cfRule>
    <cfRule type="containsText" dxfId="5" priority="1359" operator="between" text="OFF">
      <formula>NOT(ISERROR(SEARCH("OFF",Q198)))</formula>
    </cfRule>
    <cfRule type="containsText" dxfId="7" priority="1360" operator="between" text="OFF">
      <formula>NOT(ISERROR(SEARCH("OFF",Q198)))</formula>
    </cfRule>
  </conditionalFormatting>
  <conditionalFormatting sqref="M199">
    <cfRule type="containsText" dxfId="3" priority="1471" operator="between" text="OFF">
      <formula>NOT(ISERROR(SEARCH("OFF",M199)))</formula>
    </cfRule>
    <cfRule type="containsText" dxfId="4" priority="1472" operator="between" text="OFF">
      <formula>NOT(ISERROR(SEARCH("OFF",M199)))</formula>
    </cfRule>
    <cfRule type="containsText" dxfId="5" priority="1473" operator="between" text="S">
      <formula>NOT(ISERROR(SEARCH("S",M199)))</formula>
    </cfRule>
    <cfRule type="containsText" dxfId="6" priority="1474" operator="between" text="I">
      <formula>NOT(ISERROR(SEARCH("I",M199)))</formula>
    </cfRule>
    <cfRule type="containsText" dxfId="7" priority="1475" operator="between" text="A">
      <formula>NOT(ISERROR(SEARCH("A",M199)))</formula>
    </cfRule>
    <cfRule type="containsText" dxfId="8" priority="1476" operator="between" text="L">
      <formula>NOT(ISERROR(SEARCH("L",M199)))</formula>
    </cfRule>
    <cfRule type="containsText" dxfId="6" priority="1477" operator="between" text="A">
      <formula>NOT(ISERROR(SEARCH("A",M199)))</formula>
    </cfRule>
    <cfRule type="containsText" dxfId="7" priority="1478" operator="between" text="S">
      <formula>NOT(ISERROR(SEARCH("S",M199)))</formula>
    </cfRule>
    <cfRule type="containsText" dxfId="5" priority="1479" operator="between" text="OFF">
      <formula>NOT(ISERROR(SEARCH("OFF",M199)))</formula>
    </cfRule>
    <cfRule type="containsText" dxfId="7" priority="1480" operator="between" text="OFF">
      <formula>NOT(ISERROR(SEARCH("OFF",M199)))</formula>
    </cfRule>
  </conditionalFormatting>
  <conditionalFormatting sqref="R199:T199">
    <cfRule type="containsText" dxfId="3" priority="421" operator="between" text="OFF">
      <formula>NOT(ISERROR(SEARCH("OFF",R199)))</formula>
    </cfRule>
    <cfRule type="containsText" dxfId="4" priority="422" operator="between" text="OFF">
      <formula>NOT(ISERROR(SEARCH("OFF",R199)))</formula>
    </cfRule>
    <cfRule type="containsText" dxfId="5" priority="423" operator="between" text="S">
      <formula>NOT(ISERROR(SEARCH("S",R199)))</formula>
    </cfRule>
    <cfRule type="containsText" dxfId="6" priority="424" operator="between" text="I">
      <formula>NOT(ISERROR(SEARCH("I",R199)))</formula>
    </cfRule>
    <cfRule type="containsText" dxfId="7" priority="425" operator="between" text="A">
      <formula>NOT(ISERROR(SEARCH("A",R199)))</formula>
    </cfRule>
    <cfRule type="containsText" dxfId="8" priority="426" operator="between" text="L">
      <formula>NOT(ISERROR(SEARCH("L",R199)))</formula>
    </cfRule>
    <cfRule type="containsText" dxfId="6" priority="427" operator="between" text="A">
      <formula>NOT(ISERROR(SEARCH("A",R199)))</formula>
    </cfRule>
    <cfRule type="containsText" dxfId="7" priority="428" operator="between" text="S">
      <formula>NOT(ISERROR(SEARCH("S",R199)))</formula>
    </cfRule>
    <cfRule type="containsText" dxfId="5" priority="429" operator="between" text="OFF">
      <formula>NOT(ISERROR(SEARCH("OFF",R199)))</formula>
    </cfRule>
    <cfRule type="containsText" dxfId="7" priority="430" operator="between" text="OFF">
      <formula>NOT(ISERROR(SEARCH("OFF",R199)))</formula>
    </cfRule>
  </conditionalFormatting>
  <conditionalFormatting sqref="AA199">
    <cfRule type="containsText" dxfId="3" priority="331" operator="between" text="OFF">
      <formula>NOT(ISERROR(SEARCH("OFF",AA199)))</formula>
    </cfRule>
    <cfRule type="containsText" dxfId="4" priority="332" operator="between" text="OFF">
      <formula>NOT(ISERROR(SEARCH("OFF",AA199)))</formula>
    </cfRule>
    <cfRule type="containsText" dxfId="5" priority="333" operator="between" text="S">
      <formula>NOT(ISERROR(SEARCH("S",AA199)))</formula>
    </cfRule>
    <cfRule type="containsText" dxfId="6" priority="334" operator="between" text="I">
      <formula>NOT(ISERROR(SEARCH("I",AA199)))</formula>
    </cfRule>
    <cfRule type="containsText" dxfId="7" priority="335" operator="between" text="A">
      <formula>NOT(ISERROR(SEARCH("A",AA199)))</formula>
    </cfRule>
    <cfRule type="containsText" dxfId="8" priority="336" operator="between" text="L">
      <formula>NOT(ISERROR(SEARCH("L",AA199)))</formula>
    </cfRule>
    <cfRule type="containsText" dxfId="6" priority="337" operator="between" text="A">
      <formula>NOT(ISERROR(SEARCH("A",AA199)))</formula>
    </cfRule>
    <cfRule type="containsText" dxfId="7" priority="338" operator="between" text="S">
      <formula>NOT(ISERROR(SEARCH("S",AA199)))</formula>
    </cfRule>
    <cfRule type="containsText" dxfId="5" priority="339" operator="between" text="OFF">
      <formula>NOT(ISERROR(SEARCH("OFF",AA199)))</formula>
    </cfRule>
    <cfRule type="containsText" dxfId="7" priority="340" operator="between" text="OFF">
      <formula>NOT(ISERROR(SEARCH("OFF",AA199)))</formula>
    </cfRule>
  </conditionalFormatting>
  <conditionalFormatting sqref="U200">
    <cfRule type="containsText" dxfId="3" priority="1291" operator="between" text="OFF">
      <formula>NOT(ISERROR(SEARCH("OFF",U200)))</formula>
    </cfRule>
    <cfRule type="containsText" dxfId="4" priority="1292" operator="between" text="OFF">
      <formula>NOT(ISERROR(SEARCH("OFF",U200)))</formula>
    </cfRule>
    <cfRule type="containsText" dxfId="5" priority="1293" operator="between" text="S">
      <formula>NOT(ISERROR(SEARCH("S",U200)))</formula>
    </cfRule>
    <cfRule type="containsText" dxfId="6" priority="1294" operator="between" text="I">
      <formula>NOT(ISERROR(SEARCH("I",U200)))</formula>
    </cfRule>
    <cfRule type="containsText" dxfId="7" priority="1295" operator="between" text="A">
      <formula>NOT(ISERROR(SEARCH("A",U200)))</formula>
    </cfRule>
    <cfRule type="containsText" dxfId="8" priority="1296" operator="between" text="L">
      <formula>NOT(ISERROR(SEARCH("L",U200)))</formula>
    </cfRule>
    <cfRule type="containsText" dxfId="6" priority="1297" operator="between" text="A">
      <formula>NOT(ISERROR(SEARCH("A",U200)))</formula>
    </cfRule>
    <cfRule type="containsText" dxfId="7" priority="1298" operator="between" text="S">
      <formula>NOT(ISERROR(SEARCH("S",U200)))</formula>
    </cfRule>
    <cfRule type="containsText" dxfId="5" priority="1299" operator="between" text="OFF">
      <formula>NOT(ISERROR(SEARCH("OFF",U200)))</formula>
    </cfRule>
    <cfRule type="containsText" dxfId="7" priority="1300" operator="between" text="OFF">
      <formula>NOT(ISERROR(SEARCH("OFF",U200)))</formula>
    </cfRule>
  </conditionalFormatting>
  <conditionalFormatting sqref="R201">
    <cfRule type="containsText" dxfId="3" priority="1311" operator="between" text="OFF">
      <formula>NOT(ISERROR(SEARCH("OFF",R201)))</formula>
    </cfRule>
    <cfRule type="containsText" dxfId="4" priority="1312" operator="between" text="OFF">
      <formula>NOT(ISERROR(SEARCH("OFF",R201)))</formula>
    </cfRule>
    <cfRule type="containsText" dxfId="5" priority="1313" operator="between" text="S">
      <formula>NOT(ISERROR(SEARCH("S",R201)))</formula>
    </cfRule>
    <cfRule type="containsText" dxfId="6" priority="1314" operator="between" text="I">
      <formula>NOT(ISERROR(SEARCH("I",R201)))</formula>
    </cfRule>
    <cfRule type="containsText" dxfId="7" priority="1315" operator="between" text="A">
      <formula>NOT(ISERROR(SEARCH("A",R201)))</formula>
    </cfRule>
    <cfRule type="containsText" dxfId="8" priority="1316" operator="between" text="L">
      <formula>NOT(ISERROR(SEARCH("L",R201)))</formula>
    </cfRule>
    <cfRule type="containsText" dxfId="6" priority="1317" operator="between" text="A">
      <formula>NOT(ISERROR(SEARCH("A",R201)))</formula>
    </cfRule>
    <cfRule type="containsText" dxfId="7" priority="1318" operator="between" text="S">
      <formula>NOT(ISERROR(SEARCH("S",R201)))</formula>
    </cfRule>
    <cfRule type="containsText" dxfId="5" priority="1319" operator="between" text="OFF">
      <formula>NOT(ISERROR(SEARCH("OFF",R201)))</formula>
    </cfRule>
    <cfRule type="containsText" dxfId="7" priority="1320" operator="between" text="OFF">
      <formula>NOT(ISERROR(SEARCH("OFF",R201)))</formula>
    </cfRule>
  </conditionalFormatting>
  <conditionalFormatting sqref="Y201">
    <cfRule type="containsText" dxfId="3" priority="1601" operator="between" text="OFF">
      <formula>NOT(ISERROR(SEARCH("OFF",Y201)))</formula>
    </cfRule>
    <cfRule type="containsText" dxfId="4" priority="1602" operator="between" text="OFF">
      <formula>NOT(ISERROR(SEARCH("OFF",Y201)))</formula>
    </cfRule>
    <cfRule type="containsText" dxfId="5" priority="1603" operator="between" text="S">
      <formula>NOT(ISERROR(SEARCH("S",Y201)))</formula>
    </cfRule>
    <cfRule type="containsText" dxfId="6" priority="1604" operator="between" text="I">
      <formula>NOT(ISERROR(SEARCH("I",Y201)))</formula>
    </cfRule>
    <cfRule type="containsText" dxfId="7" priority="1605" operator="between" text="A">
      <formula>NOT(ISERROR(SEARCH("A",Y201)))</formula>
    </cfRule>
    <cfRule type="containsText" dxfId="8" priority="1606" operator="between" text="L">
      <formula>NOT(ISERROR(SEARCH("L",Y201)))</formula>
    </cfRule>
    <cfRule type="containsText" dxfId="6" priority="1607" operator="between" text="A">
      <formula>NOT(ISERROR(SEARCH("A",Y201)))</formula>
    </cfRule>
    <cfRule type="containsText" dxfId="7" priority="1608" operator="between" text="S">
      <formula>NOT(ISERROR(SEARCH("S",Y201)))</formula>
    </cfRule>
    <cfRule type="containsText" dxfId="5" priority="1609" operator="between" text="OFF">
      <formula>NOT(ISERROR(SEARCH("OFF",Y201)))</formula>
    </cfRule>
    <cfRule type="containsText" dxfId="7" priority="1610" operator="between" text="OFF">
      <formula>NOT(ISERROR(SEARCH("OFF",Y201)))</formula>
    </cfRule>
  </conditionalFormatting>
  <conditionalFormatting sqref="J203">
    <cfRule type="containsText" dxfId="3" priority="741" operator="between" text="OFF">
      <formula>NOT(ISERROR(SEARCH("OFF",J203)))</formula>
    </cfRule>
    <cfRule type="containsText" dxfId="4" priority="742" operator="between" text="OFF">
      <formula>NOT(ISERROR(SEARCH("OFF",J203)))</formula>
    </cfRule>
    <cfRule type="containsText" dxfId="5" priority="743" operator="between" text="S">
      <formula>NOT(ISERROR(SEARCH("S",J203)))</formula>
    </cfRule>
    <cfRule type="containsText" dxfId="6" priority="744" operator="between" text="I">
      <formula>NOT(ISERROR(SEARCH("I",J203)))</formula>
    </cfRule>
    <cfRule type="containsText" dxfId="7" priority="745" operator="between" text="A">
      <formula>NOT(ISERROR(SEARCH("A",J203)))</formula>
    </cfRule>
    <cfRule type="containsText" dxfId="8" priority="746" operator="between" text="L">
      <formula>NOT(ISERROR(SEARCH("L",J203)))</formula>
    </cfRule>
    <cfRule type="containsText" dxfId="6" priority="747" operator="between" text="A">
      <formula>NOT(ISERROR(SEARCH("A",J203)))</formula>
    </cfRule>
    <cfRule type="containsText" dxfId="7" priority="748" operator="between" text="S">
      <formula>NOT(ISERROR(SEARCH("S",J203)))</formula>
    </cfRule>
    <cfRule type="containsText" dxfId="5" priority="749" operator="between" text="OFF">
      <formula>NOT(ISERROR(SEARCH("OFF",J203)))</formula>
    </cfRule>
    <cfRule type="containsText" dxfId="7" priority="750" operator="between" text="OFF">
      <formula>NOT(ISERROR(SEARCH("OFF",J203)))</formula>
    </cfRule>
  </conditionalFormatting>
  <conditionalFormatting sqref="O203">
    <cfRule type="containsText" dxfId="3" priority="1381" operator="between" text="OFF">
      <formula>NOT(ISERROR(SEARCH("OFF",O203)))</formula>
    </cfRule>
    <cfRule type="containsText" dxfId="4" priority="1382" operator="between" text="OFF">
      <formula>NOT(ISERROR(SEARCH("OFF",O203)))</formula>
    </cfRule>
    <cfRule type="containsText" dxfId="5" priority="1383" operator="between" text="S">
      <formula>NOT(ISERROR(SEARCH("S",O203)))</formula>
    </cfRule>
    <cfRule type="containsText" dxfId="6" priority="1384" operator="between" text="I">
      <formula>NOT(ISERROR(SEARCH("I",O203)))</formula>
    </cfRule>
    <cfRule type="containsText" dxfId="7" priority="1385" operator="between" text="A">
      <formula>NOT(ISERROR(SEARCH("A",O203)))</formula>
    </cfRule>
    <cfRule type="containsText" dxfId="8" priority="1386" operator="between" text="L">
      <formula>NOT(ISERROR(SEARCH("L",O203)))</formula>
    </cfRule>
    <cfRule type="containsText" dxfId="6" priority="1387" operator="between" text="A">
      <formula>NOT(ISERROR(SEARCH("A",O203)))</formula>
    </cfRule>
    <cfRule type="containsText" dxfId="7" priority="1388" operator="between" text="S">
      <formula>NOT(ISERROR(SEARCH("S",O203)))</formula>
    </cfRule>
    <cfRule type="containsText" dxfId="5" priority="1389" operator="between" text="OFF">
      <formula>NOT(ISERROR(SEARCH("OFF",O203)))</formula>
    </cfRule>
    <cfRule type="containsText" dxfId="7" priority="1390" operator="between" text="OFF">
      <formula>NOT(ISERROR(SEARCH("OFF",O203)))</formula>
    </cfRule>
  </conditionalFormatting>
  <conditionalFormatting sqref="Q203">
    <cfRule type="containsText" dxfId="3" priority="1371" operator="between" text="OFF">
      <formula>NOT(ISERROR(SEARCH("OFF",Q203)))</formula>
    </cfRule>
    <cfRule type="containsText" dxfId="4" priority="1372" operator="between" text="OFF">
      <formula>NOT(ISERROR(SEARCH("OFF",Q203)))</formula>
    </cfRule>
    <cfRule type="containsText" dxfId="5" priority="1373" operator="between" text="S">
      <formula>NOT(ISERROR(SEARCH("S",Q203)))</formula>
    </cfRule>
    <cfRule type="containsText" dxfId="6" priority="1374" operator="between" text="I">
      <formula>NOT(ISERROR(SEARCH("I",Q203)))</formula>
    </cfRule>
    <cfRule type="containsText" dxfId="7" priority="1375" operator="between" text="A">
      <formula>NOT(ISERROR(SEARCH("A",Q203)))</formula>
    </cfRule>
    <cfRule type="containsText" dxfId="8" priority="1376" operator="between" text="L">
      <formula>NOT(ISERROR(SEARCH("L",Q203)))</formula>
    </cfRule>
    <cfRule type="containsText" dxfId="6" priority="1377" operator="between" text="A">
      <formula>NOT(ISERROR(SEARCH("A",Q203)))</formula>
    </cfRule>
    <cfRule type="containsText" dxfId="7" priority="1378" operator="between" text="S">
      <formula>NOT(ISERROR(SEARCH("S",Q203)))</formula>
    </cfRule>
    <cfRule type="containsText" dxfId="5" priority="1379" operator="between" text="OFF">
      <formula>NOT(ISERROR(SEARCH("OFF",Q203)))</formula>
    </cfRule>
    <cfRule type="containsText" dxfId="7" priority="1380" operator="between" text="OFF">
      <formula>NOT(ISERROR(SEARCH("OFF",Q203)))</formula>
    </cfRule>
  </conditionalFormatting>
  <conditionalFormatting sqref="S203">
    <cfRule type="containsText" dxfId="3" priority="531" operator="between" text="OFF">
      <formula>NOT(ISERROR(SEARCH("OFF",S203)))</formula>
    </cfRule>
    <cfRule type="containsText" dxfId="4" priority="532" operator="between" text="OFF">
      <formula>NOT(ISERROR(SEARCH("OFF",S203)))</formula>
    </cfRule>
    <cfRule type="containsText" dxfId="5" priority="533" operator="between" text="S">
      <formula>NOT(ISERROR(SEARCH("S",S203)))</formula>
    </cfRule>
    <cfRule type="containsText" dxfId="6" priority="534" operator="between" text="I">
      <formula>NOT(ISERROR(SEARCH("I",S203)))</formula>
    </cfRule>
    <cfRule type="containsText" dxfId="7" priority="535" operator="between" text="A">
      <formula>NOT(ISERROR(SEARCH("A",S203)))</formula>
    </cfRule>
    <cfRule type="containsText" dxfId="8" priority="536" operator="between" text="L">
      <formula>NOT(ISERROR(SEARCH("L",S203)))</formula>
    </cfRule>
    <cfRule type="containsText" dxfId="6" priority="537" operator="between" text="A">
      <formula>NOT(ISERROR(SEARCH("A",S203)))</formula>
    </cfRule>
    <cfRule type="containsText" dxfId="7" priority="538" operator="between" text="S">
      <formula>NOT(ISERROR(SEARCH("S",S203)))</formula>
    </cfRule>
    <cfRule type="containsText" dxfId="5" priority="539" operator="between" text="OFF">
      <formula>NOT(ISERROR(SEARCH("OFF",S203)))</formula>
    </cfRule>
    <cfRule type="containsText" dxfId="7" priority="540" operator="between" text="OFF">
      <formula>NOT(ISERROR(SEARCH("OFF",S203)))</formula>
    </cfRule>
  </conditionalFormatting>
  <conditionalFormatting sqref="X203:Z203">
    <cfRule type="containsText" dxfId="3" priority="281" operator="between" text="OFF">
      <formula>NOT(ISERROR(SEARCH("OFF",X203)))</formula>
    </cfRule>
    <cfRule type="containsText" dxfId="4" priority="282" operator="between" text="OFF">
      <formula>NOT(ISERROR(SEARCH("OFF",X203)))</formula>
    </cfRule>
    <cfRule type="containsText" dxfId="5" priority="283" operator="between" text="S">
      <formula>NOT(ISERROR(SEARCH("S",X203)))</formula>
    </cfRule>
    <cfRule type="containsText" dxfId="6" priority="284" operator="between" text="I">
      <formula>NOT(ISERROR(SEARCH("I",X203)))</formula>
    </cfRule>
    <cfRule type="containsText" dxfId="7" priority="285" operator="between" text="A">
      <formula>NOT(ISERROR(SEARCH("A",X203)))</formula>
    </cfRule>
    <cfRule type="containsText" dxfId="8" priority="286" operator="between" text="L">
      <formula>NOT(ISERROR(SEARCH("L",X203)))</formula>
    </cfRule>
    <cfRule type="containsText" dxfId="6" priority="287" operator="between" text="A">
      <formula>NOT(ISERROR(SEARCH("A",X203)))</formula>
    </cfRule>
    <cfRule type="containsText" dxfId="7" priority="288" operator="between" text="S">
      <formula>NOT(ISERROR(SEARCH("S",X203)))</formula>
    </cfRule>
    <cfRule type="containsText" dxfId="5" priority="289" operator="between" text="OFF">
      <formula>NOT(ISERROR(SEARCH("OFF",X203)))</formula>
    </cfRule>
    <cfRule type="containsText" dxfId="7" priority="290" operator="between" text="OFF">
      <formula>NOT(ISERROR(SEARCH("OFF",X203)))</formula>
    </cfRule>
  </conditionalFormatting>
  <conditionalFormatting sqref="AD203:AE203">
    <cfRule type="containsText" dxfId="3" priority="241" operator="between" text="OFF">
      <formula>NOT(ISERROR(SEARCH("OFF",AD203)))</formula>
    </cfRule>
    <cfRule type="containsText" dxfId="4" priority="242" operator="between" text="OFF">
      <formula>NOT(ISERROR(SEARCH("OFF",AD203)))</formula>
    </cfRule>
    <cfRule type="containsText" dxfId="5" priority="243" operator="between" text="S">
      <formula>NOT(ISERROR(SEARCH("S",AD203)))</formula>
    </cfRule>
    <cfRule type="containsText" dxfId="6" priority="244" operator="between" text="I">
      <formula>NOT(ISERROR(SEARCH("I",AD203)))</formula>
    </cfRule>
    <cfRule type="containsText" dxfId="7" priority="245" operator="between" text="A">
      <formula>NOT(ISERROR(SEARCH("A",AD203)))</formula>
    </cfRule>
    <cfRule type="containsText" dxfId="8" priority="246" operator="between" text="L">
      <formula>NOT(ISERROR(SEARCH("L",AD203)))</formula>
    </cfRule>
    <cfRule type="containsText" dxfId="6" priority="247" operator="between" text="A">
      <formula>NOT(ISERROR(SEARCH("A",AD203)))</formula>
    </cfRule>
    <cfRule type="containsText" dxfId="7" priority="248" operator="between" text="S">
      <formula>NOT(ISERROR(SEARCH("S",AD203)))</formula>
    </cfRule>
    <cfRule type="containsText" dxfId="5" priority="249" operator="between" text="OFF">
      <formula>NOT(ISERROR(SEARCH("OFF",AD203)))</formula>
    </cfRule>
    <cfRule type="containsText" dxfId="7" priority="250" operator="between" text="OFF">
      <formula>NOT(ISERROR(SEARCH("OFF",AD203)))</formula>
    </cfRule>
  </conditionalFormatting>
  <conditionalFormatting sqref="G204">
    <cfRule type="containsText" dxfId="3" priority="791" operator="between" text="OFF">
      <formula>NOT(ISERROR(SEARCH("OFF",G204)))</formula>
    </cfRule>
    <cfRule type="containsText" dxfId="4" priority="792" operator="between" text="OFF">
      <formula>NOT(ISERROR(SEARCH("OFF",G204)))</formula>
    </cfRule>
    <cfRule type="containsText" dxfId="5" priority="793" operator="between" text="S">
      <formula>NOT(ISERROR(SEARCH("S",G204)))</formula>
    </cfRule>
    <cfRule type="containsText" dxfId="6" priority="794" operator="between" text="I">
      <formula>NOT(ISERROR(SEARCH("I",G204)))</formula>
    </cfRule>
    <cfRule type="containsText" dxfId="7" priority="795" operator="between" text="A">
      <formula>NOT(ISERROR(SEARCH("A",G204)))</formula>
    </cfRule>
    <cfRule type="containsText" dxfId="8" priority="796" operator="between" text="L">
      <formula>NOT(ISERROR(SEARCH("L",G204)))</formula>
    </cfRule>
    <cfRule type="containsText" dxfId="6" priority="797" operator="between" text="A">
      <formula>NOT(ISERROR(SEARCH("A",G204)))</formula>
    </cfRule>
    <cfRule type="containsText" dxfId="7" priority="798" operator="between" text="S">
      <formula>NOT(ISERROR(SEARCH("S",G204)))</formula>
    </cfRule>
    <cfRule type="containsText" dxfId="5" priority="799" operator="between" text="OFF">
      <formula>NOT(ISERROR(SEARCH("OFF",G204)))</formula>
    </cfRule>
    <cfRule type="containsText" dxfId="7" priority="800" operator="between" text="OFF">
      <formula>NOT(ISERROR(SEARCH("OFF",G204)))</formula>
    </cfRule>
  </conditionalFormatting>
  <conditionalFormatting sqref="N204:O204">
    <cfRule type="containsText" dxfId="3" priority="1401" operator="between" text="OFF">
      <formula>NOT(ISERROR(SEARCH("OFF",N204)))</formula>
    </cfRule>
    <cfRule type="containsText" dxfId="4" priority="1402" operator="between" text="OFF">
      <formula>NOT(ISERROR(SEARCH("OFF",N204)))</formula>
    </cfRule>
    <cfRule type="containsText" dxfId="5" priority="1403" operator="between" text="S">
      <formula>NOT(ISERROR(SEARCH("S",N204)))</formula>
    </cfRule>
    <cfRule type="containsText" dxfId="6" priority="1404" operator="between" text="I">
      <formula>NOT(ISERROR(SEARCH("I",N204)))</formula>
    </cfRule>
    <cfRule type="containsText" dxfId="7" priority="1405" operator="between" text="A">
      <formula>NOT(ISERROR(SEARCH("A",N204)))</formula>
    </cfRule>
    <cfRule type="containsText" dxfId="8" priority="1406" operator="between" text="L">
      <formula>NOT(ISERROR(SEARCH("L",N204)))</formula>
    </cfRule>
    <cfRule type="containsText" dxfId="6" priority="1407" operator="between" text="A">
      <formula>NOT(ISERROR(SEARCH("A",N204)))</formula>
    </cfRule>
    <cfRule type="containsText" dxfId="7" priority="1408" operator="between" text="S">
      <formula>NOT(ISERROR(SEARCH("S",N204)))</formula>
    </cfRule>
    <cfRule type="containsText" dxfId="5" priority="1409" operator="between" text="OFF">
      <formula>NOT(ISERROR(SEARCH("OFF",N204)))</formula>
    </cfRule>
    <cfRule type="containsText" dxfId="7" priority="1410" operator="between" text="OFF">
      <formula>NOT(ISERROR(SEARCH("OFF",N204)))</formula>
    </cfRule>
  </conditionalFormatting>
  <conditionalFormatting sqref="AD204">
    <cfRule type="containsText" dxfId="3" priority="221" operator="between" text="OFF">
      <formula>NOT(ISERROR(SEARCH("OFF",AD204)))</formula>
    </cfRule>
    <cfRule type="containsText" dxfId="4" priority="222" operator="between" text="OFF">
      <formula>NOT(ISERROR(SEARCH("OFF",AD204)))</formula>
    </cfRule>
    <cfRule type="containsText" dxfId="5" priority="223" operator="between" text="S">
      <formula>NOT(ISERROR(SEARCH("S",AD204)))</formula>
    </cfRule>
    <cfRule type="containsText" dxfId="6" priority="224" operator="between" text="I">
      <formula>NOT(ISERROR(SEARCH("I",AD204)))</formula>
    </cfRule>
    <cfRule type="containsText" dxfId="7" priority="225" operator="between" text="A">
      <formula>NOT(ISERROR(SEARCH("A",AD204)))</formula>
    </cfRule>
    <cfRule type="containsText" dxfId="8" priority="226" operator="between" text="L">
      <formula>NOT(ISERROR(SEARCH("L",AD204)))</formula>
    </cfRule>
    <cfRule type="containsText" dxfId="6" priority="227" operator="between" text="A">
      <formula>NOT(ISERROR(SEARCH("A",AD204)))</formula>
    </cfRule>
    <cfRule type="containsText" dxfId="7" priority="228" operator="between" text="S">
      <formula>NOT(ISERROR(SEARCH("S",AD204)))</formula>
    </cfRule>
    <cfRule type="containsText" dxfId="5" priority="229" operator="between" text="OFF">
      <formula>NOT(ISERROR(SEARCH("OFF",AD204)))</formula>
    </cfRule>
    <cfRule type="containsText" dxfId="7" priority="230" operator="between" text="OFF">
      <formula>NOT(ISERROR(SEARCH("OFF",AD204)))</formula>
    </cfRule>
  </conditionalFormatting>
  <conditionalFormatting sqref="M205:N205">
    <cfRule type="containsText" dxfId="3" priority="381" operator="between" text="OFF">
      <formula>NOT(ISERROR(SEARCH("OFF",M205)))</formula>
    </cfRule>
    <cfRule type="containsText" dxfId="4" priority="382" operator="between" text="OFF">
      <formula>NOT(ISERROR(SEARCH("OFF",M205)))</formula>
    </cfRule>
    <cfRule type="containsText" dxfId="5" priority="383" operator="between" text="S">
      <formula>NOT(ISERROR(SEARCH("S",M205)))</formula>
    </cfRule>
    <cfRule type="containsText" dxfId="6" priority="384" operator="between" text="I">
      <formula>NOT(ISERROR(SEARCH("I",M205)))</formula>
    </cfRule>
    <cfRule type="containsText" dxfId="7" priority="385" operator="between" text="A">
      <formula>NOT(ISERROR(SEARCH("A",M205)))</formula>
    </cfRule>
    <cfRule type="containsText" dxfId="8" priority="386" operator="between" text="L">
      <formula>NOT(ISERROR(SEARCH("L",M205)))</formula>
    </cfRule>
    <cfRule type="containsText" dxfId="6" priority="387" operator="between" text="A">
      <formula>NOT(ISERROR(SEARCH("A",M205)))</formula>
    </cfRule>
    <cfRule type="containsText" dxfId="7" priority="388" operator="between" text="S">
      <formula>NOT(ISERROR(SEARCH("S",M205)))</formula>
    </cfRule>
    <cfRule type="containsText" dxfId="5" priority="389" operator="between" text="OFF">
      <formula>NOT(ISERROR(SEARCH("OFF",M205)))</formula>
    </cfRule>
    <cfRule type="containsText" dxfId="7" priority="390" operator="between" text="OFF">
      <formula>NOT(ISERROR(SEARCH("OFF",M205)))</formula>
    </cfRule>
  </conditionalFormatting>
  <conditionalFormatting sqref="I206:J206">
    <cfRule type="containsText" dxfId="3" priority="1501" operator="between" text="OFF">
      <formula>NOT(ISERROR(SEARCH("OFF",I206)))</formula>
    </cfRule>
    <cfRule type="containsText" dxfId="4" priority="1502" operator="between" text="OFF">
      <formula>NOT(ISERROR(SEARCH("OFF",I206)))</formula>
    </cfRule>
    <cfRule type="containsText" dxfId="5" priority="1503" operator="between" text="S">
      <formula>NOT(ISERROR(SEARCH("S",I206)))</formula>
    </cfRule>
    <cfRule type="containsText" dxfId="6" priority="1504" operator="between" text="I">
      <formula>NOT(ISERROR(SEARCH("I",I206)))</formula>
    </cfRule>
    <cfRule type="containsText" dxfId="7" priority="1505" operator="between" text="A">
      <formula>NOT(ISERROR(SEARCH("A",I206)))</formula>
    </cfRule>
    <cfRule type="containsText" dxfId="8" priority="1506" operator="between" text="L">
      <formula>NOT(ISERROR(SEARCH("L",I206)))</formula>
    </cfRule>
    <cfRule type="containsText" dxfId="6" priority="1507" operator="between" text="A">
      <formula>NOT(ISERROR(SEARCH("A",I206)))</formula>
    </cfRule>
    <cfRule type="containsText" dxfId="7" priority="1508" operator="between" text="S">
      <formula>NOT(ISERROR(SEARCH("S",I206)))</formula>
    </cfRule>
    <cfRule type="containsText" dxfId="5" priority="1509" operator="between" text="OFF">
      <formula>NOT(ISERROR(SEARCH("OFF",I206)))</formula>
    </cfRule>
    <cfRule type="containsText" dxfId="7" priority="1510" operator="between" text="OFF">
      <formula>NOT(ISERROR(SEARCH("OFF",I206)))</formula>
    </cfRule>
  </conditionalFormatting>
  <conditionalFormatting sqref="U206">
    <cfRule type="containsText" dxfId="3" priority="1301" operator="between" text="OFF">
      <formula>NOT(ISERROR(SEARCH("OFF",U206)))</formula>
    </cfRule>
    <cfRule type="containsText" dxfId="4" priority="1302" operator="between" text="OFF">
      <formula>NOT(ISERROR(SEARCH("OFF",U206)))</formula>
    </cfRule>
    <cfRule type="containsText" dxfId="5" priority="1303" operator="between" text="S">
      <formula>NOT(ISERROR(SEARCH("S",U206)))</formula>
    </cfRule>
    <cfRule type="containsText" dxfId="6" priority="1304" operator="between" text="I">
      <formula>NOT(ISERROR(SEARCH("I",U206)))</formula>
    </cfRule>
    <cfRule type="containsText" dxfId="7" priority="1305" operator="between" text="A">
      <formula>NOT(ISERROR(SEARCH("A",U206)))</formula>
    </cfRule>
    <cfRule type="containsText" dxfId="8" priority="1306" operator="between" text="L">
      <formula>NOT(ISERROR(SEARCH("L",U206)))</formula>
    </cfRule>
    <cfRule type="containsText" dxfId="6" priority="1307" operator="between" text="A">
      <formula>NOT(ISERROR(SEARCH("A",U206)))</formula>
    </cfRule>
    <cfRule type="containsText" dxfId="7" priority="1308" operator="between" text="S">
      <formula>NOT(ISERROR(SEARCH("S",U206)))</formula>
    </cfRule>
    <cfRule type="containsText" dxfId="5" priority="1309" operator="between" text="OFF">
      <formula>NOT(ISERROR(SEARCH("OFF",U206)))</formula>
    </cfRule>
    <cfRule type="containsText" dxfId="7" priority="1310" operator="between" text="OFF">
      <formula>NOT(ISERROR(SEARCH("OFF",U206)))</formula>
    </cfRule>
  </conditionalFormatting>
  <conditionalFormatting sqref="M207">
    <cfRule type="containsText" dxfId="3" priority="1451" operator="between" text="OFF">
      <formula>NOT(ISERROR(SEARCH("OFF",M207)))</formula>
    </cfRule>
    <cfRule type="containsText" dxfId="4" priority="1452" operator="between" text="OFF">
      <formula>NOT(ISERROR(SEARCH("OFF",M207)))</formula>
    </cfRule>
    <cfRule type="containsText" dxfId="5" priority="1453" operator="between" text="S">
      <formula>NOT(ISERROR(SEARCH("S",M207)))</formula>
    </cfRule>
    <cfRule type="containsText" dxfId="6" priority="1454" operator="between" text="I">
      <formula>NOT(ISERROR(SEARCH("I",M207)))</formula>
    </cfRule>
    <cfRule type="containsText" dxfId="7" priority="1455" operator="between" text="A">
      <formula>NOT(ISERROR(SEARCH("A",M207)))</formula>
    </cfRule>
    <cfRule type="containsText" dxfId="8" priority="1456" operator="between" text="L">
      <formula>NOT(ISERROR(SEARCH("L",M207)))</formula>
    </cfRule>
    <cfRule type="containsText" dxfId="6" priority="1457" operator="between" text="A">
      <formula>NOT(ISERROR(SEARCH("A",M207)))</formula>
    </cfRule>
    <cfRule type="containsText" dxfId="7" priority="1458" operator="between" text="S">
      <formula>NOT(ISERROR(SEARCH("S",M207)))</formula>
    </cfRule>
    <cfRule type="containsText" dxfId="5" priority="1459" operator="between" text="OFF">
      <formula>NOT(ISERROR(SEARCH("OFF",M207)))</formula>
    </cfRule>
    <cfRule type="containsText" dxfId="7" priority="1460" operator="between" text="OFF">
      <formula>NOT(ISERROR(SEARCH("OFF",M207)))</formula>
    </cfRule>
  </conditionalFormatting>
  <conditionalFormatting sqref="S207">
    <cfRule type="containsText" dxfId="3" priority="541" operator="between" text="OFF">
      <formula>NOT(ISERROR(SEARCH("OFF",S207)))</formula>
    </cfRule>
    <cfRule type="containsText" dxfId="4" priority="542" operator="between" text="OFF">
      <formula>NOT(ISERROR(SEARCH("OFF",S207)))</formula>
    </cfRule>
    <cfRule type="containsText" dxfId="5" priority="543" operator="between" text="S">
      <formula>NOT(ISERROR(SEARCH("S",S207)))</formula>
    </cfRule>
    <cfRule type="containsText" dxfId="6" priority="544" operator="between" text="I">
      <formula>NOT(ISERROR(SEARCH("I",S207)))</formula>
    </cfRule>
    <cfRule type="containsText" dxfId="7" priority="545" operator="between" text="A">
      <formula>NOT(ISERROR(SEARCH("A",S207)))</formula>
    </cfRule>
    <cfRule type="containsText" dxfId="8" priority="546" operator="between" text="L">
      <formula>NOT(ISERROR(SEARCH("L",S207)))</formula>
    </cfRule>
    <cfRule type="containsText" dxfId="6" priority="547" operator="between" text="A">
      <formula>NOT(ISERROR(SEARCH("A",S207)))</formula>
    </cfRule>
    <cfRule type="containsText" dxfId="7" priority="548" operator="between" text="S">
      <formula>NOT(ISERROR(SEARCH("S",S207)))</formula>
    </cfRule>
    <cfRule type="containsText" dxfId="5" priority="549" operator="between" text="OFF">
      <formula>NOT(ISERROR(SEARCH("OFF",S207)))</formula>
    </cfRule>
    <cfRule type="containsText" dxfId="7" priority="550" operator="between" text="OFF">
      <formula>NOT(ISERROR(SEARCH("OFF",S207)))</formula>
    </cfRule>
  </conditionalFormatting>
  <conditionalFormatting sqref="K208">
    <cfRule type="containsText" dxfId="3" priority="1271" operator="between" text="OFF">
      <formula>NOT(ISERROR(SEARCH("OFF",K208)))</formula>
    </cfRule>
    <cfRule type="containsText" dxfId="4" priority="1272" operator="between" text="OFF">
      <formula>NOT(ISERROR(SEARCH("OFF",K208)))</formula>
    </cfRule>
    <cfRule type="containsText" dxfId="5" priority="1273" operator="between" text="S">
      <formula>NOT(ISERROR(SEARCH("S",K208)))</formula>
    </cfRule>
    <cfRule type="containsText" dxfId="6" priority="1274" operator="between" text="I">
      <formula>NOT(ISERROR(SEARCH("I",K208)))</formula>
    </cfRule>
    <cfRule type="containsText" dxfId="7" priority="1275" operator="between" text="A">
      <formula>NOT(ISERROR(SEARCH("A",K208)))</formula>
    </cfRule>
    <cfRule type="containsText" dxfId="8" priority="1276" operator="between" text="L">
      <formula>NOT(ISERROR(SEARCH("L",K208)))</formula>
    </cfRule>
    <cfRule type="containsText" dxfId="6" priority="1277" operator="between" text="A">
      <formula>NOT(ISERROR(SEARCH("A",K208)))</formula>
    </cfRule>
    <cfRule type="containsText" dxfId="7" priority="1278" operator="between" text="S">
      <formula>NOT(ISERROR(SEARCH("S",K208)))</formula>
    </cfRule>
    <cfRule type="containsText" dxfId="5" priority="1279" operator="between" text="OFF">
      <formula>NOT(ISERROR(SEARCH("OFF",K208)))</formula>
    </cfRule>
    <cfRule type="containsText" dxfId="7" priority="1280" operator="between" text="OFF">
      <formula>NOT(ISERROR(SEARCH("OFF",K208)))</formula>
    </cfRule>
  </conditionalFormatting>
  <conditionalFormatting sqref="Q209">
    <cfRule type="containsText" dxfId="3" priority="451" operator="between" text="OFF">
      <formula>NOT(ISERROR(SEARCH("OFF",Q209)))</formula>
    </cfRule>
    <cfRule type="containsText" dxfId="4" priority="452" operator="between" text="OFF">
      <formula>NOT(ISERROR(SEARCH("OFF",Q209)))</formula>
    </cfRule>
    <cfRule type="containsText" dxfId="5" priority="453" operator="between" text="S">
      <formula>NOT(ISERROR(SEARCH("S",Q209)))</formula>
    </cfRule>
    <cfRule type="containsText" dxfId="6" priority="454" operator="between" text="I">
      <formula>NOT(ISERROR(SEARCH("I",Q209)))</formula>
    </cfRule>
    <cfRule type="containsText" dxfId="7" priority="455" operator="between" text="A">
      <formula>NOT(ISERROR(SEARCH("A",Q209)))</formula>
    </cfRule>
    <cfRule type="containsText" dxfId="8" priority="456" operator="between" text="L">
      <formula>NOT(ISERROR(SEARCH("L",Q209)))</formula>
    </cfRule>
    <cfRule type="containsText" dxfId="6" priority="457" operator="between" text="A">
      <formula>NOT(ISERROR(SEARCH("A",Q209)))</formula>
    </cfRule>
    <cfRule type="containsText" dxfId="7" priority="458" operator="between" text="S">
      <formula>NOT(ISERROR(SEARCH("S",Q209)))</formula>
    </cfRule>
    <cfRule type="containsText" dxfId="5" priority="459" operator="between" text="OFF">
      <formula>NOT(ISERROR(SEARCH("OFF",Q209)))</formula>
    </cfRule>
    <cfRule type="containsText" dxfId="7" priority="460" operator="between" text="OFF">
      <formula>NOT(ISERROR(SEARCH("OFF",Q209)))</formula>
    </cfRule>
  </conditionalFormatting>
  <conditionalFormatting sqref="AD209">
    <cfRule type="containsText" dxfId="3" priority="1" operator="between" text="OFF">
      <formula>NOT(ISERROR(SEARCH("OFF",AD209)))</formula>
    </cfRule>
    <cfRule type="containsText" dxfId="4" priority="2" operator="between" text="OFF">
      <formula>NOT(ISERROR(SEARCH("OFF",AD209)))</formula>
    </cfRule>
    <cfRule type="containsText" dxfId="5" priority="3" operator="between" text="S">
      <formula>NOT(ISERROR(SEARCH("S",AD209)))</formula>
    </cfRule>
    <cfRule type="containsText" dxfId="6" priority="4" operator="between" text="I">
      <formula>NOT(ISERROR(SEARCH("I",AD209)))</formula>
    </cfRule>
    <cfRule type="containsText" dxfId="7" priority="5" operator="between" text="A">
      <formula>NOT(ISERROR(SEARCH("A",AD209)))</formula>
    </cfRule>
    <cfRule type="containsText" dxfId="8" priority="6" operator="between" text="L">
      <formula>NOT(ISERROR(SEARCH("L",AD209)))</formula>
    </cfRule>
    <cfRule type="containsText" dxfId="6" priority="7" operator="between" text="A">
      <formula>NOT(ISERROR(SEARCH("A",AD209)))</formula>
    </cfRule>
    <cfRule type="containsText" dxfId="7" priority="8" operator="between" text="S">
      <formula>NOT(ISERROR(SEARCH("S",AD209)))</formula>
    </cfRule>
    <cfRule type="containsText" dxfId="5" priority="9" operator="between" text="OFF">
      <formula>NOT(ISERROR(SEARCH("OFF",AD209)))</formula>
    </cfRule>
    <cfRule type="containsText" dxfId="7" priority="10" operator="between" text="OFF">
      <formula>NOT(ISERROR(SEARCH("OFF",AD209)))</formula>
    </cfRule>
  </conditionalFormatting>
  <conditionalFormatting sqref="W210">
    <cfRule type="containsText" dxfId="3" priority="1171" operator="between" text="OFF">
      <formula>NOT(ISERROR(SEARCH("OFF",W210)))</formula>
    </cfRule>
    <cfRule type="containsText" dxfId="4" priority="1172" operator="between" text="OFF">
      <formula>NOT(ISERROR(SEARCH("OFF",W210)))</formula>
    </cfRule>
    <cfRule type="containsText" dxfId="5" priority="1173" operator="between" text="S">
      <formula>NOT(ISERROR(SEARCH("S",W210)))</formula>
    </cfRule>
    <cfRule type="containsText" dxfId="6" priority="1174" operator="between" text="I">
      <formula>NOT(ISERROR(SEARCH("I",W210)))</formula>
    </cfRule>
    <cfRule type="containsText" dxfId="7" priority="1175" operator="between" text="A">
      <formula>NOT(ISERROR(SEARCH("A",W210)))</formula>
    </cfRule>
    <cfRule type="containsText" dxfId="8" priority="1176" operator="between" text="L">
      <formula>NOT(ISERROR(SEARCH("L",W210)))</formula>
    </cfRule>
    <cfRule type="containsText" dxfId="6" priority="1177" operator="between" text="A">
      <formula>NOT(ISERROR(SEARCH("A",W210)))</formula>
    </cfRule>
    <cfRule type="containsText" dxfId="7" priority="1178" operator="between" text="S">
      <formula>NOT(ISERROR(SEARCH("S",W210)))</formula>
    </cfRule>
    <cfRule type="containsText" dxfId="5" priority="1179" operator="between" text="OFF">
      <formula>NOT(ISERROR(SEARCH("OFF",W210)))</formula>
    </cfRule>
    <cfRule type="containsText" dxfId="7" priority="1180" operator="between" text="OFF">
      <formula>NOT(ISERROR(SEARCH("OFF",W210)))</formula>
    </cfRule>
  </conditionalFormatting>
  <conditionalFormatting sqref="Y210">
    <cfRule type="containsText" dxfId="3" priority="1091" operator="between" text="OFF">
      <formula>NOT(ISERROR(SEARCH("OFF",Y210)))</formula>
    </cfRule>
    <cfRule type="containsText" dxfId="4" priority="1092" operator="between" text="OFF">
      <formula>NOT(ISERROR(SEARCH("OFF",Y210)))</formula>
    </cfRule>
    <cfRule type="containsText" dxfId="5" priority="1093" operator="between" text="S">
      <formula>NOT(ISERROR(SEARCH("S",Y210)))</formula>
    </cfRule>
    <cfRule type="containsText" dxfId="6" priority="1094" operator="between" text="I">
      <formula>NOT(ISERROR(SEARCH("I",Y210)))</formula>
    </cfRule>
    <cfRule type="containsText" dxfId="7" priority="1095" operator="between" text="A">
      <formula>NOT(ISERROR(SEARCH("A",Y210)))</formula>
    </cfRule>
    <cfRule type="containsText" dxfId="8" priority="1096" operator="between" text="L">
      <formula>NOT(ISERROR(SEARCH("L",Y210)))</formula>
    </cfRule>
    <cfRule type="containsText" dxfId="6" priority="1097" operator="between" text="A">
      <formula>NOT(ISERROR(SEARCH("A",Y210)))</formula>
    </cfRule>
    <cfRule type="containsText" dxfId="7" priority="1098" operator="between" text="S">
      <formula>NOT(ISERROR(SEARCH("S",Y210)))</formula>
    </cfRule>
    <cfRule type="containsText" dxfId="5" priority="1099" operator="between" text="OFF">
      <formula>NOT(ISERROR(SEARCH("OFF",Y210)))</formula>
    </cfRule>
    <cfRule type="containsText" dxfId="7" priority="1100" operator="between" text="OFF">
      <formula>NOT(ISERROR(SEARCH("OFF",Y210)))</formula>
    </cfRule>
  </conditionalFormatting>
  <conditionalFormatting sqref="AQ210">
    <cfRule type="containsText" dxfId="3" priority="1181" operator="between" text="OFF">
      <formula>NOT(ISERROR(SEARCH("OFF",AQ210)))</formula>
    </cfRule>
    <cfRule type="containsText" dxfId="4" priority="1182" operator="between" text="OFF">
      <formula>NOT(ISERROR(SEARCH("OFF",AQ210)))</formula>
    </cfRule>
    <cfRule type="containsText" dxfId="5" priority="1183" operator="between" text="S">
      <formula>NOT(ISERROR(SEARCH("S",AQ210)))</formula>
    </cfRule>
    <cfRule type="containsText" dxfId="6" priority="1184" operator="between" text="I">
      <formula>NOT(ISERROR(SEARCH("I",AQ210)))</formula>
    </cfRule>
    <cfRule type="containsText" dxfId="7" priority="1185" operator="between" text="A">
      <formula>NOT(ISERROR(SEARCH("A",AQ210)))</formula>
    </cfRule>
    <cfRule type="containsText" dxfId="8" priority="1186" operator="between" text="L">
      <formula>NOT(ISERROR(SEARCH("L",AQ210)))</formula>
    </cfRule>
    <cfRule type="containsText" dxfId="6" priority="1187" operator="between" text="A">
      <formula>NOT(ISERROR(SEARCH("A",AQ210)))</formula>
    </cfRule>
    <cfRule type="containsText" dxfId="7" priority="1188" operator="between" text="S">
      <formula>NOT(ISERROR(SEARCH("S",AQ210)))</formula>
    </cfRule>
    <cfRule type="containsText" dxfId="5" priority="1189" operator="between" text="OFF">
      <formula>NOT(ISERROR(SEARCH("OFF",AQ210)))</formula>
    </cfRule>
    <cfRule type="containsText" dxfId="7" priority="1190" operator="between" text="OFF">
      <formula>NOT(ISERROR(SEARCH("OFF",AQ210)))</formula>
    </cfRule>
  </conditionalFormatting>
  <conditionalFormatting sqref="J211">
    <cfRule type="containsText" dxfId="3" priority="761" operator="between" text="OFF">
      <formula>NOT(ISERROR(SEARCH("OFF",J211)))</formula>
    </cfRule>
    <cfRule type="containsText" dxfId="4" priority="762" operator="between" text="OFF">
      <formula>NOT(ISERROR(SEARCH("OFF",J211)))</formula>
    </cfRule>
    <cfRule type="containsText" dxfId="5" priority="763" operator="between" text="S">
      <formula>NOT(ISERROR(SEARCH("S",J211)))</formula>
    </cfRule>
    <cfRule type="containsText" dxfId="6" priority="764" operator="between" text="I">
      <formula>NOT(ISERROR(SEARCH("I",J211)))</formula>
    </cfRule>
    <cfRule type="containsText" dxfId="7" priority="765" operator="between" text="A">
      <formula>NOT(ISERROR(SEARCH("A",J211)))</formula>
    </cfRule>
    <cfRule type="containsText" dxfId="8" priority="766" operator="between" text="L">
      <formula>NOT(ISERROR(SEARCH("L",J211)))</formula>
    </cfRule>
    <cfRule type="containsText" dxfId="6" priority="767" operator="between" text="A">
      <formula>NOT(ISERROR(SEARCH("A",J211)))</formula>
    </cfRule>
    <cfRule type="containsText" dxfId="7" priority="768" operator="between" text="S">
      <formula>NOT(ISERROR(SEARCH("S",J211)))</formula>
    </cfRule>
    <cfRule type="containsText" dxfId="5" priority="769" operator="between" text="OFF">
      <formula>NOT(ISERROR(SEARCH("OFF",J211)))</formula>
    </cfRule>
    <cfRule type="containsText" dxfId="7" priority="770" operator="between" text="OFF">
      <formula>NOT(ISERROR(SEARCH("OFF",J211)))</formula>
    </cfRule>
  </conditionalFormatting>
  <conditionalFormatting sqref="AD211">
    <cfRule type="containsText" dxfId="3" priority="1011" operator="between" text="OFF">
      <formula>NOT(ISERROR(SEARCH("OFF",AD211)))</formula>
    </cfRule>
    <cfRule type="containsText" dxfId="4" priority="1012" operator="between" text="OFF">
      <formula>NOT(ISERROR(SEARCH("OFF",AD211)))</formula>
    </cfRule>
    <cfRule type="containsText" dxfId="5" priority="1013" operator="between" text="S">
      <formula>NOT(ISERROR(SEARCH("S",AD211)))</formula>
    </cfRule>
    <cfRule type="containsText" dxfId="6" priority="1014" operator="between" text="I">
      <formula>NOT(ISERROR(SEARCH("I",AD211)))</formula>
    </cfRule>
    <cfRule type="containsText" dxfId="7" priority="1015" operator="between" text="A">
      <formula>NOT(ISERROR(SEARCH("A",AD211)))</formula>
    </cfRule>
    <cfRule type="containsText" dxfId="8" priority="1016" operator="between" text="L">
      <formula>NOT(ISERROR(SEARCH("L",AD211)))</formula>
    </cfRule>
    <cfRule type="containsText" dxfId="6" priority="1017" operator="between" text="A">
      <formula>NOT(ISERROR(SEARCH("A",AD211)))</formula>
    </cfRule>
    <cfRule type="containsText" dxfId="7" priority="1018" operator="between" text="S">
      <formula>NOT(ISERROR(SEARCH("S",AD211)))</formula>
    </cfRule>
    <cfRule type="containsText" dxfId="5" priority="1019" operator="between" text="OFF">
      <formula>NOT(ISERROR(SEARCH("OFF",AD211)))</formula>
    </cfRule>
    <cfRule type="containsText" dxfId="7" priority="1020" operator="between" text="OFF">
      <formula>NOT(ISERROR(SEARCH("OFF",AD211)))</formula>
    </cfRule>
  </conditionalFormatting>
  <conditionalFormatting sqref="F212:G212">
    <cfRule type="containsText" dxfId="3" priority="691" operator="between" text="OFF">
      <formula>NOT(ISERROR(SEARCH("OFF",F212)))</formula>
    </cfRule>
    <cfRule type="containsText" dxfId="4" priority="692" operator="between" text="OFF">
      <formula>NOT(ISERROR(SEARCH("OFF",F212)))</formula>
    </cfRule>
    <cfRule type="containsText" dxfId="5" priority="693" operator="between" text="S">
      <formula>NOT(ISERROR(SEARCH("S",F212)))</formula>
    </cfRule>
    <cfRule type="containsText" dxfId="6" priority="694" operator="between" text="I">
      <formula>NOT(ISERROR(SEARCH("I",F212)))</formula>
    </cfRule>
    <cfRule type="containsText" dxfId="7" priority="695" operator="between" text="A">
      <formula>NOT(ISERROR(SEARCH("A",F212)))</formula>
    </cfRule>
    <cfRule type="containsText" dxfId="8" priority="696" operator="between" text="L">
      <formula>NOT(ISERROR(SEARCH("L",F212)))</formula>
    </cfRule>
    <cfRule type="containsText" dxfId="6" priority="697" operator="between" text="A">
      <formula>NOT(ISERROR(SEARCH("A",F212)))</formula>
    </cfRule>
    <cfRule type="containsText" dxfId="7" priority="698" operator="between" text="S">
      <formula>NOT(ISERROR(SEARCH("S",F212)))</formula>
    </cfRule>
    <cfRule type="containsText" dxfId="5" priority="699" operator="between" text="OFF">
      <formula>NOT(ISERROR(SEARCH("OFF",F212)))</formula>
    </cfRule>
    <cfRule type="containsText" dxfId="7" priority="700" operator="between" text="OFF">
      <formula>NOT(ISERROR(SEARCH("OFF",F212)))</formula>
    </cfRule>
  </conditionalFormatting>
  <conditionalFormatting sqref="L212:N212">
    <cfRule type="containsText" dxfId="3" priority="581" operator="between" text="OFF">
      <formula>NOT(ISERROR(SEARCH("OFF",L212)))</formula>
    </cfRule>
    <cfRule type="containsText" dxfId="4" priority="582" operator="between" text="OFF">
      <formula>NOT(ISERROR(SEARCH("OFF",L212)))</formula>
    </cfRule>
    <cfRule type="containsText" dxfId="5" priority="583" operator="between" text="S">
      <formula>NOT(ISERROR(SEARCH("S",L212)))</formula>
    </cfRule>
    <cfRule type="containsText" dxfId="6" priority="584" operator="between" text="I">
      <formula>NOT(ISERROR(SEARCH("I",L212)))</formula>
    </cfRule>
    <cfRule type="containsText" dxfId="7" priority="585" operator="between" text="A">
      <formula>NOT(ISERROR(SEARCH("A",L212)))</formula>
    </cfRule>
    <cfRule type="containsText" dxfId="8" priority="586" operator="between" text="L">
      <formula>NOT(ISERROR(SEARCH("L",L212)))</formula>
    </cfRule>
    <cfRule type="containsText" dxfId="6" priority="587" operator="between" text="A">
      <formula>NOT(ISERROR(SEARCH("A",L212)))</formula>
    </cfRule>
    <cfRule type="containsText" dxfId="7" priority="588" operator="between" text="S">
      <formula>NOT(ISERROR(SEARCH("S",L212)))</formula>
    </cfRule>
    <cfRule type="containsText" dxfId="5" priority="589" operator="between" text="OFF">
      <formula>NOT(ISERROR(SEARCH("OFF",L212)))</formula>
    </cfRule>
    <cfRule type="containsText" dxfId="7" priority="590" operator="between" text="OFF">
      <formula>NOT(ISERROR(SEARCH("OFF",L212)))</formula>
    </cfRule>
  </conditionalFormatting>
  <conditionalFormatting sqref="I213">
    <cfRule type="containsText" dxfId="3" priority="681" operator="between" text="OFF">
      <formula>NOT(ISERROR(SEARCH("OFF",I213)))</formula>
    </cfRule>
    <cfRule type="containsText" dxfId="4" priority="682" operator="between" text="OFF">
      <formula>NOT(ISERROR(SEARCH("OFF",I213)))</formula>
    </cfRule>
    <cfRule type="containsText" dxfId="5" priority="683" operator="between" text="S">
      <formula>NOT(ISERROR(SEARCH("S",I213)))</formula>
    </cfRule>
    <cfRule type="containsText" dxfId="6" priority="684" operator="between" text="I">
      <formula>NOT(ISERROR(SEARCH("I",I213)))</formula>
    </cfRule>
    <cfRule type="containsText" dxfId="7" priority="685" operator="between" text="A">
      <formula>NOT(ISERROR(SEARCH("A",I213)))</formula>
    </cfRule>
    <cfRule type="containsText" dxfId="8" priority="686" operator="between" text="L">
      <formula>NOT(ISERROR(SEARCH("L",I213)))</formula>
    </cfRule>
    <cfRule type="containsText" dxfId="6" priority="687" operator="between" text="A">
      <formula>NOT(ISERROR(SEARCH("A",I213)))</formula>
    </cfRule>
    <cfRule type="containsText" dxfId="7" priority="688" operator="between" text="S">
      <formula>NOT(ISERROR(SEARCH("S",I213)))</formula>
    </cfRule>
    <cfRule type="containsText" dxfId="5" priority="689" operator="between" text="OFF">
      <formula>NOT(ISERROR(SEARCH("OFF",I213)))</formula>
    </cfRule>
    <cfRule type="containsText" dxfId="7" priority="690" operator="between" text="OFF">
      <formula>NOT(ISERROR(SEARCH("OFF",I213)))</formula>
    </cfRule>
  </conditionalFormatting>
  <conditionalFormatting sqref="AI213">
    <cfRule type="containsText" dxfId="3" priority="81" operator="between" text="OFF">
      <formula>NOT(ISERROR(SEARCH("OFF",AI213)))</formula>
    </cfRule>
    <cfRule type="containsText" dxfId="4" priority="82" operator="between" text="OFF">
      <formula>NOT(ISERROR(SEARCH("OFF",AI213)))</formula>
    </cfRule>
    <cfRule type="containsText" dxfId="5" priority="83" operator="between" text="S">
      <formula>NOT(ISERROR(SEARCH("S",AI213)))</formula>
    </cfRule>
    <cfRule type="containsText" dxfId="6" priority="84" operator="between" text="I">
      <formula>NOT(ISERROR(SEARCH("I",AI213)))</formula>
    </cfRule>
    <cfRule type="containsText" dxfId="7" priority="85" operator="between" text="A">
      <formula>NOT(ISERROR(SEARCH("A",AI213)))</formula>
    </cfRule>
    <cfRule type="containsText" dxfId="8" priority="86" operator="between" text="L">
      <formula>NOT(ISERROR(SEARCH("L",AI213)))</formula>
    </cfRule>
    <cfRule type="containsText" dxfId="6" priority="87" operator="between" text="A">
      <formula>NOT(ISERROR(SEARCH("A",AI213)))</formula>
    </cfRule>
    <cfRule type="containsText" dxfId="7" priority="88" operator="between" text="S">
      <formula>NOT(ISERROR(SEARCH("S",AI213)))</formula>
    </cfRule>
    <cfRule type="containsText" dxfId="5" priority="89" operator="between" text="OFF">
      <formula>NOT(ISERROR(SEARCH("OFF",AI213)))</formula>
    </cfRule>
    <cfRule type="containsText" dxfId="7" priority="90" operator="between" text="OFF">
      <formula>NOT(ISERROR(SEARCH("OFF",AI213)))</formula>
    </cfRule>
  </conditionalFormatting>
  <conditionalFormatting sqref="K214:M214">
    <cfRule type="containsText" dxfId="3" priority="621" operator="between" text="OFF">
      <formula>NOT(ISERROR(SEARCH("OFF",K214)))</formula>
    </cfRule>
    <cfRule type="containsText" dxfId="4" priority="622" operator="between" text="OFF">
      <formula>NOT(ISERROR(SEARCH("OFF",K214)))</formula>
    </cfRule>
    <cfRule type="containsText" dxfId="5" priority="623" operator="between" text="S">
      <formula>NOT(ISERROR(SEARCH("S",K214)))</formula>
    </cfRule>
    <cfRule type="containsText" dxfId="6" priority="624" operator="between" text="I">
      <formula>NOT(ISERROR(SEARCH("I",K214)))</formula>
    </cfRule>
    <cfRule type="containsText" dxfId="7" priority="625" operator="between" text="A">
      <formula>NOT(ISERROR(SEARCH("A",K214)))</formula>
    </cfRule>
    <cfRule type="containsText" dxfId="8" priority="626" operator="between" text="L">
      <formula>NOT(ISERROR(SEARCH("L",K214)))</formula>
    </cfRule>
    <cfRule type="containsText" dxfId="6" priority="627" operator="between" text="A">
      <formula>NOT(ISERROR(SEARCH("A",K214)))</formula>
    </cfRule>
    <cfRule type="containsText" dxfId="7" priority="628" operator="between" text="S">
      <formula>NOT(ISERROR(SEARCH("S",K214)))</formula>
    </cfRule>
    <cfRule type="containsText" dxfId="5" priority="629" operator="between" text="OFF">
      <formula>NOT(ISERROR(SEARCH("OFF",K214)))</formula>
    </cfRule>
    <cfRule type="containsText" dxfId="7" priority="630" operator="between" text="OFF">
      <formula>NOT(ISERROR(SEARCH("OFF",K214)))</formula>
    </cfRule>
  </conditionalFormatting>
  <conditionalFormatting sqref="U214">
    <cfRule type="containsText" dxfId="3" priority="411" operator="between" text="OFF">
      <formula>NOT(ISERROR(SEARCH("OFF",U214)))</formula>
    </cfRule>
    <cfRule type="containsText" dxfId="4" priority="412" operator="between" text="OFF">
      <formula>NOT(ISERROR(SEARCH("OFF",U214)))</formula>
    </cfRule>
    <cfRule type="containsText" dxfId="5" priority="413" operator="between" text="S">
      <formula>NOT(ISERROR(SEARCH("S",U214)))</formula>
    </cfRule>
    <cfRule type="containsText" dxfId="6" priority="414" operator="between" text="I">
      <formula>NOT(ISERROR(SEARCH("I",U214)))</formula>
    </cfRule>
    <cfRule type="containsText" dxfId="7" priority="415" operator="between" text="A">
      <formula>NOT(ISERROR(SEARCH("A",U214)))</formula>
    </cfRule>
    <cfRule type="containsText" dxfId="8" priority="416" operator="between" text="L">
      <formula>NOT(ISERROR(SEARCH("L",U214)))</formula>
    </cfRule>
    <cfRule type="containsText" dxfId="6" priority="417" operator="between" text="A">
      <formula>NOT(ISERROR(SEARCH("A",U214)))</formula>
    </cfRule>
    <cfRule type="containsText" dxfId="7" priority="418" operator="between" text="S">
      <formula>NOT(ISERROR(SEARCH("S",U214)))</formula>
    </cfRule>
    <cfRule type="containsText" dxfId="5" priority="419" operator="between" text="OFF">
      <formula>NOT(ISERROR(SEARCH("OFF",U214)))</formula>
    </cfRule>
    <cfRule type="containsText" dxfId="7" priority="420" operator="between" text="OFF">
      <formula>NOT(ISERROR(SEARCH("OFF",U214)))</formula>
    </cfRule>
  </conditionalFormatting>
  <conditionalFormatting sqref="X214:AA214">
    <cfRule type="containsText" dxfId="3" priority="21" operator="between" text="OFF">
      <formula>NOT(ISERROR(SEARCH("OFF",X214)))</formula>
    </cfRule>
    <cfRule type="containsText" dxfId="4" priority="22" operator="between" text="OFF">
      <formula>NOT(ISERROR(SEARCH("OFF",X214)))</formula>
    </cfRule>
    <cfRule type="containsText" dxfId="5" priority="23" operator="between" text="S">
      <formula>NOT(ISERROR(SEARCH("S",X214)))</formula>
    </cfRule>
    <cfRule type="containsText" dxfId="6" priority="24" operator="between" text="I">
      <formula>NOT(ISERROR(SEARCH("I",X214)))</formula>
    </cfRule>
    <cfRule type="containsText" dxfId="7" priority="25" operator="between" text="A">
      <formula>NOT(ISERROR(SEARCH("A",X214)))</formula>
    </cfRule>
    <cfRule type="containsText" dxfId="8" priority="26" operator="between" text="L">
      <formula>NOT(ISERROR(SEARCH("L",X214)))</formula>
    </cfRule>
    <cfRule type="containsText" dxfId="6" priority="27" operator="between" text="A">
      <formula>NOT(ISERROR(SEARCH("A",X214)))</formula>
    </cfRule>
    <cfRule type="containsText" dxfId="7" priority="28" operator="between" text="S">
      <formula>NOT(ISERROR(SEARCH("S",X214)))</formula>
    </cfRule>
    <cfRule type="containsText" dxfId="5" priority="29" operator="between" text="OFF">
      <formula>NOT(ISERROR(SEARCH("OFF",X214)))</formula>
    </cfRule>
    <cfRule type="containsText" dxfId="7" priority="30" operator="between" text="OFF">
      <formula>NOT(ISERROR(SEARCH("OFF",X214)))</formula>
    </cfRule>
  </conditionalFormatting>
  <conditionalFormatting sqref="N215">
    <cfRule type="containsText" dxfId="3" priority="611" operator="between" text="OFF">
      <formula>NOT(ISERROR(SEARCH("OFF",N215)))</formula>
    </cfRule>
    <cfRule type="containsText" dxfId="4" priority="612" operator="between" text="OFF">
      <formula>NOT(ISERROR(SEARCH("OFF",N215)))</formula>
    </cfRule>
    <cfRule type="containsText" dxfId="5" priority="613" operator="between" text="S">
      <formula>NOT(ISERROR(SEARCH("S",N215)))</formula>
    </cfRule>
    <cfRule type="containsText" dxfId="6" priority="614" operator="between" text="I">
      <formula>NOT(ISERROR(SEARCH("I",N215)))</formula>
    </cfRule>
    <cfRule type="containsText" dxfId="7" priority="615" operator="between" text="A">
      <formula>NOT(ISERROR(SEARCH("A",N215)))</formula>
    </cfRule>
    <cfRule type="containsText" dxfId="8" priority="616" operator="between" text="L">
      <formula>NOT(ISERROR(SEARCH("L",N215)))</formula>
    </cfRule>
    <cfRule type="containsText" dxfId="6" priority="617" operator="between" text="A">
      <formula>NOT(ISERROR(SEARCH("A",N215)))</formula>
    </cfRule>
    <cfRule type="containsText" dxfId="7" priority="618" operator="between" text="S">
      <formula>NOT(ISERROR(SEARCH("S",N215)))</formula>
    </cfRule>
    <cfRule type="containsText" dxfId="5" priority="619" operator="between" text="OFF">
      <formula>NOT(ISERROR(SEARCH("OFF",N215)))</formula>
    </cfRule>
    <cfRule type="containsText" dxfId="7" priority="620" operator="between" text="OFF">
      <formula>NOT(ISERROR(SEARCH("OFF",N215)))</formula>
    </cfRule>
  </conditionalFormatting>
  <conditionalFormatting sqref="S216:T216">
    <cfRule type="containsText" dxfId="3" priority="521" operator="between" text="OFF">
      <formula>NOT(ISERROR(SEARCH("OFF",S216)))</formula>
    </cfRule>
    <cfRule type="containsText" dxfId="4" priority="522" operator="between" text="OFF">
      <formula>NOT(ISERROR(SEARCH("OFF",S216)))</formula>
    </cfRule>
    <cfRule type="containsText" dxfId="5" priority="523" operator="between" text="S">
      <formula>NOT(ISERROR(SEARCH("S",S216)))</formula>
    </cfRule>
    <cfRule type="containsText" dxfId="6" priority="524" operator="between" text="I">
      <formula>NOT(ISERROR(SEARCH("I",S216)))</formula>
    </cfRule>
    <cfRule type="containsText" dxfId="7" priority="525" operator="between" text="A">
      <formula>NOT(ISERROR(SEARCH("A",S216)))</formula>
    </cfRule>
    <cfRule type="containsText" dxfId="8" priority="526" operator="between" text="L">
      <formula>NOT(ISERROR(SEARCH("L",S216)))</formula>
    </cfRule>
    <cfRule type="containsText" dxfId="6" priority="527" operator="between" text="A">
      <formula>NOT(ISERROR(SEARCH("A",S216)))</formula>
    </cfRule>
    <cfRule type="containsText" dxfId="7" priority="528" operator="between" text="S">
      <formula>NOT(ISERROR(SEARCH("S",S216)))</formula>
    </cfRule>
    <cfRule type="containsText" dxfId="5" priority="529" operator="between" text="OFF">
      <formula>NOT(ISERROR(SEARCH("OFF",S216)))</formula>
    </cfRule>
    <cfRule type="containsText" dxfId="7" priority="530" operator="between" text="OFF">
      <formula>NOT(ISERROR(SEARCH("OFF",S216)))</formula>
    </cfRule>
  </conditionalFormatting>
  <conditionalFormatting sqref="AG216">
    <cfRule type="containsText" dxfId="3" priority="51" operator="between" text="OFF">
      <formula>NOT(ISERROR(SEARCH("OFF",AG216)))</formula>
    </cfRule>
    <cfRule type="containsText" dxfId="4" priority="52" operator="between" text="OFF">
      <formula>NOT(ISERROR(SEARCH("OFF",AG216)))</formula>
    </cfRule>
    <cfRule type="containsText" dxfId="5" priority="53" operator="between" text="S">
      <formula>NOT(ISERROR(SEARCH("S",AG216)))</formula>
    </cfRule>
    <cfRule type="containsText" dxfId="6" priority="54" operator="between" text="I">
      <formula>NOT(ISERROR(SEARCH("I",AG216)))</formula>
    </cfRule>
    <cfRule type="containsText" dxfId="7" priority="55" operator="between" text="A">
      <formula>NOT(ISERROR(SEARCH("A",AG216)))</formula>
    </cfRule>
    <cfRule type="containsText" dxfId="8" priority="56" operator="between" text="L">
      <formula>NOT(ISERROR(SEARCH("L",AG216)))</formula>
    </cfRule>
    <cfRule type="containsText" dxfId="6" priority="57" operator="between" text="A">
      <formula>NOT(ISERROR(SEARCH("A",AG216)))</formula>
    </cfRule>
    <cfRule type="containsText" dxfId="7" priority="58" operator="between" text="S">
      <formula>NOT(ISERROR(SEARCH("S",AG216)))</formula>
    </cfRule>
    <cfRule type="containsText" dxfId="5" priority="59" operator="between" text="OFF">
      <formula>NOT(ISERROR(SEARCH("OFF",AG216)))</formula>
    </cfRule>
    <cfRule type="containsText" dxfId="7" priority="60" operator="between" text="OFF">
      <formula>NOT(ISERROR(SEARCH("OFF",AG216)))</formula>
    </cfRule>
  </conditionalFormatting>
  <conditionalFormatting sqref="R217">
    <cfRule type="containsText" dxfId="3" priority="461" operator="between" text="OFF">
      <formula>NOT(ISERROR(SEARCH("OFF",R217)))</formula>
    </cfRule>
    <cfRule type="containsText" dxfId="4" priority="462" operator="between" text="OFF">
      <formula>NOT(ISERROR(SEARCH("OFF",R217)))</formula>
    </cfRule>
    <cfRule type="containsText" dxfId="5" priority="463" operator="between" text="S">
      <formula>NOT(ISERROR(SEARCH("S",R217)))</formula>
    </cfRule>
    <cfRule type="containsText" dxfId="6" priority="464" operator="between" text="I">
      <formula>NOT(ISERROR(SEARCH("I",R217)))</formula>
    </cfRule>
    <cfRule type="containsText" dxfId="7" priority="465" operator="between" text="A">
      <formula>NOT(ISERROR(SEARCH("A",R217)))</formula>
    </cfRule>
    <cfRule type="containsText" dxfId="8" priority="466" operator="between" text="L">
      <formula>NOT(ISERROR(SEARCH("L",R217)))</formula>
    </cfRule>
    <cfRule type="containsText" dxfId="6" priority="467" operator="between" text="A">
      <formula>NOT(ISERROR(SEARCH("A",R217)))</formula>
    </cfRule>
    <cfRule type="containsText" dxfId="7" priority="468" operator="between" text="S">
      <formula>NOT(ISERROR(SEARCH("S",R217)))</formula>
    </cfRule>
    <cfRule type="containsText" dxfId="5" priority="469" operator="between" text="OFF">
      <formula>NOT(ISERROR(SEARCH("OFF",R217)))</formula>
    </cfRule>
    <cfRule type="containsText" dxfId="7" priority="470" operator="between" text="OFF">
      <formula>NOT(ISERROR(SEARCH("OFF",R217)))</formula>
    </cfRule>
  </conditionalFormatting>
  <conditionalFormatting sqref="A168:A179">
    <cfRule type="containsText" dxfId="3" priority="1861" operator="between" text="OFF">
      <formula>NOT(ISERROR(SEARCH("OFF",A168)))</formula>
    </cfRule>
    <cfRule type="containsText" dxfId="4" priority="1862" operator="between" text="OFF">
      <formula>NOT(ISERROR(SEARCH("OFF",A168)))</formula>
    </cfRule>
    <cfRule type="containsText" dxfId="5" priority="1863" operator="between" text="S">
      <formula>NOT(ISERROR(SEARCH("S",A168)))</formula>
    </cfRule>
    <cfRule type="containsText" dxfId="6" priority="1864" operator="between" text="I">
      <formula>NOT(ISERROR(SEARCH("I",A168)))</formula>
    </cfRule>
    <cfRule type="containsText" dxfId="7" priority="1865" operator="between" text="A">
      <formula>NOT(ISERROR(SEARCH("A",A168)))</formula>
    </cfRule>
    <cfRule type="containsText" dxfId="8" priority="1866" operator="between" text="L">
      <formula>NOT(ISERROR(SEARCH("L",A168)))</formula>
    </cfRule>
    <cfRule type="containsText" dxfId="6" priority="1867" operator="between" text="A">
      <formula>NOT(ISERROR(SEARCH("A",A168)))</formula>
    </cfRule>
    <cfRule type="containsText" dxfId="7" priority="1868" operator="between" text="S">
      <formula>NOT(ISERROR(SEARCH("S",A168)))</formula>
    </cfRule>
    <cfRule type="containsText" dxfId="5" priority="1869" operator="between" text="OFF">
      <formula>NOT(ISERROR(SEARCH("OFF",A168)))</formula>
    </cfRule>
    <cfRule type="containsText" dxfId="7" priority="1870" operator="between" text="OFF">
      <formula>NOT(ISERROR(SEARCH("OFF",A168)))</formula>
    </cfRule>
  </conditionalFormatting>
  <conditionalFormatting sqref="E12:E163">
    <cfRule type="containsText" dxfId="3" priority="911" operator="between" text="OFF">
      <formula>NOT(ISERROR(SEARCH("OFF",E12)))</formula>
    </cfRule>
    <cfRule type="containsText" dxfId="4" priority="912" operator="between" text="OFF">
      <formula>NOT(ISERROR(SEARCH("OFF",E12)))</formula>
    </cfRule>
    <cfRule type="containsText" dxfId="5" priority="913" operator="between" text="S">
      <formula>NOT(ISERROR(SEARCH("S",E12)))</formula>
    </cfRule>
    <cfRule type="containsText" dxfId="6" priority="914" operator="between" text="I">
      <formula>NOT(ISERROR(SEARCH("I",E12)))</formula>
    </cfRule>
    <cfRule type="containsText" dxfId="7" priority="915" operator="between" text="A">
      <formula>NOT(ISERROR(SEARCH("A",E12)))</formula>
    </cfRule>
    <cfRule type="containsText" dxfId="8" priority="916" operator="between" text="L">
      <formula>NOT(ISERROR(SEARCH("L",E12)))</formula>
    </cfRule>
    <cfRule type="containsText" dxfId="6" priority="917" operator="between" text="A">
      <formula>NOT(ISERROR(SEARCH("A",E12)))</formula>
    </cfRule>
    <cfRule type="containsText" dxfId="7" priority="918" operator="between" text="S">
      <formula>NOT(ISERROR(SEARCH("S",E12)))</formula>
    </cfRule>
    <cfRule type="containsText" dxfId="5" priority="919" operator="between" text="OFF">
      <formula>NOT(ISERROR(SEARCH("OFF",E12)))</formula>
    </cfRule>
    <cfRule type="containsText" dxfId="7" priority="920" operator="between" text="OFF">
      <formula>NOT(ISERROR(SEARCH("OFF",E12)))</formula>
    </cfRule>
  </conditionalFormatting>
  <conditionalFormatting sqref="E195:E200">
    <cfRule type="containsText" dxfId="3" priority="871" operator="between" text="OFF">
      <formula>NOT(ISERROR(SEARCH("OFF",E195)))</formula>
    </cfRule>
    <cfRule type="containsText" dxfId="4" priority="872" operator="between" text="OFF">
      <formula>NOT(ISERROR(SEARCH("OFF",E195)))</formula>
    </cfRule>
    <cfRule type="containsText" dxfId="5" priority="873" operator="between" text="S">
      <formula>NOT(ISERROR(SEARCH("S",E195)))</formula>
    </cfRule>
    <cfRule type="containsText" dxfId="6" priority="874" operator="between" text="I">
      <formula>NOT(ISERROR(SEARCH("I",E195)))</formula>
    </cfRule>
    <cfRule type="containsText" dxfId="7" priority="875" operator="between" text="A">
      <formula>NOT(ISERROR(SEARCH("A",E195)))</formula>
    </cfRule>
    <cfRule type="containsText" dxfId="8" priority="876" operator="between" text="L">
      <formula>NOT(ISERROR(SEARCH("L",E195)))</formula>
    </cfRule>
    <cfRule type="containsText" dxfId="6" priority="877" operator="between" text="A">
      <formula>NOT(ISERROR(SEARCH("A",E195)))</formula>
    </cfRule>
    <cfRule type="containsText" dxfId="7" priority="878" operator="between" text="S">
      <formula>NOT(ISERROR(SEARCH("S",E195)))</formula>
    </cfRule>
    <cfRule type="containsText" dxfId="5" priority="879" operator="between" text="OFF">
      <formula>NOT(ISERROR(SEARCH("OFF",E195)))</formula>
    </cfRule>
    <cfRule type="containsText" dxfId="7" priority="880" operator="between" text="OFF">
      <formula>NOT(ISERROR(SEARCH("OFF",E195)))</formula>
    </cfRule>
  </conditionalFormatting>
  <conditionalFormatting sqref="I188:I189">
    <cfRule type="containsText" dxfId="3" priority="1551" operator="between" text="OFF">
      <formula>NOT(ISERROR(SEARCH("OFF",I188)))</formula>
    </cfRule>
    <cfRule type="containsText" dxfId="4" priority="1552" operator="between" text="OFF">
      <formula>NOT(ISERROR(SEARCH("OFF",I188)))</formula>
    </cfRule>
    <cfRule type="containsText" dxfId="5" priority="1553" operator="between" text="S">
      <formula>NOT(ISERROR(SEARCH("S",I188)))</formula>
    </cfRule>
    <cfRule type="containsText" dxfId="6" priority="1554" operator="between" text="I">
      <formula>NOT(ISERROR(SEARCH("I",I188)))</formula>
    </cfRule>
    <cfRule type="containsText" dxfId="7" priority="1555" operator="between" text="A">
      <formula>NOT(ISERROR(SEARCH("A",I188)))</formula>
    </cfRule>
    <cfRule type="containsText" dxfId="8" priority="1556" operator="between" text="L">
      <formula>NOT(ISERROR(SEARCH("L",I188)))</formula>
    </cfRule>
    <cfRule type="containsText" dxfId="6" priority="1557" operator="between" text="A">
      <formula>NOT(ISERROR(SEARCH("A",I188)))</formula>
    </cfRule>
    <cfRule type="containsText" dxfId="7" priority="1558" operator="between" text="S">
      <formula>NOT(ISERROR(SEARCH("S",I188)))</formula>
    </cfRule>
    <cfRule type="containsText" dxfId="5" priority="1559" operator="between" text="OFF">
      <formula>NOT(ISERROR(SEARCH("OFF",I188)))</formula>
    </cfRule>
    <cfRule type="containsText" dxfId="7" priority="1560" operator="between" text="OFF">
      <formula>NOT(ISERROR(SEARCH("OFF",I188)))</formula>
    </cfRule>
  </conditionalFormatting>
  <conditionalFormatting sqref="I201:I203">
    <cfRule type="containsText" dxfId="3" priority="1031" operator="between" text="OFF">
      <formula>NOT(ISERROR(SEARCH("OFF",I201)))</formula>
    </cfRule>
    <cfRule type="containsText" dxfId="4" priority="1032" operator="between" text="OFF">
      <formula>NOT(ISERROR(SEARCH("OFF",I201)))</formula>
    </cfRule>
    <cfRule type="containsText" dxfId="5" priority="1033" operator="between" text="S">
      <formula>NOT(ISERROR(SEARCH("S",I201)))</formula>
    </cfRule>
    <cfRule type="containsText" dxfId="6" priority="1034" operator="between" text="I">
      <formula>NOT(ISERROR(SEARCH("I",I201)))</formula>
    </cfRule>
    <cfRule type="containsText" dxfId="7" priority="1035" operator="between" text="A">
      <formula>NOT(ISERROR(SEARCH("A",I201)))</formula>
    </cfRule>
    <cfRule type="containsText" dxfId="8" priority="1036" operator="between" text="L">
      <formula>NOT(ISERROR(SEARCH("L",I201)))</formula>
    </cfRule>
    <cfRule type="containsText" dxfId="6" priority="1037" operator="between" text="A">
      <formula>NOT(ISERROR(SEARCH("A",I201)))</formula>
    </cfRule>
    <cfRule type="containsText" dxfId="7" priority="1038" operator="between" text="S">
      <formula>NOT(ISERROR(SEARCH("S",I201)))</formula>
    </cfRule>
    <cfRule type="containsText" dxfId="5" priority="1039" operator="between" text="OFF">
      <formula>NOT(ISERROR(SEARCH("OFF",I201)))</formula>
    </cfRule>
    <cfRule type="containsText" dxfId="7" priority="1040" operator="between" text="OFF">
      <formula>NOT(ISERROR(SEARCH("OFF",I201)))</formula>
    </cfRule>
  </conditionalFormatting>
  <conditionalFormatting sqref="K205:K206">
    <cfRule type="containsText" dxfId="3" priority="1491" operator="between" text="OFF">
      <formula>NOT(ISERROR(SEARCH("OFF",K205)))</formula>
    </cfRule>
    <cfRule type="containsText" dxfId="4" priority="1492" operator="between" text="OFF">
      <formula>NOT(ISERROR(SEARCH("OFF",K205)))</formula>
    </cfRule>
    <cfRule type="containsText" dxfId="5" priority="1493" operator="between" text="S">
      <formula>NOT(ISERROR(SEARCH("S",K205)))</formula>
    </cfRule>
    <cfRule type="containsText" dxfId="6" priority="1494" operator="between" text="I">
      <formula>NOT(ISERROR(SEARCH("I",K205)))</formula>
    </cfRule>
    <cfRule type="containsText" dxfId="7" priority="1495" operator="between" text="A">
      <formula>NOT(ISERROR(SEARCH("A",K205)))</formula>
    </cfRule>
    <cfRule type="containsText" dxfId="8" priority="1496" operator="between" text="L">
      <formula>NOT(ISERROR(SEARCH("L",K205)))</formula>
    </cfRule>
    <cfRule type="containsText" dxfId="6" priority="1497" operator="between" text="A">
      <formula>NOT(ISERROR(SEARCH("A",K205)))</formula>
    </cfRule>
    <cfRule type="containsText" dxfId="7" priority="1498" operator="between" text="S">
      <formula>NOT(ISERROR(SEARCH("S",K205)))</formula>
    </cfRule>
    <cfRule type="containsText" dxfId="5" priority="1499" operator="between" text="OFF">
      <formula>NOT(ISERROR(SEARCH("OFF",K205)))</formula>
    </cfRule>
    <cfRule type="containsText" dxfId="7" priority="1500" operator="between" text="OFF">
      <formula>NOT(ISERROR(SEARCH("OFF",K205)))</formula>
    </cfRule>
  </conditionalFormatting>
  <conditionalFormatting sqref="U209:U210">
    <cfRule type="containsText" dxfId="3" priority="1231" operator="between" text="OFF">
      <formula>NOT(ISERROR(SEARCH("OFF",U209)))</formula>
    </cfRule>
    <cfRule type="containsText" dxfId="4" priority="1232" operator="between" text="OFF">
      <formula>NOT(ISERROR(SEARCH("OFF",U209)))</formula>
    </cfRule>
    <cfRule type="containsText" dxfId="5" priority="1233" operator="between" text="S">
      <formula>NOT(ISERROR(SEARCH("S",U209)))</formula>
    </cfRule>
    <cfRule type="containsText" dxfId="6" priority="1234" operator="between" text="I">
      <formula>NOT(ISERROR(SEARCH("I",U209)))</formula>
    </cfRule>
    <cfRule type="containsText" dxfId="7" priority="1235" operator="between" text="A">
      <formula>NOT(ISERROR(SEARCH("A",U209)))</formula>
    </cfRule>
    <cfRule type="containsText" dxfId="8" priority="1236" operator="between" text="L">
      <formula>NOT(ISERROR(SEARCH("L",U209)))</formula>
    </cfRule>
    <cfRule type="containsText" dxfId="6" priority="1237" operator="between" text="A">
      <formula>NOT(ISERROR(SEARCH("A",U209)))</formula>
    </cfRule>
    <cfRule type="containsText" dxfId="7" priority="1238" operator="between" text="S">
      <formula>NOT(ISERROR(SEARCH("S",U209)))</formula>
    </cfRule>
    <cfRule type="containsText" dxfId="5" priority="1239" operator="between" text="OFF">
      <formula>NOT(ISERROR(SEARCH("OFF",U209)))</formula>
    </cfRule>
    <cfRule type="containsText" dxfId="7" priority="1240" operator="between" text="OFF">
      <formula>NOT(ISERROR(SEARCH("OFF",U209)))</formula>
    </cfRule>
  </conditionalFormatting>
  <conditionalFormatting sqref="V192:V193">
    <cfRule type="containsText" dxfId="3" priority="1201" operator="between" text="OFF">
      <formula>NOT(ISERROR(SEARCH("OFF",V192)))</formula>
    </cfRule>
    <cfRule type="containsText" dxfId="4" priority="1202" operator="between" text="OFF">
      <formula>NOT(ISERROR(SEARCH("OFF",V192)))</formula>
    </cfRule>
    <cfRule type="containsText" dxfId="5" priority="1203" operator="between" text="S">
      <formula>NOT(ISERROR(SEARCH("S",V192)))</formula>
    </cfRule>
    <cfRule type="containsText" dxfId="6" priority="1204" operator="between" text="I">
      <formula>NOT(ISERROR(SEARCH("I",V192)))</formula>
    </cfRule>
    <cfRule type="containsText" dxfId="7" priority="1205" operator="between" text="A">
      <formula>NOT(ISERROR(SEARCH("A",V192)))</formula>
    </cfRule>
    <cfRule type="containsText" dxfId="8" priority="1206" operator="between" text="L">
      <formula>NOT(ISERROR(SEARCH("L",V192)))</formula>
    </cfRule>
    <cfRule type="containsText" dxfId="6" priority="1207" operator="between" text="A">
      <formula>NOT(ISERROR(SEARCH("A",V192)))</formula>
    </cfRule>
    <cfRule type="containsText" dxfId="7" priority="1208" operator="between" text="S">
      <formula>NOT(ISERROR(SEARCH("S",V192)))</formula>
    </cfRule>
    <cfRule type="containsText" dxfId="5" priority="1209" operator="between" text="OFF">
      <formula>NOT(ISERROR(SEARCH("OFF",V192)))</formula>
    </cfRule>
    <cfRule type="containsText" dxfId="7" priority="1210" operator="between" text="OFF">
      <formula>NOT(ISERROR(SEARCH("OFF",V192)))</formula>
    </cfRule>
  </conditionalFormatting>
  <conditionalFormatting sqref="V213:V215">
    <cfRule type="containsText" dxfId="3" priority="371" operator="between" text="OFF">
      <formula>NOT(ISERROR(SEARCH("OFF",V213)))</formula>
    </cfRule>
    <cfRule type="containsText" dxfId="4" priority="372" operator="between" text="OFF">
      <formula>NOT(ISERROR(SEARCH("OFF",V213)))</formula>
    </cfRule>
    <cfRule type="containsText" dxfId="5" priority="373" operator="between" text="S">
      <formula>NOT(ISERROR(SEARCH("S",V213)))</formula>
    </cfRule>
    <cfRule type="containsText" dxfId="6" priority="374" operator="between" text="I">
      <formula>NOT(ISERROR(SEARCH("I",V213)))</formula>
    </cfRule>
    <cfRule type="containsText" dxfId="7" priority="375" operator="between" text="A">
      <formula>NOT(ISERROR(SEARCH("A",V213)))</formula>
    </cfRule>
    <cfRule type="containsText" dxfId="8" priority="376" operator="between" text="L">
      <formula>NOT(ISERROR(SEARCH("L",V213)))</formula>
    </cfRule>
    <cfRule type="containsText" dxfId="6" priority="377" operator="between" text="A">
      <formula>NOT(ISERROR(SEARCH("A",V213)))</formula>
    </cfRule>
    <cfRule type="containsText" dxfId="7" priority="378" operator="between" text="S">
      <formula>NOT(ISERROR(SEARCH("S",V213)))</formula>
    </cfRule>
    <cfRule type="containsText" dxfId="5" priority="379" operator="between" text="OFF">
      <formula>NOT(ISERROR(SEARCH("OFF",V213)))</formula>
    </cfRule>
    <cfRule type="containsText" dxfId="7" priority="380" operator="between" text="OFF">
      <formula>NOT(ISERROR(SEARCH("OFF",V213)))</formula>
    </cfRule>
  </conditionalFormatting>
  <conditionalFormatting sqref="W203:W204">
    <cfRule type="containsText" dxfId="3" priority="351" operator="between" text="OFF">
      <formula>NOT(ISERROR(SEARCH("OFF",W203)))</formula>
    </cfRule>
    <cfRule type="containsText" dxfId="4" priority="352" operator="between" text="OFF">
      <formula>NOT(ISERROR(SEARCH("OFF",W203)))</formula>
    </cfRule>
    <cfRule type="containsText" dxfId="5" priority="353" operator="between" text="S">
      <formula>NOT(ISERROR(SEARCH("S",W203)))</formula>
    </cfRule>
    <cfRule type="containsText" dxfId="6" priority="354" operator="between" text="I">
      <formula>NOT(ISERROR(SEARCH("I",W203)))</formula>
    </cfRule>
    <cfRule type="containsText" dxfId="7" priority="355" operator="between" text="A">
      <formula>NOT(ISERROR(SEARCH("A",W203)))</formula>
    </cfRule>
    <cfRule type="containsText" dxfId="8" priority="356" operator="between" text="L">
      <formula>NOT(ISERROR(SEARCH("L",W203)))</formula>
    </cfRule>
    <cfRule type="containsText" dxfId="6" priority="357" operator="between" text="A">
      <formula>NOT(ISERROR(SEARCH("A",W203)))</formula>
    </cfRule>
    <cfRule type="containsText" dxfId="7" priority="358" operator="between" text="S">
      <formula>NOT(ISERROR(SEARCH("S",W203)))</formula>
    </cfRule>
    <cfRule type="containsText" dxfId="5" priority="359" operator="between" text="OFF">
      <formula>NOT(ISERROR(SEARCH("OFF",W203)))</formula>
    </cfRule>
    <cfRule type="containsText" dxfId="7" priority="360" operator="between" text="OFF">
      <formula>NOT(ISERROR(SEARCH("OFF",W203)))</formula>
    </cfRule>
  </conditionalFormatting>
  <conditionalFormatting sqref="Y180:Y181">
    <cfRule type="containsText" dxfId="3" priority="11" operator="between" text="OFF">
      <formula>NOT(ISERROR(SEARCH("OFF",Y180)))</formula>
    </cfRule>
    <cfRule type="containsText" dxfId="4" priority="12" operator="between" text="OFF">
      <formula>NOT(ISERROR(SEARCH("OFF",Y180)))</formula>
    </cfRule>
    <cfRule type="containsText" dxfId="5" priority="13" operator="between" text="S">
      <formula>NOT(ISERROR(SEARCH("S",Y180)))</formula>
    </cfRule>
    <cfRule type="containsText" dxfId="6" priority="14" operator="between" text="I">
      <formula>NOT(ISERROR(SEARCH("I",Y180)))</formula>
    </cfRule>
    <cfRule type="containsText" dxfId="7" priority="15" operator="between" text="A">
      <formula>NOT(ISERROR(SEARCH("A",Y180)))</formula>
    </cfRule>
    <cfRule type="containsText" dxfId="8" priority="16" operator="between" text="L">
      <formula>NOT(ISERROR(SEARCH("L",Y180)))</formula>
    </cfRule>
    <cfRule type="containsText" dxfId="6" priority="17" operator="between" text="A">
      <formula>NOT(ISERROR(SEARCH("A",Y180)))</formula>
    </cfRule>
    <cfRule type="containsText" dxfId="7" priority="18" operator="between" text="S">
      <formula>NOT(ISERROR(SEARCH("S",Y180)))</formula>
    </cfRule>
    <cfRule type="containsText" dxfId="5" priority="19" operator="between" text="OFF">
      <formula>NOT(ISERROR(SEARCH("OFF",Y180)))</formula>
    </cfRule>
    <cfRule type="containsText" dxfId="7" priority="20" operator="between" text="OFF">
      <formula>NOT(ISERROR(SEARCH("OFF",Y180)))</formula>
    </cfRule>
  </conditionalFormatting>
  <conditionalFormatting sqref="Y194:Y196">
    <cfRule type="containsText" dxfId="3" priority="231" operator="between" text="OFF">
      <formula>NOT(ISERROR(SEARCH("OFF",Y194)))</formula>
    </cfRule>
    <cfRule type="containsText" dxfId="4" priority="232" operator="between" text="OFF">
      <formula>NOT(ISERROR(SEARCH("OFF",Y194)))</formula>
    </cfRule>
    <cfRule type="containsText" dxfId="5" priority="233" operator="between" text="S">
      <formula>NOT(ISERROR(SEARCH("S",Y194)))</formula>
    </cfRule>
    <cfRule type="containsText" dxfId="6" priority="234" operator="between" text="I">
      <formula>NOT(ISERROR(SEARCH("I",Y194)))</formula>
    </cfRule>
    <cfRule type="containsText" dxfId="7" priority="235" operator="between" text="A">
      <formula>NOT(ISERROR(SEARCH("A",Y194)))</formula>
    </cfRule>
    <cfRule type="containsText" dxfId="8" priority="236" operator="between" text="L">
      <formula>NOT(ISERROR(SEARCH("L",Y194)))</formula>
    </cfRule>
    <cfRule type="containsText" dxfId="6" priority="237" operator="between" text="A">
      <formula>NOT(ISERROR(SEARCH("A",Y194)))</formula>
    </cfRule>
    <cfRule type="containsText" dxfId="7" priority="238" operator="between" text="S">
      <formula>NOT(ISERROR(SEARCH("S",Y194)))</formula>
    </cfRule>
    <cfRule type="containsText" dxfId="5" priority="239" operator="between" text="OFF">
      <formula>NOT(ISERROR(SEARCH("OFF",Y194)))</formula>
    </cfRule>
    <cfRule type="containsText" dxfId="7" priority="240" operator="between" text="OFF">
      <formula>NOT(ISERROR(SEARCH("OFF",Y194)))</formula>
    </cfRule>
  </conditionalFormatting>
  <conditionalFormatting sqref="Z197:Z199">
    <cfRule type="containsText" dxfId="3" priority="291" operator="between" text="OFF">
      <formula>NOT(ISERROR(SEARCH("OFF",Z197)))</formula>
    </cfRule>
    <cfRule type="containsText" dxfId="4" priority="292" operator="between" text="OFF">
      <formula>NOT(ISERROR(SEARCH("OFF",Z197)))</formula>
    </cfRule>
    <cfRule type="containsText" dxfId="5" priority="293" operator="between" text="S">
      <formula>NOT(ISERROR(SEARCH("S",Z197)))</formula>
    </cfRule>
    <cfRule type="containsText" dxfId="6" priority="294" operator="between" text="I">
      <formula>NOT(ISERROR(SEARCH("I",Z197)))</formula>
    </cfRule>
    <cfRule type="containsText" dxfId="7" priority="295" operator="between" text="A">
      <formula>NOT(ISERROR(SEARCH("A",Z197)))</formula>
    </cfRule>
    <cfRule type="containsText" dxfId="8" priority="296" operator="between" text="L">
      <formula>NOT(ISERROR(SEARCH("L",Z197)))</formula>
    </cfRule>
    <cfRule type="containsText" dxfId="6" priority="297" operator="between" text="A">
      <formula>NOT(ISERROR(SEARCH("A",Z197)))</formula>
    </cfRule>
    <cfRule type="containsText" dxfId="7" priority="298" operator="between" text="S">
      <formula>NOT(ISERROR(SEARCH("S",Z197)))</formula>
    </cfRule>
    <cfRule type="containsText" dxfId="5" priority="299" operator="between" text="OFF">
      <formula>NOT(ISERROR(SEARCH("OFF",Z197)))</formula>
    </cfRule>
    <cfRule type="containsText" dxfId="7" priority="300" operator="between" text="OFF">
      <formula>NOT(ISERROR(SEARCH("OFF",Z197)))</formula>
    </cfRule>
  </conditionalFormatting>
  <conditionalFormatting sqref="AA195:AA196">
    <cfRule type="containsText" dxfId="3" priority="1721" operator="between" text="OFF">
      <formula>NOT(ISERROR(SEARCH("OFF",AA195)))</formula>
    </cfRule>
    <cfRule type="containsText" dxfId="4" priority="1722" operator="between" text="OFF">
      <formula>NOT(ISERROR(SEARCH("OFF",AA195)))</formula>
    </cfRule>
    <cfRule type="containsText" dxfId="5" priority="1723" operator="between" text="S">
      <formula>NOT(ISERROR(SEARCH("S",AA195)))</formula>
    </cfRule>
    <cfRule type="containsText" dxfId="6" priority="1724" operator="between" text="I">
      <formula>NOT(ISERROR(SEARCH("I",AA195)))</formula>
    </cfRule>
    <cfRule type="containsText" dxfId="7" priority="1725" operator="between" text="A">
      <formula>NOT(ISERROR(SEARCH("A",AA195)))</formula>
    </cfRule>
    <cfRule type="containsText" dxfId="8" priority="1726" operator="between" text="L">
      <formula>NOT(ISERROR(SEARCH("L",AA195)))</formula>
    </cfRule>
    <cfRule type="containsText" dxfId="6" priority="1727" operator="between" text="A">
      <formula>NOT(ISERROR(SEARCH("A",AA195)))</formula>
    </cfRule>
    <cfRule type="containsText" dxfId="7" priority="1728" operator="between" text="S">
      <formula>NOT(ISERROR(SEARCH("S",AA195)))</formula>
    </cfRule>
    <cfRule type="containsText" dxfId="5" priority="1729" operator="between" text="OFF">
      <formula>NOT(ISERROR(SEARCH("OFF",AA195)))</formula>
    </cfRule>
    <cfRule type="containsText" dxfId="7" priority="1730" operator="between" text="OFF">
      <formula>NOT(ISERROR(SEARCH("OFF",AA195)))</formula>
    </cfRule>
  </conditionalFormatting>
  <conditionalFormatting sqref="AJ12:AJ163">
    <cfRule type="containsText" dxfId="3" priority="131" operator="between" text="OFF">
      <formula>NOT(ISERROR(SEARCH("OFF",AJ12)))</formula>
    </cfRule>
    <cfRule type="containsText" dxfId="4" priority="132" operator="between" text="OFF">
      <formula>NOT(ISERROR(SEARCH("OFF",AJ12)))</formula>
    </cfRule>
    <cfRule type="containsText" dxfId="5" priority="133" operator="between" text="S">
      <formula>NOT(ISERROR(SEARCH("S",AJ12)))</formula>
    </cfRule>
    <cfRule type="containsText" dxfId="6" priority="134" operator="between" text="I">
      <formula>NOT(ISERROR(SEARCH("I",AJ12)))</formula>
    </cfRule>
    <cfRule type="containsText" dxfId="7" priority="135" operator="between" text="A">
      <formula>NOT(ISERROR(SEARCH("A",AJ12)))</formula>
    </cfRule>
    <cfRule type="containsText" dxfId="8" priority="136" operator="between" text="L">
      <formula>NOT(ISERROR(SEARCH("L",AJ12)))</formula>
    </cfRule>
    <cfRule type="containsText" dxfId="6" priority="137" operator="between" text="A">
      <formula>NOT(ISERROR(SEARCH("A",AJ12)))</formula>
    </cfRule>
    <cfRule type="containsText" dxfId="7" priority="138" operator="between" text="S">
      <formula>NOT(ISERROR(SEARCH("S",AJ12)))</formula>
    </cfRule>
    <cfRule type="containsText" dxfId="5" priority="139" operator="between" text="OFF">
      <formula>NOT(ISERROR(SEARCH("OFF",AJ12)))</formula>
    </cfRule>
    <cfRule type="containsText" dxfId="7" priority="140" operator="between" text="OFF">
      <formula>NOT(ISERROR(SEARCH("OFF",AJ12)))</formula>
    </cfRule>
  </conditionalFormatting>
  <conditionalFormatting sqref="AL44:AL192">
    <cfRule type="containsText" dxfId="3" priority="1891" operator="between" text="OFF">
      <formula>NOT(ISERROR(SEARCH("OFF",AL44)))</formula>
    </cfRule>
    <cfRule type="containsText" dxfId="4" priority="1892" operator="between" text="OFF">
      <formula>NOT(ISERROR(SEARCH("OFF",AL44)))</formula>
    </cfRule>
    <cfRule type="containsText" dxfId="5" priority="1893" operator="between" text="S">
      <formula>NOT(ISERROR(SEARCH("S",AL44)))</formula>
    </cfRule>
    <cfRule type="containsText" dxfId="6" priority="1894" operator="between" text="I">
      <formula>NOT(ISERROR(SEARCH("I",AL44)))</formula>
    </cfRule>
    <cfRule type="containsText" dxfId="7" priority="1895" operator="between" text="A">
      <formula>NOT(ISERROR(SEARCH("A",AL44)))</formula>
    </cfRule>
    <cfRule type="containsText" dxfId="8" priority="1896" operator="between" text="L">
      <formula>NOT(ISERROR(SEARCH("L",AL44)))</formula>
    </cfRule>
    <cfRule type="containsText" dxfId="6" priority="1897" operator="between" text="A">
      <formula>NOT(ISERROR(SEARCH("A",AL44)))</formula>
    </cfRule>
    <cfRule type="containsText" dxfId="7" priority="1898" operator="between" text="S">
      <formula>NOT(ISERROR(SEARCH("S",AL44)))</formula>
    </cfRule>
    <cfRule type="containsText" dxfId="5" priority="1899" operator="between" text="OFF">
      <formula>NOT(ISERROR(SEARCH("OFF",AL44)))</formula>
    </cfRule>
    <cfRule type="containsText" dxfId="7" priority="1900" operator="between" text="OFF">
      <formula>NOT(ISERROR(SEARCH("OFF",AL44)))</formula>
    </cfRule>
  </conditionalFormatting>
  <conditionalFormatting sqref="F12:AI103">
    <cfRule type="containsText" dxfId="3" priority="311" operator="between" text="OFF">
      <formula>NOT(ISERROR(SEARCH("OFF",F12)))</formula>
    </cfRule>
    <cfRule type="containsText" dxfId="4" priority="312" operator="between" text="OFF">
      <formula>NOT(ISERROR(SEARCH("OFF",F12)))</formula>
    </cfRule>
    <cfRule type="containsText" dxfId="5" priority="313" operator="between" text="S">
      <formula>NOT(ISERROR(SEARCH("S",F12)))</formula>
    </cfRule>
    <cfRule type="containsText" dxfId="6" priority="314" operator="between" text="I">
      <formula>NOT(ISERROR(SEARCH("I",F12)))</formula>
    </cfRule>
    <cfRule type="containsText" dxfId="7" priority="315" operator="between" text="A">
      <formula>NOT(ISERROR(SEARCH("A",F12)))</formula>
    </cfRule>
    <cfRule type="containsText" dxfId="8" priority="316" operator="between" text="L">
      <formula>NOT(ISERROR(SEARCH("L",F12)))</formula>
    </cfRule>
    <cfRule type="containsText" dxfId="6" priority="317" operator="between" text="A">
      <formula>NOT(ISERROR(SEARCH("A",F12)))</formula>
    </cfRule>
    <cfRule type="containsText" dxfId="7" priority="318" operator="between" text="S">
      <formula>NOT(ISERROR(SEARCH("S",F12)))</formula>
    </cfRule>
    <cfRule type="containsText" dxfId="5" priority="319" operator="between" text="OFF">
      <formula>NOT(ISERROR(SEARCH("OFF",F12)))</formula>
    </cfRule>
    <cfRule type="containsText" dxfId="7" priority="320" operator="between" text="OFF">
      <formula>NOT(ISERROR(SEARCH("OFF",F12)))</formula>
    </cfRule>
  </conditionalFormatting>
  <conditionalFormatting sqref="Z164:AA165">
    <cfRule type="containsText" dxfId="3" priority="1901" operator="between" text="OFF">
      <formula>NOT(ISERROR(SEARCH("OFF",Z164)))</formula>
    </cfRule>
    <cfRule type="containsText" dxfId="4" priority="1902" operator="between" text="OFF">
      <formula>NOT(ISERROR(SEARCH("OFF",Z164)))</formula>
    </cfRule>
    <cfRule type="containsText" dxfId="5" priority="1903" operator="between" text="S">
      <formula>NOT(ISERROR(SEARCH("S",Z164)))</formula>
    </cfRule>
    <cfRule type="containsText" dxfId="6" priority="1904" operator="between" text="I">
      <formula>NOT(ISERROR(SEARCH("I",Z164)))</formula>
    </cfRule>
    <cfRule type="containsText" dxfId="7" priority="1905" operator="between" text="A">
      <formula>NOT(ISERROR(SEARCH("A",Z164)))</formula>
    </cfRule>
    <cfRule type="containsText" dxfId="8" priority="1906" operator="between" text="L">
      <formula>NOT(ISERROR(SEARCH("L",Z164)))</formula>
    </cfRule>
    <cfRule type="containsText" dxfId="6" priority="1907" operator="between" text="A">
      <formula>NOT(ISERROR(SEARCH("A",Z164)))</formula>
    </cfRule>
    <cfRule type="containsText" dxfId="7" priority="1908" operator="between" text="S">
      <formula>NOT(ISERROR(SEARCH("S",Z164)))</formula>
    </cfRule>
    <cfRule type="containsText" dxfId="5" priority="1909" operator="between" text="OFF">
      <formula>NOT(ISERROR(SEARCH("OFF",Z164)))</formula>
    </cfRule>
    <cfRule type="containsText" dxfId="7" priority="1910" operator="between" text="OFF">
      <formula>NOT(ISERROR(SEARCH("OFF",Z164)))</formula>
    </cfRule>
  </conditionalFormatting>
  <conditionalFormatting sqref="AJ165:AK179">
    <cfRule type="containsText" dxfId="3" priority="91" operator="between" text="OFF">
      <formula>NOT(ISERROR(SEARCH("OFF",AJ165)))</formula>
    </cfRule>
    <cfRule type="containsText" dxfId="4" priority="92" operator="between" text="OFF">
      <formula>NOT(ISERROR(SEARCH("OFF",AJ165)))</formula>
    </cfRule>
    <cfRule type="containsText" dxfId="5" priority="93" operator="between" text="S">
      <formula>NOT(ISERROR(SEARCH("S",AJ165)))</formula>
    </cfRule>
    <cfRule type="containsText" dxfId="6" priority="94" operator="between" text="I">
      <formula>NOT(ISERROR(SEARCH("I",AJ165)))</formula>
    </cfRule>
    <cfRule type="containsText" dxfId="7" priority="95" operator="between" text="A">
      <formula>NOT(ISERROR(SEARCH("A",AJ165)))</formula>
    </cfRule>
    <cfRule type="containsText" dxfId="8" priority="96" operator="between" text="L">
      <formula>NOT(ISERROR(SEARCH("L",AJ165)))</formula>
    </cfRule>
    <cfRule type="containsText" dxfId="6" priority="97" operator="between" text="A">
      <formula>NOT(ISERROR(SEARCH("A",AJ165)))</formula>
    </cfRule>
    <cfRule type="containsText" dxfId="7" priority="98" operator="between" text="S">
      <formula>NOT(ISERROR(SEARCH("S",AJ165)))</formula>
    </cfRule>
    <cfRule type="containsText" dxfId="5" priority="99" operator="between" text="OFF">
      <formula>NOT(ISERROR(SEARCH("OFF",AJ165)))</formula>
    </cfRule>
    <cfRule type="containsText" dxfId="7" priority="100" operator="between" text="OFF">
      <formula>NOT(ISERROR(SEARCH("OFF",AJ165)))</formula>
    </cfRule>
  </conditionalFormatting>
  <conditionalFormatting sqref="E166:AI179">
    <cfRule type="containsText" dxfId="3" priority="811" operator="between" text="OFF">
      <formula>NOT(ISERROR(SEARCH("OFF",E166)))</formula>
    </cfRule>
    <cfRule type="containsText" dxfId="4" priority="812" operator="between" text="OFF">
      <formula>NOT(ISERROR(SEARCH("OFF",E166)))</formula>
    </cfRule>
    <cfRule type="containsText" dxfId="5" priority="813" operator="between" text="S">
      <formula>NOT(ISERROR(SEARCH("S",E166)))</formula>
    </cfRule>
    <cfRule type="containsText" dxfId="6" priority="814" operator="between" text="I">
      <formula>NOT(ISERROR(SEARCH("I",E166)))</formula>
    </cfRule>
    <cfRule type="containsText" dxfId="7" priority="815" operator="between" text="A">
      <formula>NOT(ISERROR(SEARCH("A",E166)))</formula>
    </cfRule>
    <cfRule type="containsText" dxfId="8" priority="816" operator="between" text="L">
      <formula>NOT(ISERROR(SEARCH("L",E166)))</formula>
    </cfRule>
    <cfRule type="containsText" dxfId="6" priority="817" operator="between" text="A">
      <formula>NOT(ISERROR(SEARCH("A",E166)))</formula>
    </cfRule>
    <cfRule type="containsText" dxfId="7" priority="818" operator="between" text="S">
      <formula>NOT(ISERROR(SEARCH("S",E166)))</formula>
    </cfRule>
    <cfRule type="containsText" dxfId="5" priority="819" operator="between" text="OFF">
      <formula>NOT(ISERROR(SEARCH("OFF",E166)))</formula>
    </cfRule>
    <cfRule type="containsText" dxfId="7" priority="820" operator="between" text="OFF">
      <formula>NOT(ISERROR(SEARCH("OFF",E166)))</formula>
    </cfRule>
  </conditionalFormatting>
  <conditionalFormatting sqref="AB195:AN200">
    <cfRule type="containsText" dxfId="3" priority="101" operator="between" text="OFF">
      <formula>NOT(ISERROR(SEARCH("OFF",AB195)))</formula>
    </cfRule>
    <cfRule type="containsText" dxfId="4" priority="102" operator="between" text="OFF">
      <formula>NOT(ISERROR(SEARCH("OFF",AB195)))</formula>
    </cfRule>
    <cfRule type="containsText" dxfId="5" priority="103" operator="between" text="S">
      <formula>NOT(ISERROR(SEARCH("S",AB195)))</formula>
    </cfRule>
    <cfRule type="containsText" dxfId="6" priority="104" operator="between" text="I">
      <formula>NOT(ISERROR(SEARCH("I",AB195)))</formula>
    </cfRule>
    <cfRule type="containsText" dxfId="7" priority="105" operator="between" text="A">
      <formula>NOT(ISERROR(SEARCH("A",AB195)))</formula>
    </cfRule>
    <cfRule type="containsText" dxfId="8" priority="106" operator="between" text="L">
      <formula>NOT(ISERROR(SEARCH("L",AB195)))</formula>
    </cfRule>
    <cfRule type="containsText" dxfId="6" priority="107" operator="between" text="A">
      <formula>NOT(ISERROR(SEARCH("A",AB195)))</formula>
    </cfRule>
    <cfRule type="containsText" dxfId="7" priority="108" operator="between" text="S">
      <formula>NOT(ISERROR(SEARCH("S",AB195)))</formula>
    </cfRule>
    <cfRule type="containsText" dxfId="5" priority="109" operator="between" text="OFF">
      <formula>NOT(ISERROR(SEARCH("OFF",AB195)))</formula>
    </cfRule>
    <cfRule type="containsText" dxfId="7" priority="110" operator="between" text="OFF">
      <formula>NOT(ISERROR(SEARCH("OFF",AB195)))</formula>
    </cfRule>
  </conditionalFormatting>
  <printOptions horizontalCentered="1"/>
  <pageMargins left="0" right="0" top="0" bottom="0" header="0" footer="0"/>
  <pageSetup paperSize="9" scale="23" orientation="portrait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221"/>
  <sheetViews>
    <sheetView zoomScale="70" zoomScaleNormal="70" topLeftCell="A10" workbookViewId="0">
      <pane xSplit="2" ySplit="2" topLeftCell="C136" activePane="bottomRight" state="frozen"/>
      <selection/>
      <selection pane="topRight"/>
      <selection pane="bottomLeft"/>
      <selection pane="bottomRight" activeCell="G142" sqref="G142"/>
    </sheetView>
  </sheetViews>
  <sheetFormatPr defaultColWidth="9" defaultRowHeight="14.5"/>
  <cols>
    <col min="1" max="1" width="10.3636363636364" hidden="1" customWidth="1"/>
    <col min="2" max="2" width="18.5454545454545" customWidth="1"/>
    <col min="3" max="4" width="13.4545454545455" customWidth="1"/>
    <col min="5" max="6" width="7.63636363636364" customWidth="1"/>
    <col min="7" max="7" width="6.36363636363636" customWidth="1"/>
    <col min="8" max="8" width="6.45454545454545" customWidth="1"/>
    <col min="9" max="9" width="5.90909090909091" customWidth="1"/>
    <col min="10" max="10" width="9.90909090909091" customWidth="1"/>
    <col min="11" max="13" width="7.90909090909091" customWidth="1"/>
    <col min="14" max="14" width="7" customWidth="1"/>
    <col min="15" max="16" width="7.63636363636364" customWidth="1"/>
    <col min="17" max="17" width="10.0909090909091" customWidth="1"/>
    <col min="18" max="18" width="7.09090909090909" customWidth="1"/>
    <col min="19" max="19" width="12.4545454545455" customWidth="1"/>
    <col min="20" max="20" width="7.45454545454545" customWidth="1"/>
    <col min="21" max="24" width="7.63636363636364" customWidth="1"/>
    <col min="25" max="25" width="8.36363636363636" customWidth="1"/>
    <col min="26" max="33" width="7.63636363636364" customWidth="1"/>
    <col min="34" max="39" width="7.90909090909091" customWidth="1"/>
    <col min="40" max="40" width="8" style="116" customWidth="1"/>
    <col min="41" max="41" width="4.09090909090909" customWidth="1"/>
    <col min="42" max="42" width="6.90909090909091" customWidth="1"/>
    <col min="43" max="44" width="6.36363636363636" customWidth="1"/>
    <col min="45" max="45" width="7" customWidth="1"/>
    <col min="46" max="46" width="7.36363636363636" customWidth="1"/>
    <col min="47" max="47" width="24.0909090909091" customWidth="1"/>
    <col min="48" max="49" width="15.6363636363636" customWidth="1"/>
    <col min="50" max="50" width="9" customWidth="1"/>
  </cols>
  <sheetData>
    <row r="2" ht="20.15" customHeight="1" spans="1:49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133"/>
    </row>
    <row r="3" ht="20.15" customHeight="1" spans="1:49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133"/>
    </row>
    <row r="4" ht="20.15" customHeight="1" spans="1:49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134"/>
    </row>
    <row r="5" ht="20.15" customHeight="1" spans="1:49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134"/>
    </row>
    <row r="6" ht="20.15" customHeight="1" spans="1:49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134"/>
    </row>
    <row r="7" ht="20.15" customHeight="1" spans="1:49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135"/>
    </row>
    <row r="8" ht="20.15" customHeight="1" spans="1:49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135"/>
    </row>
    <row r="9" ht="20.15" customHeight="1" spans="1:49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133"/>
    </row>
    <row r="10" s="20" customFormat="1" ht="16.5" spans="1:49">
      <c r="A10" s="1" t="s">
        <v>0</v>
      </c>
      <c r="B10" s="1" t="s">
        <v>1</v>
      </c>
      <c r="C10" s="2" t="s">
        <v>2</v>
      </c>
      <c r="D10" s="2" t="s">
        <v>3</v>
      </c>
      <c r="E10" s="1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39"/>
      <c r="AO10" s="56"/>
      <c r="AP10" s="23" t="s">
        <v>5</v>
      </c>
      <c r="AQ10" s="24"/>
      <c r="AR10" s="24"/>
      <c r="AS10" s="25"/>
      <c r="AT10" s="2" t="s">
        <v>6</v>
      </c>
      <c r="AU10" s="2" t="s">
        <v>5</v>
      </c>
      <c r="AV10" s="26" t="s">
        <v>8</v>
      </c>
      <c r="AW10" s="27" t="s">
        <v>9</v>
      </c>
    </row>
    <row r="11" s="21" customFormat="1" ht="23.15" customHeight="1" spans="1:49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235">
        <v>24</v>
      </c>
      <c r="I11" s="58">
        <v>25</v>
      </c>
      <c r="J11" s="58">
        <v>26</v>
      </c>
      <c r="K11" s="58">
        <v>27</v>
      </c>
      <c r="L11" s="58">
        <v>28</v>
      </c>
      <c r="M11" s="58">
        <v>29</v>
      </c>
      <c r="N11" s="58">
        <v>30</v>
      </c>
      <c r="O11" s="58">
        <v>31</v>
      </c>
      <c r="P11" s="58">
        <v>1</v>
      </c>
      <c r="Q11" s="58">
        <v>2</v>
      </c>
      <c r="R11" s="58">
        <v>3</v>
      </c>
      <c r="S11" s="58">
        <v>4</v>
      </c>
      <c r="T11" s="58">
        <v>5</v>
      </c>
      <c r="U11" s="58">
        <v>6</v>
      </c>
      <c r="V11" s="58">
        <v>7</v>
      </c>
      <c r="W11" s="58">
        <v>8</v>
      </c>
      <c r="X11" s="58">
        <v>9</v>
      </c>
      <c r="Y11" s="58">
        <v>10</v>
      </c>
      <c r="Z11" s="58">
        <v>11</v>
      </c>
      <c r="AA11" s="58">
        <v>12</v>
      </c>
      <c r="AB11" s="58">
        <v>13</v>
      </c>
      <c r="AC11" s="58">
        <v>14</v>
      </c>
      <c r="AD11" s="58">
        <v>15</v>
      </c>
      <c r="AE11" s="58">
        <v>16</v>
      </c>
      <c r="AF11" s="58">
        <v>17</v>
      </c>
      <c r="AG11" s="58">
        <v>18</v>
      </c>
      <c r="AH11" s="58">
        <v>19</v>
      </c>
      <c r="AI11" s="58">
        <v>20</v>
      </c>
      <c r="AJ11" s="58">
        <v>21</v>
      </c>
      <c r="AK11" s="58">
        <v>22</v>
      </c>
      <c r="AL11" s="58">
        <v>23</v>
      </c>
      <c r="AM11" s="58">
        <v>24</v>
      </c>
      <c r="AN11" s="140"/>
      <c r="AO11" s="148" t="s">
        <v>10</v>
      </c>
      <c r="AP11" s="11" t="s">
        <v>11</v>
      </c>
      <c r="AQ11" s="11" t="s">
        <v>12</v>
      </c>
      <c r="AR11" s="11" t="s">
        <v>13</v>
      </c>
      <c r="AS11" s="11" t="s">
        <v>14</v>
      </c>
      <c r="AT11" s="32"/>
      <c r="AU11" s="32"/>
      <c r="AV11" s="33"/>
      <c r="AW11" s="34"/>
    </row>
    <row r="12" s="105" customFormat="1" ht="20.15" customHeight="1" spans="1:49">
      <c r="A12" s="68">
        <v>1</v>
      </c>
      <c r="B12" s="149" t="s">
        <v>456</v>
      </c>
      <c r="C12" s="150" t="s">
        <v>59</v>
      </c>
      <c r="D12" s="149" t="s">
        <v>217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 t="s">
        <v>103</v>
      </c>
      <c r="X12" s="62" t="s">
        <v>12</v>
      </c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113"/>
      <c r="AO12" s="151">
        <f t="shared" ref="AO12:AO75" si="0">COUNTIF(E12:AM12,"H")</f>
        <v>0</v>
      </c>
      <c r="AP12" s="35">
        <f t="shared" ref="AP12:AP75" si="1">COUNTIF(E12:AM12,"S")</f>
        <v>0</v>
      </c>
      <c r="AQ12" s="36">
        <f t="shared" ref="AQ12:AQ75" si="2">COUNTIF(E12:AM12,"I")</f>
        <v>2</v>
      </c>
      <c r="AR12" s="35">
        <f t="shared" ref="AR12:AR75" si="3">COUNTIF(E12:AM12,"A")</f>
        <v>0</v>
      </c>
      <c r="AS12" s="36">
        <f t="shared" ref="AS12:AS75" si="4">COUNTIF(E12:AM12,"OFF")</f>
        <v>0</v>
      </c>
      <c r="AT12" s="37">
        <f t="shared" ref="AT12:AT75" si="5">SUM(AO12:AR12)</f>
        <v>2</v>
      </c>
      <c r="AU12" s="37" t="s">
        <v>457</v>
      </c>
      <c r="AV12" s="38">
        <v>16</v>
      </c>
      <c r="AW12" s="39">
        <f t="shared" ref="AW12:AW75" si="6">AT12/AV12</f>
        <v>0.125</v>
      </c>
    </row>
    <row r="13" s="105" customFormat="1" ht="20.15" customHeight="1" spans="1:49">
      <c r="A13" s="68">
        <v>2</v>
      </c>
      <c r="B13" s="149" t="s">
        <v>419</v>
      </c>
      <c r="C13" s="150" t="s">
        <v>59</v>
      </c>
      <c r="D13" s="152" t="s">
        <v>420</v>
      </c>
      <c r="E13" s="62"/>
      <c r="F13" s="62"/>
      <c r="G13" s="62"/>
      <c r="H13" s="62"/>
      <c r="I13" s="62"/>
      <c r="J13" s="62"/>
      <c r="K13" s="62"/>
      <c r="L13" s="62"/>
      <c r="M13" s="62" t="s">
        <v>11</v>
      </c>
      <c r="N13" s="62"/>
      <c r="O13" s="62" t="s">
        <v>11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113"/>
      <c r="AO13" s="151">
        <f t="shared" si="0"/>
        <v>0</v>
      </c>
      <c r="AP13" s="35">
        <f t="shared" si="1"/>
        <v>2</v>
      </c>
      <c r="AQ13" s="36">
        <f t="shared" si="2"/>
        <v>0</v>
      </c>
      <c r="AR13" s="35">
        <f t="shared" si="3"/>
        <v>0</v>
      </c>
      <c r="AS13" s="36">
        <f t="shared" si="4"/>
        <v>0</v>
      </c>
      <c r="AT13" s="37">
        <f t="shared" si="5"/>
        <v>2</v>
      </c>
      <c r="AU13" s="43" t="s">
        <v>382</v>
      </c>
      <c r="AV13" s="38">
        <v>16</v>
      </c>
      <c r="AW13" s="39">
        <f t="shared" si="6"/>
        <v>0.125</v>
      </c>
    </row>
    <row r="14" s="105" customFormat="1" ht="20.15" customHeight="1" spans="1:49">
      <c r="A14" s="68">
        <v>3</v>
      </c>
      <c r="B14" s="149" t="s">
        <v>116</v>
      </c>
      <c r="C14" s="150" t="s">
        <v>59</v>
      </c>
      <c r="D14" s="152" t="s">
        <v>199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113"/>
      <c r="AO14" s="151">
        <f t="shared" si="0"/>
        <v>0</v>
      </c>
      <c r="AP14" s="35">
        <f t="shared" si="1"/>
        <v>0</v>
      </c>
      <c r="AQ14" s="35">
        <f t="shared" si="2"/>
        <v>0</v>
      </c>
      <c r="AR14" s="47">
        <f t="shared" si="3"/>
        <v>0</v>
      </c>
      <c r="AS14" s="36">
        <f t="shared" si="4"/>
        <v>0</v>
      </c>
      <c r="AT14" s="48">
        <f t="shared" si="5"/>
        <v>0</v>
      </c>
      <c r="AU14" s="49"/>
      <c r="AV14" s="38">
        <v>16</v>
      </c>
      <c r="AW14" s="39">
        <f t="shared" si="6"/>
        <v>0</v>
      </c>
    </row>
    <row r="15" s="105" customFormat="1" ht="20.15" customHeight="1" spans="1:49">
      <c r="A15" s="68">
        <v>4</v>
      </c>
      <c r="B15" s="153" t="s">
        <v>458</v>
      </c>
      <c r="C15" s="153" t="s">
        <v>165</v>
      </c>
      <c r="D15" s="152" t="s">
        <v>420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 t="s">
        <v>11</v>
      </c>
      <c r="AF15" s="62" t="s">
        <v>11</v>
      </c>
      <c r="AG15" s="62"/>
      <c r="AH15" s="62"/>
      <c r="AI15" s="62"/>
      <c r="AJ15" s="62"/>
      <c r="AK15" s="62"/>
      <c r="AL15" s="62"/>
      <c r="AM15" s="62"/>
      <c r="AN15" s="113"/>
      <c r="AO15" s="151">
        <f t="shared" si="0"/>
        <v>0</v>
      </c>
      <c r="AP15" s="35">
        <f t="shared" si="1"/>
        <v>2</v>
      </c>
      <c r="AQ15" s="36">
        <f t="shared" si="2"/>
        <v>0</v>
      </c>
      <c r="AR15" s="36">
        <f t="shared" si="3"/>
        <v>0</v>
      </c>
      <c r="AS15" s="36">
        <f t="shared" si="4"/>
        <v>0</v>
      </c>
      <c r="AT15" s="37">
        <f t="shared" si="5"/>
        <v>2</v>
      </c>
      <c r="AU15" s="37"/>
      <c r="AV15" s="38">
        <v>16</v>
      </c>
      <c r="AW15" s="39">
        <f t="shared" si="6"/>
        <v>0.125</v>
      </c>
    </row>
    <row r="16" s="105" customFormat="1" ht="20.15" customHeight="1" spans="1:49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113"/>
      <c r="AO16" s="151">
        <f t="shared" si="0"/>
        <v>0</v>
      </c>
      <c r="AP16" s="35">
        <f t="shared" si="1"/>
        <v>0</v>
      </c>
      <c r="AQ16" s="36">
        <f t="shared" si="2"/>
        <v>0</v>
      </c>
      <c r="AR16" s="36">
        <f t="shared" si="3"/>
        <v>0</v>
      </c>
      <c r="AS16" s="36">
        <f t="shared" si="4"/>
        <v>0</v>
      </c>
      <c r="AT16" s="37">
        <f t="shared" si="5"/>
        <v>0</v>
      </c>
      <c r="AU16" s="52"/>
      <c r="AV16" s="38">
        <v>16</v>
      </c>
      <c r="AW16" s="39">
        <f t="shared" si="6"/>
        <v>0</v>
      </c>
    </row>
    <row r="17" s="105" customFormat="1" ht="20.15" customHeight="1" spans="1:49">
      <c r="A17" s="68">
        <v>6</v>
      </c>
      <c r="B17" s="154" t="s">
        <v>23</v>
      </c>
      <c r="C17" s="154" t="s">
        <v>16</v>
      </c>
      <c r="D17" s="152" t="s">
        <v>277</v>
      </c>
      <c r="E17" s="62"/>
      <c r="F17" s="62"/>
      <c r="G17" s="62" t="s">
        <v>11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 t="s">
        <v>11</v>
      </c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113"/>
      <c r="AO17" s="151">
        <f t="shared" si="0"/>
        <v>0</v>
      </c>
      <c r="AP17" s="35">
        <f t="shared" si="1"/>
        <v>2</v>
      </c>
      <c r="AQ17" s="36">
        <f t="shared" si="2"/>
        <v>0</v>
      </c>
      <c r="AR17" s="35">
        <f t="shared" si="3"/>
        <v>0</v>
      </c>
      <c r="AS17" s="36">
        <f t="shared" si="4"/>
        <v>0</v>
      </c>
      <c r="AT17" s="37">
        <f t="shared" si="5"/>
        <v>2</v>
      </c>
      <c r="AU17" s="43" t="s">
        <v>459</v>
      </c>
      <c r="AV17" s="38">
        <v>16</v>
      </c>
      <c r="AW17" s="39">
        <f t="shared" si="6"/>
        <v>0.125</v>
      </c>
    </row>
    <row r="18" s="105" customFormat="1" ht="20.15" customHeight="1" spans="1:49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62"/>
      <c r="F18" s="62"/>
      <c r="G18" s="62"/>
      <c r="H18" s="62"/>
      <c r="I18" s="62"/>
      <c r="J18" s="62"/>
      <c r="K18" s="62"/>
      <c r="L18" s="62" t="s">
        <v>103</v>
      </c>
      <c r="M18" s="62"/>
      <c r="N18" s="62"/>
      <c r="O18" s="62"/>
      <c r="P18" s="62"/>
      <c r="Q18" s="62"/>
      <c r="R18" s="62"/>
      <c r="S18" s="62" t="s">
        <v>12</v>
      </c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113"/>
      <c r="AO18" s="151">
        <f t="shared" si="0"/>
        <v>0</v>
      </c>
      <c r="AP18" s="36">
        <f t="shared" si="1"/>
        <v>0</v>
      </c>
      <c r="AQ18" s="35">
        <f t="shared" si="2"/>
        <v>2</v>
      </c>
      <c r="AR18" s="36">
        <f t="shared" si="3"/>
        <v>0</v>
      </c>
      <c r="AS18" s="36">
        <f t="shared" si="4"/>
        <v>0</v>
      </c>
      <c r="AT18" s="37">
        <f t="shared" si="5"/>
        <v>2</v>
      </c>
      <c r="AU18" s="37"/>
      <c r="AV18" s="38">
        <v>16</v>
      </c>
      <c r="AW18" s="39">
        <f t="shared" si="6"/>
        <v>0.125</v>
      </c>
    </row>
    <row r="19" s="105" customFormat="1" ht="20.15" customHeight="1" spans="1:49">
      <c r="A19" s="68">
        <v>8</v>
      </c>
      <c r="B19" s="154" t="s">
        <v>378</v>
      </c>
      <c r="C19" s="150" t="s">
        <v>16</v>
      </c>
      <c r="D19" s="152" t="s">
        <v>178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113"/>
      <c r="AO19" s="151">
        <f t="shared" si="0"/>
        <v>0</v>
      </c>
      <c r="AP19" s="35">
        <f t="shared" si="1"/>
        <v>0</v>
      </c>
      <c r="AQ19" s="36">
        <f t="shared" si="2"/>
        <v>0</v>
      </c>
      <c r="AR19" s="36">
        <f t="shared" si="3"/>
        <v>0</v>
      </c>
      <c r="AS19" s="36">
        <f t="shared" si="4"/>
        <v>0</v>
      </c>
      <c r="AT19" s="37">
        <f t="shared" si="5"/>
        <v>0</v>
      </c>
      <c r="AU19" s="43" t="s">
        <v>336</v>
      </c>
      <c r="AV19" s="38">
        <v>16</v>
      </c>
      <c r="AW19" s="39">
        <f t="shared" si="6"/>
        <v>0</v>
      </c>
    </row>
    <row r="20" s="105" customFormat="1" ht="20.25" customHeight="1" spans="1:49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62"/>
      <c r="F20" s="62"/>
      <c r="G20" s="62" t="s">
        <v>12</v>
      </c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113"/>
      <c r="AO20" s="151">
        <f t="shared" si="0"/>
        <v>0</v>
      </c>
      <c r="AP20" s="35">
        <f t="shared" si="1"/>
        <v>0</v>
      </c>
      <c r="AQ20" s="36">
        <f t="shared" si="2"/>
        <v>1</v>
      </c>
      <c r="AR20" s="36">
        <f t="shared" si="3"/>
        <v>0</v>
      </c>
      <c r="AS20" s="36">
        <f t="shared" si="4"/>
        <v>0</v>
      </c>
      <c r="AT20" s="37">
        <f t="shared" si="5"/>
        <v>1</v>
      </c>
      <c r="AU20" s="130" t="s">
        <v>193</v>
      </c>
      <c r="AV20" s="38">
        <v>16</v>
      </c>
      <c r="AW20" s="39">
        <f t="shared" si="6"/>
        <v>0.0625</v>
      </c>
    </row>
    <row r="21" s="105" customFormat="1" ht="20.15" customHeight="1" spans="1:49">
      <c r="A21" s="68">
        <v>10</v>
      </c>
      <c r="B21" s="154" t="s">
        <v>28</v>
      </c>
      <c r="C21" s="150" t="s">
        <v>16</v>
      </c>
      <c r="D21" s="152" t="s">
        <v>196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113"/>
      <c r="AO21" s="151">
        <f t="shared" si="0"/>
        <v>0</v>
      </c>
      <c r="AP21" s="35">
        <f t="shared" si="1"/>
        <v>0</v>
      </c>
      <c r="AQ21" s="36">
        <f t="shared" si="2"/>
        <v>0</v>
      </c>
      <c r="AR21" s="36">
        <f t="shared" si="3"/>
        <v>0</v>
      </c>
      <c r="AS21" s="36">
        <f t="shared" si="4"/>
        <v>0</v>
      </c>
      <c r="AT21" s="37">
        <f t="shared" si="5"/>
        <v>0</v>
      </c>
      <c r="AU21" s="43" t="s">
        <v>336</v>
      </c>
      <c r="AV21" s="38">
        <v>16</v>
      </c>
      <c r="AW21" s="39">
        <f t="shared" si="6"/>
        <v>0</v>
      </c>
    </row>
    <row r="22" s="105" customFormat="1" ht="20.15" customHeight="1" spans="1:49">
      <c r="A22" s="68">
        <v>11</v>
      </c>
      <c r="B22" s="155" t="s">
        <v>29</v>
      </c>
      <c r="C22" s="150" t="s">
        <v>16</v>
      </c>
      <c r="D22" s="149" t="s">
        <v>153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113"/>
      <c r="AO22" s="151">
        <f t="shared" si="0"/>
        <v>0</v>
      </c>
      <c r="AP22" s="35">
        <f t="shared" si="1"/>
        <v>0</v>
      </c>
      <c r="AQ22" s="36">
        <f t="shared" si="2"/>
        <v>0</v>
      </c>
      <c r="AR22" s="36">
        <f t="shared" si="3"/>
        <v>0</v>
      </c>
      <c r="AS22" s="36">
        <f t="shared" si="4"/>
        <v>0</v>
      </c>
      <c r="AT22" s="37">
        <f t="shared" si="5"/>
        <v>0</v>
      </c>
      <c r="AU22" s="37" t="s">
        <v>303</v>
      </c>
      <c r="AV22" s="38">
        <v>16</v>
      </c>
      <c r="AW22" s="39">
        <f t="shared" si="6"/>
        <v>0</v>
      </c>
    </row>
    <row r="23" s="105" customFormat="1" ht="20.15" customHeight="1" spans="1:49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113"/>
      <c r="AO23" s="151">
        <f t="shared" si="0"/>
        <v>0</v>
      </c>
      <c r="AP23" s="35">
        <f t="shared" si="1"/>
        <v>0</v>
      </c>
      <c r="AQ23" s="35">
        <f t="shared" si="2"/>
        <v>0</v>
      </c>
      <c r="AR23" s="35">
        <f t="shared" si="3"/>
        <v>0</v>
      </c>
      <c r="AS23" s="36">
        <f t="shared" si="4"/>
        <v>0</v>
      </c>
      <c r="AT23" s="37">
        <f t="shared" si="5"/>
        <v>0</v>
      </c>
      <c r="AU23" s="37" t="s">
        <v>25</v>
      </c>
      <c r="AV23" s="38">
        <v>16</v>
      </c>
      <c r="AW23" s="39">
        <f t="shared" si="6"/>
        <v>0</v>
      </c>
    </row>
    <row r="24" s="105" customFormat="1" ht="20.15" customHeight="1" spans="1:49">
      <c r="A24" s="68">
        <v>13</v>
      </c>
      <c r="B24" s="155" t="s">
        <v>31</v>
      </c>
      <c r="C24" s="150" t="s">
        <v>16</v>
      </c>
      <c r="D24" s="152" t="s">
        <v>422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 t="s">
        <v>11</v>
      </c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113"/>
      <c r="AO24" s="151">
        <f t="shared" si="0"/>
        <v>0</v>
      </c>
      <c r="AP24" s="35">
        <f t="shared" si="1"/>
        <v>1</v>
      </c>
      <c r="AQ24" s="35">
        <f t="shared" si="2"/>
        <v>0</v>
      </c>
      <c r="AR24" s="36">
        <f t="shared" si="3"/>
        <v>0</v>
      </c>
      <c r="AS24" s="36">
        <f t="shared" si="4"/>
        <v>0</v>
      </c>
      <c r="AT24" s="37">
        <f t="shared" si="5"/>
        <v>1</v>
      </c>
      <c r="AU24" s="43" t="s">
        <v>423</v>
      </c>
      <c r="AV24" s="38">
        <v>16</v>
      </c>
      <c r="AW24" s="39">
        <f t="shared" si="6"/>
        <v>0.0625</v>
      </c>
    </row>
    <row r="25" s="105" customFormat="1" ht="20.15" customHeight="1" spans="1:49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113"/>
      <c r="AO25" s="151">
        <f t="shared" si="0"/>
        <v>0</v>
      </c>
      <c r="AP25" s="35">
        <f t="shared" si="1"/>
        <v>0</v>
      </c>
      <c r="AQ25" s="35">
        <f t="shared" si="2"/>
        <v>0</v>
      </c>
      <c r="AR25" s="47">
        <f t="shared" si="3"/>
        <v>0</v>
      </c>
      <c r="AS25" s="36">
        <f t="shared" si="4"/>
        <v>0</v>
      </c>
      <c r="AT25" s="37">
        <f t="shared" si="5"/>
        <v>0</v>
      </c>
      <c r="AU25" s="38" t="s">
        <v>168</v>
      </c>
      <c r="AV25" s="38">
        <v>16</v>
      </c>
      <c r="AW25" s="39">
        <f t="shared" si="6"/>
        <v>0</v>
      </c>
    </row>
    <row r="26" s="105" customFormat="1" ht="20.15" customHeight="1" spans="1:49">
      <c r="A26" s="68">
        <v>15</v>
      </c>
      <c r="B26" s="154" t="s">
        <v>33</v>
      </c>
      <c r="C26" s="150" t="s">
        <v>16</v>
      </c>
      <c r="D26" s="149" t="s">
        <v>163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113"/>
      <c r="AO26" s="151">
        <f t="shared" si="0"/>
        <v>0</v>
      </c>
      <c r="AP26" s="35">
        <f t="shared" si="1"/>
        <v>0</v>
      </c>
      <c r="AQ26" s="36">
        <f t="shared" si="2"/>
        <v>0</v>
      </c>
      <c r="AR26" s="36">
        <f t="shared" si="3"/>
        <v>0</v>
      </c>
      <c r="AS26" s="36">
        <f t="shared" si="4"/>
        <v>0</v>
      </c>
      <c r="AT26" s="37">
        <f t="shared" si="5"/>
        <v>0</v>
      </c>
      <c r="AU26" s="37" t="s">
        <v>337</v>
      </c>
      <c r="AV26" s="38">
        <v>16</v>
      </c>
      <c r="AW26" s="39">
        <f t="shared" si="6"/>
        <v>0</v>
      </c>
    </row>
    <row r="27" s="105" customFormat="1" ht="20.15" customHeight="1" spans="1:49">
      <c r="A27" s="68">
        <v>16</v>
      </c>
      <c r="B27" s="154" t="s">
        <v>34</v>
      </c>
      <c r="C27" s="150" t="s">
        <v>16</v>
      </c>
      <c r="D27" s="152" t="s">
        <v>217</v>
      </c>
      <c r="E27" s="62"/>
      <c r="F27" s="62"/>
      <c r="G27" s="62"/>
      <c r="H27" s="62"/>
      <c r="I27" s="62"/>
      <c r="J27" s="62"/>
      <c r="K27" s="172"/>
      <c r="L27" s="172"/>
      <c r="M27" s="172"/>
      <c r="N27" s="172"/>
      <c r="O27" s="17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113"/>
      <c r="AO27" s="151">
        <f t="shared" si="0"/>
        <v>0</v>
      </c>
      <c r="AP27" s="131">
        <f t="shared" si="1"/>
        <v>0</v>
      </c>
      <c r="AQ27" s="103">
        <f t="shared" si="2"/>
        <v>0</v>
      </c>
      <c r="AR27" s="103">
        <f t="shared" si="3"/>
        <v>0</v>
      </c>
      <c r="AS27" s="103">
        <f t="shared" si="4"/>
        <v>0</v>
      </c>
      <c r="AT27" s="128">
        <f t="shared" si="5"/>
        <v>0</v>
      </c>
      <c r="AU27" s="43" t="s">
        <v>382</v>
      </c>
      <c r="AV27" s="38">
        <v>16</v>
      </c>
      <c r="AW27" s="39">
        <f t="shared" si="6"/>
        <v>0</v>
      </c>
    </row>
    <row r="28" s="105" customFormat="1" ht="20.15" customHeight="1" spans="1:49">
      <c r="A28" s="68">
        <v>17</v>
      </c>
      <c r="B28" s="154" t="s">
        <v>35</v>
      </c>
      <c r="C28" s="150" t="s">
        <v>16</v>
      </c>
      <c r="D28" s="152" t="s">
        <v>266</v>
      </c>
      <c r="E28" s="62"/>
      <c r="F28" s="62"/>
      <c r="G28" s="62"/>
      <c r="H28" s="62"/>
      <c r="I28" s="62"/>
      <c r="J28" s="236"/>
      <c r="K28" s="236"/>
      <c r="L28" s="236"/>
      <c r="M28" s="236"/>
      <c r="N28" s="180" t="s">
        <v>11</v>
      </c>
      <c r="O28" s="180"/>
      <c r="P28" s="237"/>
      <c r="Q28" s="62"/>
      <c r="R28" s="62"/>
      <c r="S28" s="62" t="s">
        <v>40</v>
      </c>
      <c r="T28" s="62"/>
      <c r="U28" s="62" t="s">
        <v>11</v>
      </c>
      <c r="V28" s="62"/>
      <c r="W28" s="62" t="s">
        <v>13</v>
      </c>
      <c r="X28" s="62" t="s">
        <v>11</v>
      </c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113"/>
      <c r="AO28" s="151">
        <f t="shared" si="0"/>
        <v>0</v>
      </c>
      <c r="AP28" s="43">
        <f t="shared" si="1"/>
        <v>4</v>
      </c>
      <c r="AQ28" s="66">
        <f t="shared" si="2"/>
        <v>0</v>
      </c>
      <c r="AR28" s="66">
        <f t="shared" si="3"/>
        <v>1</v>
      </c>
      <c r="AS28" s="66">
        <f t="shared" si="4"/>
        <v>0</v>
      </c>
      <c r="AT28" s="43">
        <f t="shared" si="5"/>
        <v>5</v>
      </c>
      <c r="AU28" s="43" t="s">
        <v>460</v>
      </c>
      <c r="AV28" s="68">
        <v>16</v>
      </c>
      <c r="AW28" s="39">
        <f t="shared" si="6"/>
        <v>0.3125</v>
      </c>
    </row>
    <row r="29" s="105" customFormat="1" ht="20.15" customHeight="1" spans="1:49">
      <c r="A29" s="68">
        <v>18</v>
      </c>
      <c r="B29" s="149" t="s">
        <v>36</v>
      </c>
      <c r="C29" s="150" t="s">
        <v>20</v>
      </c>
      <c r="D29" s="149" t="s">
        <v>242</v>
      </c>
      <c r="E29" s="62"/>
      <c r="F29" s="62"/>
      <c r="G29" s="62"/>
      <c r="H29" s="62" t="s">
        <v>11</v>
      </c>
      <c r="I29" s="62"/>
      <c r="J29" s="62"/>
      <c r="K29" s="238"/>
      <c r="L29" s="238" t="s">
        <v>11</v>
      </c>
      <c r="M29" s="238"/>
      <c r="N29" s="238"/>
      <c r="O29" s="238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113"/>
      <c r="AO29" s="151">
        <f t="shared" si="0"/>
        <v>0</v>
      </c>
      <c r="AP29" s="35">
        <f t="shared" si="1"/>
        <v>2</v>
      </c>
      <c r="AQ29" s="35">
        <f t="shared" si="2"/>
        <v>0</v>
      </c>
      <c r="AR29" s="47">
        <f t="shared" si="3"/>
        <v>0</v>
      </c>
      <c r="AS29" s="36">
        <f t="shared" si="4"/>
        <v>0</v>
      </c>
      <c r="AT29" s="35">
        <f t="shared" si="5"/>
        <v>2</v>
      </c>
      <c r="AU29" s="35" t="s">
        <v>305</v>
      </c>
      <c r="AV29" s="38">
        <v>16</v>
      </c>
      <c r="AW29" s="39">
        <f t="shared" si="6"/>
        <v>0.125</v>
      </c>
    </row>
    <row r="30" s="105" customFormat="1" ht="20.15" customHeight="1" spans="1:49">
      <c r="A30" s="68">
        <v>19</v>
      </c>
      <c r="B30" s="154" t="s">
        <v>38</v>
      </c>
      <c r="C30" s="150" t="s">
        <v>16</v>
      </c>
      <c r="D30" s="152" t="s">
        <v>461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 t="s">
        <v>11</v>
      </c>
      <c r="AL30" s="62"/>
      <c r="AM30" s="62"/>
      <c r="AN30" s="113"/>
      <c r="AO30" s="151">
        <f t="shared" si="0"/>
        <v>0</v>
      </c>
      <c r="AP30" s="35">
        <f t="shared" si="1"/>
        <v>1</v>
      </c>
      <c r="AQ30" s="35">
        <f t="shared" si="2"/>
        <v>0</v>
      </c>
      <c r="AR30" s="35">
        <f t="shared" si="3"/>
        <v>0</v>
      </c>
      <c r="AS30" s="36">
        <f t="shared" si="4"/>
        <v>0</v>
      </c>
      <c r="AT30" s="37">
        <f t="shared" si="5"/>
        <v>1</v>
      </c>
      <c r="AU30" s="52" t="s">
        <v>208</v>
      </c>
      <c r="AV30" s="38">
        <v>16</v>
      </c>
      <c r="AW30" s="39">
        <f t="shared" si="6"/>
        <v>0.0625</v>
      </c>
    </row>
    <row r="31" s="105" customFormat="1" ht="20.15" customHeight="1" spans="1:49">
      <c r="A31" s="68">
        <v>20</v>
      </c>
      <c r="B31" s="154" t="s">
        <v>39</v>
      </c>
      <c r="C31" s="150" t="s">
        <v>16</v>
      </c>
      <c r="D31" s="152" t="s">
        <v>279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 t="s">
        <v>11</v>
      </c>
      <c r="AL31" s="62"/>
      <c r="AM31" s="62"/>
      <c r="AN31" s="113"/>
      <c r="AO31" s="151">
        <f t="shared" si="0"/>
        <v>0</v>
      </c>
      <c r="AP31" s="35">
        <f t="shared" si="1"/>
        <v>1</v>
      </c>
      <c r="AQ31" s="36">
        <f t="shared" si="2"/>
        <v>0</v>
      </c>
      <c r="AR31" s="36">
        <f t="shared" si="3"/>
        <v>0</v>
      </c>
      <c r="AS31" s="36">
        <f t="shared" si="4"/>
        <v>0</v>
      </c>
      <c r="AT31" s="37">
        <f t="shared" si="5"/>
        <v>1</v>
      </c>
      <c r="AU31" s="156" t="s">
        <v>239</v>
      </c>
      <c r="AV31" s="38">
        <v>16</v>
      </c>
      <c r="AW31" s="39">
        <f t="shared" si="6"/>
        <v>0.0625</v>
      </c>
    </row>
    <row r="32" s="105" customFormat="1" ht="20.15" customHeight="1" spans="1:49">
      <c r="A32" s="68">
        <v>21</v>
      </c>
      <c r="B32" s="154" t="s">
        <v>41</v>
      </c>
      <c r="C32" s="150" t="s">
        <v>16</v>
      </c>
      <c r="D32" s="152" t="s">
        <v>153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180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113"/>
      <c r="AO32" s="151">
        <f t="shared" si="0"/>
        <v>0</v>
      </c>
      <c r="AP32" s="35">
        <f t="shared" si="1"/>
        <v>0</v>
      </c>
      <c r="AQ32" s="35">
        <f t="shared" si="2"/>
        <v>0</v>
      </c>
      <c r="AR32" s="36">
        <f t="shared" si="3"/>
        <v>0</v>
      </c>
      <c r="AS32" s="36">
        <f t="shared" si="4"/>
        <v>0</v>
      </c>
      <c r="AT32" s="37">
        <f t="shared" si="5"/>
        <v>0</v>
      </c>
      <c r="AU32" s="43" t="s">
        <v>382</v>
      </c>
      <c r="AV32" s="38">
        <v>16</v>
      </c>
      <c r="AW32" s="39">
        <f t="shared" si="6"/>
        <v>0</v>
      </c>
    </row>
    <row r="33" s="105" customFormat="1" ht="20.15" customHeight="1" spans="1:49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62"/>
      <c r="F33" s="62"/>
      <c r="G33" s="62"/>
      <c r="H33" s="62"/>
      <c r="I33" s="62"/>
      <c r="J33" s="62" t="s">
        <v>103</v>
      </c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 t="s">
        <v>11</v>
      </c>
      <c r="AC33" s="62" t="s">
        <v>11</v>
      </c>
      <c r="AD33" s="62" t="s">
        <v>11</v>
      </c>
      <c r="AE33" s="62"/>
      <c r="AF33" s="62"/>
      <c r="AG33" s="62"/>
      <c r="AH33" s="62"/>
      <c r="AI33" s="62"/>
      <c r="AJ33" s="62"/>
      <c r="AK33" s="62"/>
      <c r="AL33" s="62"/>
      <c r="AM33" s="62"/>
      <c r="AN33" s="113"/>
      <c r="AO33" s="151">
        <f t="shared" si="0"/>
        <v>0</v>
      </c>
      <c r="AP33" s="35">
        <f t="shared" si="1"/>
        <v>3</v>
      </c>
      <c r="AQ33" s="36">
        <f t="shared" si="2"/>
        <v>1</v>
      </c>
      <c r="AR33" s="36">
        <f t="shared" si="3"/>
        <v>0</v>
      </c>
      <c r="AS33" s="36">
        <f t="shared" si="4"/>
        <v>0</v>
      </c>
      <c r="AT33" s="37">
        <f t="shared" si="5"/>
        <v>4</v>
      </c>
      <c r="AU33" s="43"/>
      <c r="AV33" s="38">
        <v>16</v>
      </c>
      <c r="AW33" s="39">
        <f t="shared" si="6"/>
        <v>0.25</v>
      </c>
    </row>
    <row r="34" s="105" customFormat="1" ht="20.15" customHeight="1" spans="1:49">
      <c r="A34" s="68">
        <v>23</v>
      </c>
      <c r="B34" s="157" t="s">
        <v>44</v>
      </c>
      <c r="C34" s="150" t="s">
        <v>16</v>
      </c>
      <c r="D34" s="149" t="s">
        <v>268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113"/>
      <c r="AO34" s="151">
        <f t="shared" si="0"/>
        <v>0</v>
      </c>
      <c r="AP34" s="35">
        <f t="shared" si="1"/>
        <v>0</v>
      </c>
      <c r="AQ34" s="35">
        <f t="shared" si="2"/>
        <v>0</v>
      </c>
      <c r="AR34" s="36">
        <f t="shared" si="3"/>
        <v>0</v>
      </c>
      <c r="AS34" s="36">
        <f t="shared" si="4"/>
        <v>0</v>
      </c>
      <c r="AT34" s="37">
        <f t="shared" si="5"/>
        <v>0</v>
      </c>
      <c r="AU34" s="43" t="s">
        <v>193</v>
      </c>
      <c r="AV34" s="38">
        <v>16</v>
      </c>
      <c r="AW34" s="39">
        <f t="shared" si="6"/>
        <v>0</v>
      </c>
    </row>
    <row r="35" s="105" customFormat="1" ht="20.15" customHeight="1" spans="1:49">
      <c r="A35" s="68">
        <v>24</v>
      </c>
      <c r="B35" s="154" t="s">
        <v>117</v>
      </c>
      <c r="C35" s="150" t="s">
        <v>16</v>
      </c>
      <c r="D35" s="152" t="s">
        <v>306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113"/>
      <c r="AO35" s="151">
        <f t="shared" si="0"/>
        <v>0</v>
      </c>
      <c r="AP35" s="35">
        <f t="shared" si="1"/>
        <v>0</v>
      </c>
      <c r="AQ35" s="36">
        <f t="shared" si="2"/>
        <v>0</v>
      </c>
      <c r="AR35" s="35">
        <f t="shared" si="3"/>
        <v>0</v>
      </c>
      <c r="AS35" s="36">
        <f t="shared" si="4"/>
        <v>0</v>
      </c>
      <c r="AT35" s="37">
        <f t="shared" si="5"/>
        <v>0</v>
      </c>
      <c r="AU35" s="147" t="s">
        <v>382</v>
      </c>
      <c r="AV35" s="38">
        <v>16</v>
      </c>
      <c r="AW35" s="39">
        <f t="shared" si="6"/>
        <v>0</v>
      </c>
    </row>
    <row r="36" s="105" customFormat="1" ht="20.15" customHeight="1" spans="1:49">
      <c r="A36" s="68">
        <v>25</v>
      </c>
      <c r="B36" s="154" t="s">
        <v>462</v>
      </c>
      <c r="C36" s="150" t="s">
        <v>463</v>
      </c>
      <c r="D36" s="152" t="s">
        <v>178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 t="s">
        <v>11</v>
      </c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113"/>
      <c r="AO36" s="151">
        <f t="shared" si="0"/>
        <v>0</v>
      </c>
      <c r="AP36" s="35">
        <f t="shared" si="1"/>
        <v>1</v>
      </c>
      <c r="AQ36" s="35">
        <f t="shared" si="2"/>
        <v>0</v>
      </c>
      <c r="AR36" s="35">
        <f t="shared" si="3"/>
        <v>0</v>
      </c>
      <c r="AS36" s="36">
        <f t="shared" si="4"/>
        <v>0</v>
      </c>
      <c r="AT36" s="37">
        <f t="shared" si="5"/>
        <v>1</v>
      </c>
      <c r="AU36" s="156" t="s">
        <v>171</v>
      </c>
      <c r="AV36" s="38">
        <v>16</v>
      </c>
      <c r="AW36" s="39">
        <f t="shared" si="6"/>
        <v>0.0625</v>
      </c>
    </row>
    <row r="37" s="105" customFormat="1" ht="20.15" customHeight="1" spans="1:49">
      <c r="A37" s="68">
        <v>26</v>
      </c>
      <c r="B37" s="149" t="s">
        <v>47</v>
      </c>
      <c r="C37" s="150" t="s">
        <v>211</v>
      </c>
      <c r="D37" s="152" t="s">
        <v>212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113"/>
      <c r="AO37" s="151">
        <f t="shared" si="0"/>
        <v>0</v>
      </c>
      <c r="AP37" s="35">
        <f t="shared" si="1"/>
        <v>0</v>
      </c>
      <c r="AQ37" s="36">
        <f t="shared" si="2"/>
        <v>0</v>
      </c>
      <c r="AR37" s="36">
        <f t="shared" si="3"/>
        <v>0</v>
      </c>
      <c r="AS37" s="36">
        <f t="shared" si="4"/>
        <v>0</v>
      </c>
      <c r="AT37" s="37">
        <f t="shared" si="5"/>
        <v>0</v>
      </c>
      <c r="AU37" s="156" t="s">
        <v>201</v>
      </c>
      <c r="AV37" s="38">
        <v>16</v>
      </c>
      <c r="AW37" s="39">
        <f t="shared" si="6"/>
        <v>0</v>
      </c>
    </row>
    <row r="38" s="105" customFormat="1" ht="20.15" customHeight="1" spans="1:49">
      <c r="A38" s="68">
        <v>27</v>
      </c>
      <c r="B38" s="149" t="s">
        <v>48</v>
      </c>
      <c r="C38" s="150" t="s">
        <v>16</v>
      </c>
      <c r="D38" s="149" t="s">
        <v>217</v>
      </c>
      <c r="E38" s="62"/>
      <c r="F38" s="62"/>
      <c r="G38" s="62"/>
      <c r="H38" s="62"/>
      <c r="I38" s="62"/>
      <c r="J38" s="62"/>
      <c r="K38" s="62"/>
      <c r="L38" s="62" t="s">
        <v>40</v>
      </c>
      <c r="M38" s="62" t="s">
        <v>103</v>
      </c>
      <c r="N38" s="62"/>
      <c r="O38" s="62"/>
      <c r="P38" s="62"/>
      <c r="Q38" s="62" t="s">
        <v>11</v>
      </c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113"/>
      <c r="AO38" s="151">
        <f t="shared" si="0"/>
        <v>0</v>
      </c>
      <c r="AP38" s="35">
        <f t="shared" si="1"/>
        <v>2</v>
      </c>
      <c r="AQ38" s="35">
        <f t="shared" si="2"/>
        <v>1</v>
      </c>
      <c r="AR38" s="35">
        <f t="shared" si="3"/>
        <v>0</v>
      </c>
      <c r="AS38" s="36">
        <f t="shared" si="4"/>
        <v>0</v>
      </c>
      <c r="AT38" s="37">
        <f t="shared" si="5"/>
        <v>3</v>
      </c>
      <c r="AU38" s="43" t="s">
        <v>336</v>
      </c>
      <c r="AV38" s="38">
        <v>16</v>
      </c>
      <c r="AW38" s="39">
        <f t="shared" si="6"/>
        <v>0.1875</v>
      </c>
    </row>
    <row r="39" s="105" customFormat="1" ht="20.15" customHeight="1" spans="1:49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113"/>
      <c r="AO39" s="151">
        <f t="shared" si="0"/>
        <v>0</v>
      </c>
      <c r="AP39" s="35">
        <f t="shared" si="1"/>
        <v>0</v>
      </c>
      <c r="AQ39" s="36">
        <f t="shared" si="2"/>
        <v>0</v>
      </c>
      <c r="AR39" s="35">
        <f t="shared" si="3"/>
        <v>0</v>
      </c>
      <c r="AS39" s="36">
        <f t="shared" si="4"/>
        <v>0</v>
      </c>
      <c r="AT39" s="37">
        <f t="shared" si="5"/>
        <v>0</v>
      </c>
      <c r="AU39" s="49" t="s">
        <v>118</v>
      </c>
      <c r="AV39" s="38">
        <v>16</v>
      </c>
      <c r="AW39" s="39">
        <f t="shared" si="6"/>
        <v>0</v>
      </c>
    </row>
    <row r="40" s="105" customFormat="1" ht="20.15" customHeight="1" spans="1:49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 t="s">
        <v>11</v>
      </c>
      <c r="AD40" s="62" t="s">
        <v>11</v>
      </c>
      <c r="AE40" s="62"/>
      <c r="AF40" s="62"/>
      <c r="AG40" s="62"/>
      <c r="AH40" s="62"/>
      <c r="AI40" s="62"/>
      <c r="AJ40" s="62"/>
      <c r="AK40" s="62"/>
      <c r="AL40" s="62"/>
      <c r="AM40" s="62"/>
      <c r="AN40" s="113"/>
      <c r="AO40" s="151">
        <f t="shared" si="0"/>
        <v>0</v>
      </c>
      <c r="AP40" s="35">
        <f t="shared" si="1"/>
        <v>2</v>
      </c>
      <c r="AQ40" s="36">
        <f t="shared" si="2"/>
        <v>0</v>
      </c>
      <c r="AR40" s="36">
        <f t="shared" si="3"/>
        <v>0</v>
      </c>
      <c r="AS40" s="36">
        <f t="shared" si="4"/>
        <v>0</v>
      </c>
      <c r="AT40" s="128">
        <f t="shared" si="5"/>
        <v>2</v>
      </c>
      <c r="AU40" s="128" t="s">
        <v>336</v>
      </c>
      <c r="AV40" s="38">
        <v>16</v>
      </c>
      <c r="AW40" s="72">
        <f t="shared" si="6"/>
        <v>0.125</v>
      </c>
    </row>
    <row r="41" s="105" customFormat="1" ht="20.15" customHeight="1" spans="1:49">
      <c r="A41" s="68">
        <v>30</v>
      </c>
      <c r="B41" s="154" t="s">
        <v>51</v>
      </c>
      <c r="C41" s="150" t="s">
        <v>16</v>
      </c>
      <c r="D41" s="149" t="s">
        <v>217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 t="s">
        <v>13</v>
      </c>
      <c r="AC41" s="62" t="s">
        <v>13</v>
      </c>
      <c r="AD41" s="62" t="s">
        <v>11</v>
      </c>
      <c r="AE41" s="62"/>
      <c r="AF41" s="62"/>
      <c r="AG41" s="62"/>
      <c r="AH41" s="62"/>
      <c r="AI41" s="62"/>
      <c r="AJ41" s="62"/>
      <c r="AK41" s="62"/>
      <c r="AL41" s="62"/>
      <c r="AM41" s="62"/>
      <c r="AN41" s="113"/>
      <c r="AO41" s="151">
        <f t="shared" si="0"/>
        <v>0</v>
      </c>
      <c r="AP41" s="35">
        <f t="shared" si="1"/>
        <v>1</v>
      </c>
      <c r="AQ41" s="36">
        <f t="shared" si="2"/>
        <v>0</v>
      </c>
      <c r="AR41" s="36">
        <f t="shared" si="3"/>
        <v>2</v>
      </c>
      <c r="AS41" s="36">
        <f t="shared" si="4"/>
        <v>0</v>
      </c>
      <c r="AT41" s="37">
        <f t="shared" si="5"/>
        <v>3</v>
      </c>
      <c r="AU41" s="43" t="s">
        <v>193</v>
      </c>
      <c r="AV41" s="38">
        <v>26</v>
      </c>
      <c r="AW41" s="39">
        <f t="shared" si="6"/>
        <v>0.115384615384615</v>
      </c>
    </row>
    <row r="42" s="105" customFormat="1" ht="20.15" customHeight="1" spans="1:49">
      <c r="A42" s="68">
        <v>31</v>
      </c>
      <c r="B42" s="154" t="s">
        <v>52</v>
      </c>
      <c r="C42" s="150" t="s">
        <v>339</v>
      </c>
      <c r="D42" s="149" t="s">
        <v>394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 t="s">
        <v>13</v>
      </c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113"/>
      <c r="AO42" s="151">
        <f t="shared" si="0"/>
        <v>0</v>
      </c>
      <c r="AP42" s="35">
        <f t="shared" si="1"/>
        <v>0</v>
      </c>
      <c r="AQ42" s="36">
        <f t="shared" si="2"/>
        <v>0</v>
      </c>
      <c r="AR42" s="36">
        <f t="shared" si="3"/>
        <v>1</v>
      </c>
      <c r="AS42" s="36">
        <f t="shared" si="4"/>
        <v>0</v>
      </c>
      <c r="AT42" s="37">
        <f t="shared" si="5"/>
        <v>1</v>
      </c>
      <c r="AU42" s="43" t="s">
        <v>193</v>
      </c>
      <c r="AV42" s="38">
        <v>26</v>
      </c>
      <c r="AW42" s="39">
        <f t="shared" si="6"/>
        <v>0.0384615384615385</v>
      </c>
    </row>
    <row r="43" s="105" customFormat="1" ht="20.15" customHeight="1" spans="1:49">
      <c r="A43" s="68">
        <v>32</v>
      </c>
      <c r="B43" s="149" t="s">
        <v>464</v>
      </c>
      <c r="C43" s="150" t="s">
        <v>16</v>
      </c>
      <c r="D43" s="149" t="s">
        <v>178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 t="s">
        <v>103</v>
      </c>
      <c r="X43" s="62"/>
      <c r="Y43" s="62"/>
      <c r="Z43" s="62"/>
      <c r="AA43" s="62"/>
      <c r="AB43" s="62"/>
      <c r="AC43" s="62"/>
      <c r="AD43" s="62"/>
      <c r="AE43" s="62" t="s">
        <v>11</v>
      </c>
      <c r="AF43" s="62"/>
      <c r="AG43" s="62" t="s">
        <v>11</v>
      </c>
      <c r="AH43" s="62"/>
      <c r="AI43" s="62"/>
      <c r="AJ43" s="62"/>
      <c r="AK43" s="62"/>
      <c r="AL43" s="62"/>
      <c r="AM43" s="62"/>
      <c r="AN43" s="142"/>
      <c r="AO43" s="151">
        <f t="shared" si="0"/>
        <v>0</v>
      </c>
      <c r="AP43" s="35">
        <f t="shared" si="1"/>
        <v>2</v>
      </c>
      <c r="AQ43" s="36">
        <f t="shared" si="2"/>
        <v>1</v>
      </c>
      <c r="AR43" s="36">
        <f t="shared" si="3"/>
        <v>0</v>
      </c>
      <c r="AS43" s="36">
        <f t="shared" si="4"/>
        <v>0</v>
      </c>
      <c r="AT43" s="37">
        <f t="shared" si="5"/>
        <v>3</v>
      </c>
      <c r="AU43" s="37" t="s">
        <v>25</v>
      </c>
      <c r="AV43" s="38">
        <v>26</v>
      </c>
      <c r="AW43" s="39">
        <f t="shared" si="6"/>
        <v>0.115384615384615</v>
      </c>
    </row>
    <row r="44" s="105" customFormat="1" ht="20.15" customHeight="1" spans="1:49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113"/>
      <c r="AO44" s="151">
        <f t="shared" si="0"/>
        <v>0</v>
      </c>
      <c r="AP44" s="35">
        <f t="shared" si="1"/>
        <v>0</v>
      </c>
      <c r="AQ44" s="36">
        <f t="shared" si="2"/>
        <v>0</v>
      </c>
      <c r="AR44" s="36">
        <f t="shared" si="3"/>
        <v>0</v>
      </c>
      <c r="AS44" s="36">
        <f t="shared" si="4"/>
        <v>0</v>
      </c>
      <c r="AT44" s="37">
        <f t="shared" si="5"/>
        <v>0</v>
      </c>
      <c r="AU44" s="37" t="s">
        <v>25</v>
      </c>
      <c r="AV44" s="38">
        <v>26</v>
      </c>
      <c r="AW44" s="39">
        <f t="shared" si="6"/>
        <v>0</v>
      </c>
    </row>
    <row r="45" s="105" customFormat="1" ht="20.15" customHeight="1" spans="1:49">
      <c r="A45" s="68">
        <v>34</v>
      </c>
      <c r="B45" s="158" t="s">
        <v>383</v>
      </c>
      <c r="C45" s="150" t="s">
        <v>16</v>
      </c>
      <c r="D45" s="149" t="s">
        <v>178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113"/>
      <c r="AO45" s="151">
        <f t="shared" si="0"/>
        <v>0</v>
      </c>
      <c r="AP45" s="35">
        <f t="shared" si="1"/>
        <v>0</v>
      </c>
      <c r="AQ45" s="36">
        <f t="shared" si="2"/>
        <v>0</v>
      </c>
      <c r="AR45" s="36">
        <f t="shared" si="3"/>
        <v>0</v>
      </c>
      <c r="AS45" s="36">
        <f t="shared" si="4"/>
        <v>0</v>
      </c>
      <c r="AT45" s="37">
        <f t="shared" si="5"/>
        <v>0</v>
      </c>
      <c r="AU45" s="43" t="s">
        <v>424</v>
      </c>
      <c r="AV45" s="38">
        <v>26</v>
      </c>
      <c r="AW45" s="39">
        <f t="shared" si="6"/>
        <v>0</v>
      </c>
    </row>
    <row r="46" s="105" customFormat="1" ht="20.15" customHeight="1" spans="1:49">
      <c r="A46" s="68">
        <v>35</v>
      </c>
      <c r="B46" s="154" t="s">
        <v>465</v>
      </c>
      <c r="C46" s="150" t="s">
        <v>16</v>
      </c>
      <c r="D46" s="149" t="s">
        <v>178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 t="s">
        <v>103</v>
      </c>
      <c r="AA46" s="62"/>
      <c r="AB46" s="62"/>
      <c r="AC46" s="62" t="s">
        <v>11</v>
      </c>
      <c r="AD46" s="62"/>
      <c r="AE46" s="62"/>
      <c r="AF46" s="62"/>
      <c r="AG46" s="62"/>
      <c r="AH46" s="62"/>
      <c r="AI46" s="62" t="s">
        <v>11</v>
      </c>
      <c r="AJ46" s="62" t="s">
        <v>11</v>
      </c>
      <c r="AK46" s="62" t="s">
        <v>11</v>
      </c>
      <c r="AL46" s="62"/>
      <c r="AM46" s="62"/>
      <c r="AN46" s="113"/>
      <c r="AO46" s="151">
        <f t="shared" si="0"/>
        <v>0</v>
      </c>
      <c r="AP46" s="35">
        <f t="shared" si="1"/>
        <v>4</v>
      </c>
      <c r="AQ46" s="36">
        <f t="shared" si="2"/>
        <v>1</v>
      </c>
      <c r="AR46" s="35">
        <f t="shared" si="3"/>
        <v>0</v>
      </c>
      <c r="AS46" s="36">
        <f t="shared" si="4"/>
        <v>0</v>
      </c>
      <c r="AT46" s="37">
        <f t="shared" si="5"/>
        <v>5</v>
      </c>
      <c r="AU46" s="129" t="s">
        <v>466</v>
      </c>
      <c r="AV46" s="38">
        <v>26</v>
      </c>
      <c r="AW46" s="39">
        <f t="shared" si="6"/>
        <v>0.192307692307692</v>
      </c>
    </row>
    <row r="47" s="105" customFormat="1" ht="20.15" customHeight="1" spans="1:49">
      <c r="A47" s="68">
        <v>36</v>
      </c>
      <c r="B47" s="159" t="s">
        <v>57</v>
      </c>
      <c r="C47" s="150" t="s">
        <v>16</v>
      </c>
      <c r="D47" s="149" t="s">
        <v>266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113"/>
      <c r="AO47" s="151">
        <f t="shared" si="0"/>
        <v>0</v>
      </c>
      <c r="AP47" s="35">
        <f t="shared" si="1"/>
        <v>0</v>
      </c>
      <c r="AQ47" s="36">
        <f t="shared" si="2"/>
        <v>0</v>
      </c>
      <c r="AR47" s="36">
        <f t="shared" si="3"/>
        <v>0</v>
      </c>
      <c r="AS47" s="36">
        <f t="shared" si="4"/>
        <v>0</v>
      </c>
      <c r="AT47" s="37">
        <f t="shared" si="5"/>
        <v>0</v>
      </c>
      <c r="AU47" s="43" t="s">
        <v>425</v>
      </c>
      <c r="AV47" s="38">
        <v>26</v>
      </c>
      <c r="AW47" s="39">
        <f t="shared" si="6"/>
        <v>0</v>
      </c>
    </row>
    <row r="48" s="105" customFormat="1" ht="19.5" customHeight="1" spans="1:49">
      <c r="A48" s="68">
        <v>37</v>
      </c>
      <c r="B48" s="149" t="s">
        <v>58</v>
      </c>
      <c r="C48" s="150" t="s">
        <v>59</v>
      </c>
      <c r="D48" s="149" t="s">
        <v>426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 t="s">
        <v>12</v>
      </c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113"/>
      <c r="AO48" s="151">
        <f t="shared" si="0"/>
        <v>0</v>
      </c>
      <c r="AP48" s="35">
        <f t="shared" si="1"/>
        <v>0</v>
      </c>
      <c r="AQ48" s="36">
        <f t="shared" si="2"/>
        <v>1</v>
      </c>
      <c r="AR48" s="35">
        <f t="shared" si="3"/>
        <v>0</v>
      </c>
      <c r="AS48" s="36">
        <f t="shared" si="4"/>
        <v>0</v>
      </c>
      <c r="AT48" s="37">
        <f t="shared" si="5"/>
        <v>1</v>
      </c>
      <c r="AU48" s="160" t="s">
        <v>427</v>
      </c>
      <c r="AV48" s="38">
        <v>26</v>
      </c>
      <c r="AW48" s="39">
        <f t="shared" si="6"/>
        <v>0.0384615384615385</v>
      </c>
    </row>
    <row r="49" s="105" customFormat="1" ht="19.5" customHeight="1" spans="1:49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113"/>
      <c r="AO49" s="151">
        <f t="shared" si="0"/>
        <v>0</v>
      </c>
      <c r="AP49" s="36">
        <f t="shared" si="1"/>
        <v>0</v>
      </c>
      <c r="AQ49" s="36">
        <f t="shared" si="2"/>
        <v>0</v>
      </c>
      <c r="AR49" s="36">
        <f t="shared" si="3"/>
        <v>0</v>
      </c>
      <c r="AS49" s="36">
        <f t="shared" si="4"/>
        <v>0</v>
      </c>
      <c r="AT49" s="37">
        <f t="shared" si="5"/>
        <v>0</v>
      </c>
      <c r="AU49" s="37"/>
      <c r="AV49" s="38">
        <v>26</v>
      </c>
      <c r="AW49" s="39">
        <f t="shared" si="6"/>
        <v>0</v>
      </c>
    </row>
    <row r="50" s="105" customFormat="1" ht="19.5" customHeight="1" spans="1:49">
      <c r="A50" s="68">
        <v>39</v>
      </c>
      <c r="B50" s="161" t="s">
        <v>62</v>
      </c>
      <c r="C50" s="150" t="s">
        <v>59</v>
      </c>
      <c r="D50" s="149" t="s">
        <v>342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113"/>
      <c r="AO50" s="151">
        <f t="shared" si="0"/>
        <v>0</v>
      </c>
      <c r="AP50" s="35">
        <f t="shared" si="1"/>
        <v>0</v>
      </c>
      <c r="AQ50" s="36">
        <f t="shared" si="2"/>
        <v>0</v>
      </c>
      <c r="AR50" s="36">
        <f t="shared" si="3"/>
        <v>0</v>
      </c>
      <c r="AS50" s="36">
        <f t="shared" si="4"/>
        <v>0</v>
      </c>
      <c r="AT50" s="37">
        <f t="shared" si="5"/>
        <v>0</v>
      </c>
      <c r="AU50" s="156" t="s">
        <v>275</v>
      </c>
      <c r="AV50" s="38">
        <v>26</v>
      </c>
      <c r="AW50" s="39">
        <f t="shared" si="6"/>
        <v>0</v>
      </c>
    </row>
    <row r="51" s="105" customFormat="1" ht="19.5" customHeight="1" spans="1:49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113"/>
      <c r="AO51" s="151">
        <f t="shared" si="0"/>
        <v>0</v>
      </c>
      <c r="AP51" s="35">
        <f t="shared" si="1"/>
        <v>0</v>
      </c>
      <c r="AQ51" s="35">
        <f t="shared" si="2"/>
        <v>0</v>
      </c>
      <c r="AR51" s="36">
        <f t="shared" si="3"/>
        <v>0</v>
      </c>
      <c r="AS51" s="36">
        <f t="shared" si="4"/>
        <v>0</v>
      </c>
      <c r="AT51" s="37">
        <f t="shared" si="5"/>
        <v>0</v>
      </c>
      <c r="AU51" s="37"/>
      <c r="AV51" s="38">
        <v>26</v>
      </c>
      <c r="AW51" s="39">
        <f t="shared" si="6"/>
        <v>0</v>
      </c>
    </row>
    <row r="52" s="105" customFormat="1" ht="19.5" customHeight="1" spans="1:49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62" t="s">
        <v>11</v>
      </c>
      <c r="F52" s="62" t="s">
        <v>11</v>
      </c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113"/>
      <c r="AO52" s="151">
        <f t="shared" si="0"/>
        <v>0</v>
      </c>
      <c r="AP52" s="35">
        <f t="shared" si="1"/>
        <v>2</v>
      </c>
      <c r="AQ52" s="36">
        <f t="shared" si="2"/>
        <v>0</v>
      </c>
      <c r="AR52" s="36">
        <f t="shared" si="3"/>
        <v>0</v>
      </c>
      <c r="AS52" s="36">
        <f t="shared" si="4"/>
        <v>0</v>
      </c>
      <c r="AT52" s="37">
        <f t="shared" si="5"/>
        <v>2</v>
      </c>
      <c r="AU52" s="37"/>
      <c r="AV52" s="38">
        <v>26</v>
      </c>
      <c r="AW52" s="39">
        <f t="shared" si="6"/>
        <v>0.0769230769230769</v>
      </c>
    </row>
    <row r="53" s="105" customFormat="1" ht="19.5" customHeight="1" spans="1:49">
      <c r="A53" s="68">
        <v>42</v>
      </c>
      <c r="B53" s="154" t="s">
        <v>65</v>
      </c>
      <c r="C53" s="150" t="s">
        <v>16</v>
      </c>
      <c r="D53" s="149" t="s">
        <v>236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113"/>
      <c r="AO53" s="151">
        <f t="shared" si="0"/>
        <v>0</v>
      </c>
      <c r="AP53" s="35">
        <f t="shared" si="1"/>
        <v>0</v>
      </c>
      <c r="AQ53" s="36">
        <f t="shared" si="2"/>
        <v>0</v>
      </c>
      <c r="AR53" s="36">
        <f t="shared" si="3"/>
        <v>0</v>
      </c>
      <c r="AS53" s="36">
        <f t="shared" si="4"/>
        <v>0</v>
      </c>
      <c r="AT53" s="37">
        <f t="shared" si="5"/>
        <v>0</v>
      </c>
      <c r="AU53" s="37"/>
      <c r="AV53" s="38">
        <v>26</v>
      </c>
      <c r="AW53" s="39">
        <f t="shared" si="6"/>
        <v>0</v>
      </c>
    </row>
    <row r="54" s="105" customFormat="1" ht="19.5" customHeight="1" spans="1:49">
      <c r="A54" s="68">
        <v>43</v>
      </c>
      <c r="B54" s="154" t="s">
        <v>66</v>
      </c>
      <c r="C54" s="150" t="s">
        <v>16</v>
      </c>
      <c r="D54" s="149" t="s">
        <v>242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 t="s">
        <v>11</v>
      </c>
      <c r="U54" s="62"/>
      <c r="V54" s="62"/>
      <c r="W54" s="62"/>
      <c r="X54" s="62"/>
      <c r="Y54" s="62"/>
      <c r="Z54" s="62" t="s">
        <v>11</v>
      </c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 t="s">
        <v>11</v>
      </c>
      <c r="AL54" s="62"/>
      <c r="AM54" s="62"/>
      <c r="AN54" s="113"/>
      <c r="AO54" s="151">
        <f t="shared" si="0"/>
        <v>0</v>
      </c>
      <c r="AP54" s="35">
        <f t="shared" si="1"/>
        <v>3</v>
      </c>
      <c r="AQ54" s="35">
        <f t="shared" si="2"/>
        <v>0</v>
      </c>
      <c r="AR54" s="47">
        <f t="shared" si="3"/>
        <v>0</v>
      </c>
      <c r="AS54" s="36">
        <f t="shared" si="4"/>
        <v>0</v>
      </c>
      <c r="AT54" s="37">
        <f t="shared" si="5"/>
        <v>3</v>
      </c>
      <c r="AU54" s="43" t="s">
        <v>382</v>
      </c>
      <c r="AV54" s="38">
        <v>26</v>
      </c>
      <c r="AW54" s="39">
        <f t="shared" si="6"/>
        <v>0.115384615384615</v>
      </c>
    </row>
    <row r="55" s="105" customFormat="1" ht="19.5" customHeight="1" spans="1:49">
      <c r="A55" s="68">
        <v>44</v>
      </c>
      <c r="B55" s="154" t="s">
        <v>385</v>
      </c>
      <c r="C55" s="150" t="s">
        <v>16</v>
      </c>
      <c r="D55" s="162" t="s">
        <v>180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 t="s">
        <v>13</v>
      </c>
      <c r="P55" s="62"/>
      <c r="Q55" s="62"/>
      <c r="R55" s="62"/>
      <c r="S55" s="62"/>
      <c r="T55" s="62" t="s">
        <v>12</v>
      </c>
      <c r="U55" s="62"/>
      <c r="V55" s="62" t="s">
        <v>13</v>
      </c>
      <c r="W55" s="62"/>
      <c r="X55" s="62" t="s">
        <v>11</v>
      </c>
      <c r="Y55" s="62" t="s">
        <v>11</v>
      </c>
      <c r="Z55" s="62" t="s">
        <v>11</v>
      </c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113"/>
      <c r="AO55" s="151">
        <f t="shared" si="0"/>
        <v>0</v>
      </c>
      <c r="AP55" s="35">
        <f t="shared" si="1"/>
        <v>3</v>
      </c>
      <c r="AQ55" s="36">
        <f t="shared" si="2"/>
        <v>1</v>
      </c>
      <c r="AR55" s="36">
        <f t="shared" si="3"/>
        <v>2</v>
      </c>
      <c r="AS55" s="36">
        <f t="shared" si="4"/>
        <v>0</v>
      </c>
      <c r="AT55" s="37">
        <f t="shared" si="5"/>
        <v>6</v>
      </c>
      <c r="AU55" s="43" t="s">
        <v>467</v>
      </c>
      <c r="AV55" s="38">
        <v>26</v>
      </c>
      <c r="AW55" s="39">
        <f t="shared" si="6"/>
        <v>0.230769230769231</v>
      </c>
    </row>
    <row r="56" s="105" customFormat="1" ht="19.5" customHeight="1" spans="1:49">
      <c r="A56" s="68">
        <v>45</v>
      </c>
      <c r="B56" s="154" t="s">
        <v>68</v>
      </c>
      <c r="C56" s="150" t="s">
        <v>16</v>
      </c>
      <c r="D56" s="152" t="s">
        <v>205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113"/>
      <c r="AO56" s="151">
        <f t="shared" si="0"/>
        <v>0</v>
      </c>
      <c r="AP56" s="35">
        <f t="shared" si="1"/>
        <v>0</v>
      </c>
      <c r="AQ56" s="36">
        <f t="shared" si="2"/>
        <v>0</v>
      </c>
      <c r="AR56" s="35">
        <f t="shared" si="3"/>
        <v>0</v>
      </c>
      <c r="AS56" s="36">
        <f t="shared" si="4"/>
        <v>0</v>
      </c>
      <c r="AT56" s="37">
        <f t="shared" si="5"/>
        <v>0</v>
      </c>
      <c r="AU56" s="37" t="s">
        <v>272</v>
      </c>
      <c r="AV56" s="38">
        <v>26</v>
      </c>
      <c r="AW56" s="39">
        <f t="shared" si="6"/>
        <v>0</v>
      </c>
    </row>
    <row r="57" s="105" customFormat="1" ht="19.5" customHeight="1" spans="1:49">
      <c r="A57" s="68">
        <v>46</v>
      </c>
      <c r="B57" s="154" t="s">
        <v>69</v>
      </c>
      <c r="C57" s="150" t="s">
        <v>16</v>
      </c>
      <c r="D57" s="149" t="s">
        <v>344</v>
      </c>
      <c r="E57" s="62"/>
      <c r="F57" s="62" t="s">
        <v>11</v>
      </c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 t="s">
        <v>11</v>
      </c>
      <c r="R57" s="62" t="s">
        <v>11</v>
      </c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113"/>
      <c r="AO57" s="151">
        <f t="shared" si="0"/>
        <v>0</v>
      </c>
      <c r="AP57" s="35">
        <f t="shared" si="1"/>
        <v>3</v>
      </c>
      <c r="AQ57" s="36">
        <f t="shared" si="2"/>
        <v>0</v>
      </c>
      <c r="AR57" s="36">
        <f t="shared" si="3"/>
        <v>0</v>
      </c>
      <c r="AS57" s="36">
        <f t="shared" si="4"/>
        <v>0</v>
      </c>
      <c r="AT57" s="37">
        <f t="shared" si="5"/>
        <v>3</v>
      </c>
      <c r="AU57" s="43" t="s">
        <v>193</v>
      </c>
      <c r="AV57" s="38">
        <v>26</v>
      </c>
      <c r="AW57" s="39">
        <f t="shared" si="6"/>
        <v>0.115384615384615</v>
      </c>
    </row>
    <row r="58" s="105" customFormat="1" ht="19.5" customHeight="1" spans="1:49">
      <c r="A58" s="68">
        <v>47</v>
      </c>
      <c r="B58" s="154" t="s">
        <v>468</v>
      </c>
      <c r="C58" s="150" t="s">
        <v>16</v>
      </c>
      <c r="D58" s="15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 t="s">
        <v>11</v>
      </c>
      <c r="V58" s="62"/>
      <c r="W58" s="62"/>
      <c r="X58" s="62"/>
      <c r="Y58" s="62"/>
      <c r="Z58" s="62"/>
      <c r="AA58" s="62"/>
      <c r="AB58" s="62"/>
      <c r="AC58" s="62"/>
      <c r="AD58" s="62"/>
      <c r="AE58" s="62" t="s">
        <v>13</v>
      </c>
      <c r="AF58" s="62"/>
      <c r="AG58" s="62"/>
      <c r="AH58" s="62"/>
      <c r="AI58" s="62"/>
      <c r="AJ58" s="62"/>
      <c r="AK58" s="62"/>
      <c r="AL58" s="62"/>
      <c r="AM58" s="62"/>
      <c r="AN58" s="113"/>
      <c r="AO58" s="151">
        <f t="shared" si="0"/>
        <v>0</v>
      </c>
      <c r="AP58" s="35">
        <f t="shared" si="1"/>
        <v>1</v>
      </c>
      <c r="AQ58" s="36">
        <f t="shared" si="2"/>
        <v>0</v>
      </c>
      <c r="AR58" s="36">
        <f t="shared" si="3"/>
        <v>1</v>
      </c>
      <c r="AS58" s="36">
        <f t="shared" si="4"/>
        <v>0</v>
      </c>
      <c r="AT58" s="37">
        <f t="shared" si="5"/>
        <v>2</v>
      </c>
      <c r="AU58" s="43" t="s">
        <v>336</v>
      </c>
      <c r="AV58" s="38">
        <v>26</v>
      </c>
      <c r="AW58" s="39">
        <f t="shared" si="6"/>
        <v>0.0769230769230769</v>
      </c>
    </row>
    <row r="59" s="105" customFormat="1" ht="19.5" customHeight="1" spans="1:49">
      <c r="A59" s="68">
        <v>48</v>
      </c>
      <c r="B59" s="154" t="s">
        <v>71</v>
      </c>
      <c r="C59" s="150" t="s">
        <v>59</v>
      </c>
      <c r="D59" s="149" t="str">
        <f>VLOOKUP(B59,'[1]MASTER DATA 2025'!$C$3:$E$279,3,0)</f>
        <v>0Tahun5 Bulan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113"/>
      <c r="AO59" s="151">
        <f t="shared" si="0"/>
        <v>0</v>
      </c>
      <c r="AP59" s="35">
        <f t="shared" si="1"/>
        <v>0</v>
      </c>
      <c r="AQ59" s="36">
        <f t="shared" si="2"/>
        <v>0</v>
      </c>
      <c r="AR59" s="36">
        <f t="shared" si="3"/>
        <v>0</v>
      </c>
      <c r="AS59" s="36">
        <f t="shared" si="4"/>
        <v>0</v>
      </c>
      <c r="AT59" s="37">
        <f t="shared" si="5"/>
        <v>0</v>
      </c>
      <c r="AU59" s="37" t="s">
        <v>25</v>
      </c>
      <c r="AV59" s="38">
        <v>26</v>
      </c>
      <c r="AW59" s="39">
        <f t="shared" si="6"/>
        <v>0</v>
      </c>
    </row>
    <row r="60" s="105" customFormat="1" ht="19.5" customHeight="1" spans="1:49">
      <c r="A60" s="68">
        <v>49</v>
      </c>
      <c r="B60" s="154" t="s">
        <v>72</v>
      </c>
      <c r="C60" s="163" t="s">
        <v>16</v>
      </c>
      <c r="D60" s="149" t="s">
        <v>153</v>
      </c>
      <c r="E60" s="62"/>
      <c r="F60" s="62"/>
      <c r="G60" s="62"/>
      <c r="H60" s="62"/>
      <c r="I60" s="62"/>
      <c r="J60" s="62" t="s">
        <v>11</v>
      </c>
      <c r="K60" s="62"/>
      <c r="L60" s="62"/>
      <c r="M60" s="62"/>
      <c r="N60" s="62" t="s">
        <v>13</v>
      </c>
      <c r="O60" s="62" t="s">
        <v>11</v>
      </c>
      <c r="P60" s="62"/>
      <c r="Q60" s="62"/>
      <c r="R60" s="62" t="s">
        <v>13</v>
      </c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113"/>
      <c r="AO60" s="151">
        <f t="shared" si="0"/>
        <v>0</v>
      </c>
      <c r="AP60" s="35">
        <f t="shared" si="1"/>
        <v>2</v>
      </c>
      <c r="AQ60" s="36">
        <f t="shared" si="2"/>
        <v>0</v>
      </c>
      <c r="AR60" s="35">
        <f t="shared" si="3"/>
        <v>2</v>
      </c>
      <c r="AS60" s="36">
        <f t="shared" si="4"/>
        <v>0</v>
      </c>
      <c r="AT60" s="37">
        <f t="shared" si="5"/>
        <v>4</v>
      </c>
      <c r="AU60" s="43" t="s">
        <v>193</v>
      </c>
      <c r="AV60" s="38">
        <v>26</v>
      </c>
      <c r="AW60" s="39">
        <f t="shared" si="6"/>
        <v>0.153846153846154</v>
      </c>
    </row>
    <row r="61" s="105" customFormat="1" ht="19.5" customHeight="1" spans="1:49">
      <c r="A61" s="68">
        <v>50</v>
      </c>
      <c r="B61" s="154" t="s">
        <v>73</v>
      </c>
      <c r="C61" s="150" t="s">
        <v>16</v>
      </c>
      <c r="D61" s="152" t="s">
        <v>268</v>
      </c>
      <c r="E61" s="62"/>
      <c r="F61" s="62"/>
      <c r="G61" s="62"/>
      <c r="H61" s="62"/>
      <c r="I61" s="62"/>
      <c r="J61" s="62"/>
      <c r="K61" s="62"/>
      <c r="L61" s="62"/>
      <c r="M61" s="62"/>
      <c r="N61" s="62" t="s">
        <v>11</v>
      </c>
      <c r="O61" s="62" t="s">
        <v>13</v>
      </c>
      <c r="P61" s="62"/>
      <c r="Q61" s="62"/>
      <c r="R61" s="62"/>
      <c r="S61" s="62"/>
      <c r="T61" s="62" t="s">
        <v>13</v>
      </c>
      <c r="U61" s="62"/>
      <c r="V61" s="62" t="s">
        <v>11</v>
      </c>
      <c r="W61" s="62" t="s">
        <v>13</v>
      </c>
      <c r="X61" s="62" t="s">
        <v>12</v>
      </c>
      <c r="Y61" s="62" t="s">
        <v>13</v>
      </c>
      <c r="Z61" s="62"/>
      <c r="AA61" s="62" t="s">
        <v>12</v>
      </c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113"/>
      <c r="AO61" s="151">
        <f t="shared" si="0"/>
        <v>0</v>
      </c>
      <c r="AP61" s="35">
        <f t="shared" si="1"/>
        <v>2</v>
      </c>
      <c r="AQ61" s="36">
        <f t="shared" si="2"/>
        <v>2</v>
      </c>
      <c r="AR61" s="35">
        <f t="shared" si="3"/>
        <v>4</v>
      </c>
      <c r="AS61" s="36">
        <f t="shared" si="4"/>
        <v>0</v>
      </c>
      <c r="AT61" s="37">
        <f t="shared" si="5"/>
        <v>8</v>
      </c>
      <c r="AU61" s="43" t="s">
        <v>193</v>
      </c>
      <c r="AV61" s="38">
        <v>26</v>
      </c>
      <c r="AW61" s="39">
        <f t="shared" si="6"/>
        <v>0.307692307692308</v>
      </c>
    </row>
    <row r="62" s="105" customFormat="1" ht="19.5" customHeight="1" spans="1:49">
      <c r="A62" s="68">
        <v>51</v>
      </c>
      <c r="B62" s="154" t="s">
        <v>74</v>
      </c>
      <c r="C62" s="150" t="s">
        <v>16</v>
      </c>
      <c r="D62" s="149" t="s">
        <v>267</v>
      </c>
      <c r="E62" s="62"/>
      <c r="F62" s="62"/>
      <c r="G62" s="62"/>
      <c r="H62" s="62"/>
      <c r="I62" s="62"/>
      <c r="J62" s="62"/>
      <c r="K62" s="172"/>
      <c r="L62" s="172"/>
      <c r="M62" s="172"/>
      <c r="N62" s="172"/>
      <c r="O62" s="172" t="s">
        <v>11</v>
      </c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 t="s">
        <v>11</v>
      </c>
      <c r="AE62" s="62"/>
      <c r="AF62" s="62"/>
      <c r="AG62" s="62"/>
      <c r="AH62" s="62"/>
      <c r="AI62" s="62"/>
      <c r="AJ62" s="62"/>
      <c r="AK62" s="62"/>
      <c r="AL62" s="62" t="s">
        <v>11</v>
      </c>
      <c r="AM62" s="62"/>
      <c r="AN62" s="113"/>
      <c r="AO62" s="151">
        <f t="shared" si="0"/>
        <v>0</v>
      </c>
      <c r="AP62" s="131">
        <f t="shared" si="1"/>
        <v>3</v>
      </c>
      <c r="AQ62" s="103">
        <f t="shared" si="2"/>
        <v>0</v>
      </c>
      <c r="AR62" s="103">
        <f t="shared" si="3"/>
        <v>0</v>
      </c>
      <c r="AS62" s="103">
        <f t="shared" si="4"/>
        <v>0</v>
      </c>
      <c r="AT62" s="128">
        <f t="shared" si="5"/>
        <v>3</v>
      </c>
      <c r="AU62" s="147" t="s">
        <v>428</v>
      </c>
      <c r="AV62" s="38">
        <v>26</v>
      </c>
      <c r="AW62" s="39">
        <f t="shared" si="6"/>
        <v>0.115384615384615</v>
      </c>
    </row>
    <row r="63" s="105" customFormat="1" ht="19.5" customHeight="1" spans="1:49">
      <c r="A63" s="68">
        <v>52</v>
      </c>
      <c r="B63" s="154" t="s">
        <v>75</v>
      </c>
      <c r="C63" s="150" t="s">
        <v>16</v>
      </c>
      <c r="D63" s="149" t="s">
        <v>153</v>
      </c>
      <c r="E63" s="62"/>
      <c r="F63" s="62"/>
      <c r="G63" s="62"/>
      <c r="H63" s="62"/>
      <c r="I63" s="62"/>
      <c r="J63" s="236"/>
      <c r="K63" s="236"/>
      <c r="L63" s="236"/>
      <c r="M63" s="236" t="s">
        <v>103</v>
      </c>
      <c r="N63" s="180"/>
      <c r="O63" s="180"/>
      <c r="P63" s="237"/>
      <c r="Q63" s="62"/>
      <c r="R63" s="62"/>
      <c r="S63" s="62"/>
      <c r="T63" s="62"/>
      <c r="U63" s="62" t="s">
        <v>12</v>
      </c>
      <c r="V63" s="62"/>
      <c r="W63" s="62"/>
      <c r="X63" s="62"/>
      <c r="Y63" s="62" t="s">
        <v>12</v>
      </c>
      <c r="Z63" s="62"/>
      <c r="AA63" s="62"/>
      <c r="AB63" s="62"/>
      <c r="AC63" s="62"/>
      <c r="AD63" s="62"/>
      <c r="AE63" s="62"/>
      <c r="AF63" s="62"/>
      <c r="AG63" s="62"/>
      <c r="AH63" s="62" t="s">
        <v>11</v>
      </c>
      <c r="AI63" s="62"/>
      <c r="AJ63" s="62"/>
      <c r="AK63" s="62"/>
      <c r="AL63" s="62"/>
      <c r="AM63" s="62"/>
      <c r="AN63" s="113"/>
      <c r="AO63" s="151">
        <f t="shared" si="0"/>
        <v>0</v>
      </c>
      <c r="AP63" s="43">
        <f t="shared" si="1"/>
        <v>1</v>
      </c>
      <c r="AQ63" s="43">
        <f t="shared" si="2"/>
        <v>3</v>
      </c>
      <c r="AR63" s="66">
        <f t="shared" si="3"/>
        <v>0</v>
      </c>
      <c r="AS63" s="66">
        <f t="shared" si="4"/>
        <v>0</v>
      </c>
      <c r="AT63" s="43">
        <f t="shared" si="5"/>
        <v>4</v>
      </c>
      <c r="AU63" s="43" t="s">
        <v>429</v>
      </c>
      <c r="AV63" s="68">
        <v>26</v>
      </c>
      <c r="AW63" s="39">
        <f t="shared" si="6"/>
        <v>0.153846153846154</v>
      </c>
    </row>
    <row r="64" s="105" customFormat="1" ht="19.5" customHeight="1" spans="1:49">
      <c r="A64" s="68">
        <v>53</v>
      </c>
      <c r="B64" s="154" t="s">
        <v>76</v>
      </c>
      <c r="C64" s="150" t="s">
        <v>59</v>
      </c>
      <c r="D64" s="152" t="s">
        <v>236</v>
      </c>
      <c r="E64" s="62"/>
      <c r="F64" s="62"/>
      <c r="G64" s="62"/>
      <c r="H64" s="62"/>
      <c r="I64" s="62"/>
      <c r="J64" s="62"/>
      <c r="K64" s="238"/>
      <c r="L64" s="238"/>
      <c r="M64" s="238"/>
      <c r="N64" s="238"/>
      <c r="O64" s="238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113"/>
      <c r="AO64" s="151">
        <f t="shared" si="0"/>
        <v>0</v>
      </c>
      <c r="AP64" s="35">
        <f t="shared" si="1"/>
        <v>0</v>
      </c>
      <c r="AQ64" s="36">
        <f t="shared" si="2"/>
        <v>0</v>
      </c>
      <c r="AR64" s="36">
        <f t="shared" si="3"/>
        <v>0</v>
      </c>
      <c r="AS64" s="36">
        <f t="shared" si="4"/>
        <v>0</v>
      </c>
      <c r="AT64" s="35">
        <f t="shared" si="5"/>
        <v>0</v>
      </c>
      <c r="AU64" s="43" t="s">
        <v>430</v>
      </c>
      <c r="AV64" s="38">
        <v>26</v>
      </c>
      <c r="AW64" s="39">
        <f t="shared" si="6"/>
        <v>0</v>
      </c>
    </row>
    <row r="65" s="105" customFormat="1" ht="19.5" customHeight="1" spans="1:49">
      <c r="A65" s="68">
        <v>54</v>
      </c>
      <c r="B65" s="154" t="s">
        <v>77</v>
      </c>
      <c r="C65" s="150" t="s">
        <v>16</v>
      </c>
      <c r="D65" s="152" t="s">
        <v>338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 t="s">
        <v>11</v>
      </c>
      <c r="R65" s="62"/>
      <c r="S65" s="62"/>
      <c r="T65" s="62"/>
      <c r="U65" s="62"/>
      <c r="V65" s="62"/>
      <c r="W65" s="62"/>
      <c r="X65" s="62" t="s">
        <v>12</v>
      </c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113"/>
      <c r="AO65" s="151">
        <f t="shared" si="0"/>
        <v>0</v>
      </c>
      <c r="AP65" s="35">
        <f t="shared" si="1"/>
        <v>1</v>
      </c>
      <c r="AQ65" s="36">
        <f t="shared" si="2"/>
        <v>1</v>
      </c>
      <c r="AR65" s="36">
        <f t="shared" si="3"/>
        <v>0</v>
      </c>
      <c r="AS65" s="36">
        <f t="shared" si="4"/>
        <v>0</v>
      </c>
      <c r="AT65" s="37">
        <f t="shared" si="5"/>
        <v>2</v>
      </c>
      <c r="AU65" s="43" t="s">
        <v>193</v>
      </c>
      <c r="AV65" s="38">
        <v>26</v>
      </c>
      <c r="AW65" s="39">
        <f t="shared" si="6"/>
        <v>0.0769230769230769</v>
      </c>
    </row>
    <row r="66" s="105" customFormat="1" ht="19.5" customHeight="1" spans="1:49">
      <c r="A66" s="68">
        <v>55</v>
      </c>
      <c r="B66" s="154" t="s">
        <v>78</v>
      </c>
      <c r="C66" s="150" t="s">
        <v>16</v>
      </c>
      <c r="D66" s="152" t="s">
        <v>274</v>
      </c>
      <c r="E66" s="62"/>
      <c r="F66" s="62"/>
      <c r="G66" s="62"/>
      <c r="H66" s="62"/>
      <c r="I66" s="62"/>
      <c r="J66" s="62"/>
      <c r="K66" s="62"/>
      <c r="L66" s="62"/>
      <c r="M66" s="62"/>
      <c r="N66" s="62" t="s">
        <v>11</v>
      </c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113"/>
      <c r="AO66" s="151">
        <f t="shared" si="0"/>
        <v>0</v>
      </c>
      <c r="AP66" s="35">
        <f t="shared" si="1"/>
        <v>1</v>
      </c>
      <c r="AQ66" s="36">
        <f t="shared" si="2"/>
        <v>0</v>
      </c>
      <c r="AR66" s="36">
        <f t="shared" si="3"/>
        <v>0</v>
      </c>
      <c r="AS66" s="36">
        <f t="shared" si="4"/>
        <v>0</v>
      </c>
      <c r="AT66" s="37">
        <f t="shared" si="5"/>
        <v>1</v>
      </c>
      <c r="AU66" s="43" t="s">
        <v>431</v>
      </c>
      <c r="AV66" s="38">
        <v>26</v>
      </c>
      <c r="AW66" s="39">
        <f t="shared" si="6"/>
        <v>0.0384615384615385</v>
      </c>
    </row>
    <row r="67" s="105" customFormat="1" ht="19.5" customHeight="1" spans="1:49">
      <c r="A67" s="68">
        <v>56</v>
      </c>
      <c r="B67" s="154" t="s">
        <v>79</v>
      </c>
      <c r="C67" s="150" t="s">
        <v>16</v>
      </c>
      <c r="D67" s="152" t="s">
        <v>277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113"/>
      <c r="AO67" s="151">
        <f t="shared" si="0"/>
        <v>0</v>
      </c>
      <c r="AP67" s="35">
        <f t="shared" si="1"/>
        <v>0</v>
      </c>
      <c r="AQ67" s="36">
        <f t="shared" si="2"/>
        <v>0</v>
      </c>
      <c r="AR67" s="36">
        <f t="shared" si="3"/>
        <v>0</v>
      </c>
      <c r="AS67" s="36">
        <f t="shared" si="4"/>
        <v>0</v>
      </c>
      <c r="AT67" s="37">
        <f t="shared" si="5"/>
        <v>0</v>
      </c>
      <c r="AU67" s="160" t="s">
        <v>388</v>
      </c>
      <c r="AV67" s="38">
        <v>26</v>
      </c>
      <c r="AW67" s="39">
        <f t="shared" si="6"/>
        <v>0</v>
      </c>
    </row>
    <row r="68" s="105" customFormat="1" ht="19.5" customHeight="1" spans="1:49">
      <c r="A68" s="68">
        <v>57</v>
      </c>
      <c r="B68" s="154" t="s">
        <v>469</v>
      </c>
      <c r="C68" s="150" t="s">
        <v>59</v>
      </c>
      <c r="D68" s="149" t="s">
        <v>178</v>
      </c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 t="s">
        <v>11</v>
      </c>
      <c r="AA68" s="62"/>
      <c r="AB68" s="62"/>
      <c r="AC68" s="62"/>
      <c r="AD68" s="62" t="s">
        <v>11</v>
      </c>
      <c r="AE68" s="62"/>
      <c r="AF68" s="62"/>
      <c r="AG68" s="62"/>
      <c r="AH68" s="62"/>
      <c r="AI68" s="62"/>
      <c r="AJ68" s="62"/>
      <c r="AK68" s="62" t="s">
        <v>13</v>
      </c>
      <c r="AL68" s="62" t="s">
        <v>13</v>
      </c>
      <c r="AM68" s="62"/>
      <c r="AN68" s="113"/>
      <c r="AO68" s="151">
        <f t="shared" si="0"/>
        <v>0</v>
      </c>
      <c r="AP68" s="35">
        <f t="shared" si="1"/>
        <v>2</v>
      </c>
      <c r="AQ68" s="35">
        <f t="shared" si="2"/>
        <v>0</v>
      </c>
      <c r="AR68" s="47">
        <f t="shared" si="3"/>
        <v>2</v>
      </c>
      <c r="AS68" s="36">
        <f t="shared" si="4"/>
        <v>0</v>
      </c>
      <c r="AT68" s="37">
        <f t="shared" si="5"/>
        <v>4</v>
      </c>
      <c r="AU68" s="49" t="s">
        <v>193</v>
      </c>
      <c r="AV68" s="38">
        <v>26</v>
      </c>
      <c r="AW68" s="39">
        <f t="shared" si="6"/>
        <v>0.153846153846154</v>
      </c>
    </row>
    <row r="69" s="105" customFormat="1" ht="19.5" customHeight="1" spans="1:49">
      <c r="A69" s="68">
        <v>58</v>
      </c>
      <c r="B69" s="154" t="s">
        <v>81</v>
      </c>
      <c r="C69" s="150" t="s">
        <v>16</v>
      </c>
      <c r="D69" s="152" t="s">
        <v>340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113"/>
      <c r="AO69" s="151">
        <f t="shared" si="0"/>
        <v>0</v>
      </c>
      <c r="AP69" s="35">
        <f t="shared" si="1"/>
        <v>0</v>
      </c>
      <c r="AQ69" s="36">
        <f t="shared" si="2"/>
        <v>0</v>
      </c>
      <c r="AR69" s="36">
        <f t="shared" si="3"/>
        <v>0</v>
      </c>
      <c r="AS69" s="36">
        <f t="shared" si="4"/>
        <v>0</v>
      </c>
      <c r="AT69" s="37">
        <f t="shared" si="5"/>
        <v>0</v>
      </c>
      <c r="AU69" s="43" t="s">
        <v>193</v>
      </c>
      <c r="AV69" s="38">
        <v>26</v>
      </c>
      <c r="AW69" s="39">
        <f t="shared" si="6"/>
        <v>0</v>
      </c>
    </row>
    <row r="70" s="105" customFormat="1" ht="19.5" customHeight="1" spans="1:49">
      <c r="A70" s="68">
        <v>59</v>
      </c>
      <c r="B70" s="154" t="s">
        <v>432</v>
      </c>
      <c r="C70" s="150" t="s">
        <v>59</v>
      </c>
      <c r="D70" s="149" t="s">
        <v>178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113"/>
      <c r="AO70" s="151">
        <f t="shared" si="0"/>
        <v>0</v>
      </c>
      <c r="AP70" s="35">
        <f t="shared" si="1"/>
        <v>0</v>
      </c>
      <c r="AQ70" s="35">
        <f t="shared" si="2"/>
        <v>0</v>
      </c>
      <c r="AR70" s="47">
        <f t="shared" si="3"/>
        <v>0</v>
      </c>
      <c r="AS70" s="36">
        <f t="shared" si="4"/>
        <v>0</v>
      </c>
      <c r="AT70" s="37">
        <f t="shared" si="5"/>
        <v>0</v>
      </c>
      <c r="AU70" s="43" t="s">
        <v>433</v>
      </c>
      <c r="AV70" s="38">
        <v>26</v>
      </c>
      <c r="AW70" s="39">
        <f t="shared" si="6"/>
        <v>0</v>
      </c>
    </row>
    <row r="71" s="105" customFormat="1" ht="19.5" customHeight="1" spans="1:49">
      <c r="A71" s="68">
        <v>60</v>
      </c>
      <c r="B71" s="154" t="s">
        <v>83</v>
      </c>
      <c r="C71" s="150" t="s">
        <v>16</v>
      </c>
      <c r="D71" s="149" t="str">
        <f>VLOOKUP(B71,'[1]MASTER DATA 2025'!$C$3:$E$279,3,0)</f>
        <v>2Tahun1 Bulan</v>
      </c>
      <c r="E71" s="62"/>
      <c r="F71" s="62"/>
      <c r="G71" s="62"/>
      <c r="H71" s="62"/>
      <c r="I71" s="62"/>
      <c r="J71" s="62"/>
      <c r="K71" s="172"/>
      <c r="L71" s="172"/>
      <c r="M71" s="172"/>
      <c r="N71" s="172"/>
      <c r="O71" s="17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 t="s">
        <v>11</v>
      </c>
      <c r="AF71" s="62"/>
      <c r="AG71" s="62"/>
      <c r="AH71" s="62"/>
      <c r="AI71" s="62"/>
      <c r="AJ71" s="62"/>
      <c r="AK71" s="62"/>
      <c r="AL71" s="62"/>
      <c r="AM71" s="62"/>
      <c r="AN71" s="113"/>
      <c r="AO71" s="151">
        <f t="shared" si="0"/>
        <v>0</v>
      </c>
      <c r="AP71" s="131">
        <f t="shared" si="1"/>
        <v>1</v>
      </c>
      <c r="AQ71" s="103">
        <f t="shared" si="2"/>
        <v>0</v>
      </c>
      <c r="AR71" s="103">
        <f t="shared" si="3"/>
        <v>0</v>
      </c>
      <c r="AS71" s="103">
        <f t="shared" si="4"/>
        <v>0</v>
      </c>
      <c r="AT71" s="128">
        <f t="shared" si="5"/>
        <v>1</v>
      </c>
      <c r="AU71" s="128"/>
      <c r="AV71" s="38">
        <v>26</v>
      </c>
      <c r="AW71" s="39">
        <f t="shared" si="6"/>
        <v>0.0384615384615385</v>
      </c>
    </row>
    <row r="72" s="105" customFormat="1" ht="19.5" customHeight="1" spans="1:49">
      <c r="A72" s="68">
        <v>61</v>
      </c>
      <c r="B72" s="154" t="s">
        <v>84</v>
      </c>
      <c r="C72" s="150" t="s">
        <v>59</v>
      </c>
      <c r="D72" s="149" t="s">
        <v>196</v>
      </c>
      <c r="E72" s="62"/>
      <c r="F72" s="62"/>
      <c r="G72" s="62"/>
      <c r="H72" s="62"/>
      <c r="I72" s="62"/>
      <c r="J72" s="236"/>
      <c r="K72" s="236"/>
      <c r="L72" s="236"/>
      <c r="M72" s="236"/>
      <c r="N72" s="180"/>
      <c r="O72" s="180"/>
      <c r="P72" s="237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113"/>
      <c r="AO72" s="151">
        <f t="shared" si="0"/>
        <v>0</v>
      </c>
      <c r="AP72" s="43">
        <f t="shared" si="1"/>
        <v>0</v>
      </c>
      <c r="AQ72" s="66">
        <f t="shared" si="2"/>
        <v>0</v>
      </c>
      <c r="AR72" s="66">
        <f t="shared" si="3"/>
        <v>0</v>
      </c>
      <c r="AS72" s="66">
        <f t="shared" si="4"/>
        <v>0</v>
      </c>
      <c r="AT72" s="43">
        <f t="shared" si="5"/>
        <v>0</v>
      </c>
      <c r="AU72" s="43" t="s">
        <v>434</v>
      </c>
      <c r="AV72" s="68">
        <v>26</v>
      </c>
      <c r="AW72" s="39">
        <f t="shared" si="6"/>
        <v>0</v>
      </c>
    </row>
    <row r="73" s="105" customFormat="1" ht="19.5" customHeight="1" spans="1:49">
      <c r="A73" s="68">
        <v>62</v>
      </c>
      <c r="B73" s="154" t="s">
        <v>85</v>
      </c>
      <c r="C73" s="150" t="s">
        <v>59</v>
      </c>
      <c r="D73" s="149" t="str">
        <f>VLOOKUP(B73,'[1]MASTER DATA 2025'!$C$3:$E$279,3,0)</f>
        <v>1Tahun3 Bulan</v>
      </c>
      <c r="E73" s="62"/>
      <c r="F73" s="62"/>
      <c r="G73" s="62"/>
      <c r="H73" s="62"/>
      <c r="I73" s="62"/>
      <c r="J73" s="62"/>
      <c r="K73" s="238"/>
      <c r="L73" s="238"/>
      <c r="M73" s="238"/>
      <c r="N73" s="238"/>
      <c r="O73" s="238"/>
      <c r="P73" s="62"/>
      <c r="Q73" s="62"/>
      <c r="R73" s="62"/>
      <c r="S73" s="62"/>
      <c r="T73" s="62" t="s">
        <v>11</v>
      </c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113"/>
      <c r="AO73" s="151">
        <f t="shared" si="0"/>
        <v>0</v>
      </c>
      <c r="AP73" s="35">
        <f t="shared" si="1"/>
        <v>1</v>
      </c>
      <c r="AQ73" s="35">
        <f t="shared" si="2"/>
        <v>0</v>
      </c>
      <c r="AR73" s="47">
        <f t="shared" si="3"/>
        <v>0</v>
      </c>
      <c r="AS73" s="36">
        <f t="shared" si="4"/>
        <v>0</v>
      </c>
      <c r="AT73" s="35">
        <f t="shared" si="5"/>
        <v>1</v>
      </c>
      <c r="AU73" s="43" t="s">
        <v>382</v>
      </c>
      <c r="AV73" s="38">
        <v>26</v>
      </c>
      <c r="AW73" s="39">
        <f t="shared" si="6"/>
        <v>0.0384615384615385</v>
      </c>
    </row>
    <row r="74" s="105" customFormat="1" ht="19.5" customHeight="1" spans="1:49">
      <c r="A74" s="68">
        <v>63</v>
      </c>
      <c r="B74" s="154" t="s">
        <v>86</v>
      </c>
      <c r="C74" s="150" t="s">
        <v>59</v>
      </c>
      <c r="D74" s="149" t="s">
        <v>349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 t="s">
        <v>11</v>
      </c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113"/>
      <c r="AO74" s="151">
        <f t="shared" si="0"/>
        <v>0</v>
      </c>
      <c r="AP74" s="35">
        <f t="shared" si="1"/>
        <v>1</v>
      </c>
      <c r="AQ74" s="35">
        <f t="shared" si="2"/>
        <v>0</v>
      </c>
      <c r="AR74" s="36">
        <f t="shared" si="3"/>
        <v>0</v>
      </c>
      <c r="AS74" s="36">
        <f t="shared" si="4"/>
        <v>0</v>
      </c>
      <c r="AT74" s="37">
        <f t="shared" si="5"/>
        <v>1</v>
      </c>
      <c r="AU74" s="43" t="s">
        <v>389</v>
      </c>
      <c r="AV74" s="38">
        <v>26</v>
      </c>
      <c r="AW74" s="39">
        <f t="shared" si="6"/>
        <v>0.0384615384615385</v>
      </c>
    </row>
    <row r="75" s="105" customFormat="1" ht="19.5" customHeight="1" spans="1:49">
      <c r="A75" s="68">
        <v>65</v>
      </c>
      <c r="B75" s="154" t="s">
        <v>88</v>
      </c>
      <c r="C75" s="150" t="s">
        <v>16</v>
      </c>
      <c r="D75" s="152" t="s">
        <v>250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113"/>
      <c r="AO75" s="151">
        <f t="shared" si="0"/>
        <v>0</v>
      </c>
      <c r="AP75" s="35">
        <f t="shared" si="1"/>
        <v>0</v>
      </c>
      <c r="AQ75" s="36">
        <f t="shared" si="2"/>
        <v>0</v>
      </c>
      <c r="AR75" s="35">
        <f t="shared" si="3"/>
        <v>0</v>
      </c>
      <c r="AS75" s="36">
        <f t="shared" si="4"/>
        <v>0</v>
      </c>
      <c r="AT75" s="37">
        <f t="shared" si="5"/>
        <v>0</v>
      </c>
      <c r="AU75" s="37" t="s">
        <v>390</v>
      </c>
      <c r="AV75" s="38">
        <v>26</v>
      </c>
      <c r="AW75" s="39">
        <f t="shared" si="6"/>
        <v>0</v>
      </c>
    </row>
    <row r="76" s="105" customFormat="1" ht="19.5" customHeight="1" spans="1:49">
      <c r="A76" s="68">
        <v>66</v>
      </c>
      <c r="B76" s="154" t="s">
        <v>89</v>
      </c>
      <c r="C76" s="150" t="s">
        <v>16</v>
      </c>
      <c r="D76" s="149" t="str">
        <f>VLOOKUP(B76,'[1]MASTER DATA 2025'!$C$3:$E$279,3,0)</f>
        <v>0Tahun2 Bulan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113"/>
      <c r="AO76" s="151">
        <f t="shared" ref="AO76:AO139" si="7">COUNTIF(E76:AM76,"H")</f>
        <v>0</v>
      </c>
      <c r="AP76" s="35">
        <f t="shared" ref="AP76:AP139" si="8">COUNTIF(E76:AM76,"S")</f>
        <v>0</v>
      </c>
      <c r="AQ76" s="36">
        <f t="shared" ref="AQ76:AQ139" si="9">COUNTIF(E76:AM76,"I")</f>
        <v>0</v>
      </c>
      <c r="AR76" s="35">
        <f t="shared" ref="AR76:AR139" si="10">COUNTIF(E76:AM76,"A")</f>
        <v>0</v>
      </c>
      <c r="AS76" s="36">
        <f t="shared" ref="AS76:AS129" si="11">COUNTIF(E76:AM76,"OFF")</f>
        <v>0</v>
      </c>
      <c r="AT76" s="37">
        <f t="shared" ref="AT76:AT139" si="12">SUM(AO76:AR76)</f>
        <v>0</v>
      </c>
      <c r="AU76" s="37" t="s">
        <v>228</v>
      </c>
      <c r="AV76" s="38">
        <v>26</v>
      </c>
      <c r="AW76" s="39">
        <f t="shared" ref="AW76:AW90" si="13">AT76/AV76</f>
        <v>0</v>
      </c>
    </row>
    <row r="77" s="105" customFormat="1" ht="19.5" customHeight="1" spans="1:49">
      <c r="A77" s="68">
        <v>67</v>
      </c>
      <c r="B77" s="154" t="s">
        <v>90</v>
      </c>
      <c r="C77" s="150" t="s">
        <v>16</v>
      </c>
      <c r="D77" s="149" t="s">
        <v>231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 t="s">
        <v>11</v>
      </c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113"/>
      <c r="AO77" s="151">
        <f t="shared" si="7"/>
        <v>0</v>
      </c>
      <c r="AP77" s="35">
        <f t="shared" si="8"/>
        <v>1</v>
      </c>
      <c r="AQ77" s="36">
        <f t="shared" si="9"/>
        <v>0</v>
      </c>
      <c r="AR77" s="36">
        <f t="shared" si="10"/>
        <v>0</v>
      </c>
      <c r="AS77" s="36">
        <f t="shared" si="11"/>
        <v>0</v>
      </c>
      <c r="AT77" s="37">
        <f t="shared" si="12"/>
        <v>1</v>
      </c>
      <c r="AU77" s="147" t="s">
        <v>470</v>
      </c>
      <c r="AV77" s="38">
        <v>26</v>
      </c>
      <c r="AW77" s="39">
        <f t="shared" si="13"/>
        <v>0.0384615384615385</v>
      </c>
    </row>
    <row r="78" s="105" customFormat="1" ht="19.5" customHeight="1" spans="1:49">
      <c r="A78" s="68">
        <v>68</v>
      </c>
      <c r="B78" s="154" t="s">
        <v>471</v>
      </c>
      <c r="C78" s="150" t="s">
        <v>16</v>
      </c>
      <c r="D78" s="152" t="s">
        <v>472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 t="s">
        <v>11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 t="s">
        <v>11</v>
      </c>
      <c r="AF78" s="62"/>
      <c r="AG78" s="62"/>
      <c r="AH78" s="62"/>
      <c r="AI78" s="62"/>
      <c r="AJ78" s="62"/>
      <c r="AK78" s="62"/>
      <c r="AL78" s="62"/>
      <c r="AM78" s="62"/>
      <c r="AN78" s="113"/>
      <c r="AO78" s="151">
        <f t="shared" si="7"/>
        <v>0</v>
      </c>
      <c r="AP78" s="35">
        <f t="shared" si="8"/>
        <v>2</v>
      </c>
      <c r="AQ78" s="36">
        <f t="shared" si="9"/>
        <v>0</v>
      </c>
      <c r="AR78" s="36">
        <f t="shared" si="10"/>
        <v>0</v>
      </c>
      <c r="AS78" s="36">
        <f t="shared" si="11"/>
        <v>0</v>
      </c>
      <c r="AT78" s="37">
        <f t="shared" si="12"/>
        <v>2</v>
      </c>
      <c r="AU78" s="37" t="s">
        <v>171</v>
      </c>
      <c r="AV78" s="38">
        <v>26</v>
      </c>
      <c r="AW78" s="39">
        <f t="shared" si="13"/>
        <v>0.0769230769230769</v>
      </c>
    </row>
    <row r="79" s="105" customFormat="1" ht="19.5" customHeight="1" spans="1:49">
      <c r="A79" s="68">
        <v>69</v>
      </c>
      <c r="B79" s="154" t="s">
        <v>473</v>
      </c>
      <c r="C79" s="150" t="s">
        <v>211</v>
      </c>
      <c r="D79" s="149" t="s">
        <v>180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 t="s">
        <v>11</v>
      </c>
      <c r="S79" s="62" t="s">
        <v>11</v>
      </c>
      <c r="T79" s="62"/>
      <c r="U79" s="62"/>
      <c r="V79" s="62"/>
      <c r="W79" s="62"/>
      <c r="X79" s="62"/>
      <c r="Y79" s="62"/>
      <c r="Z79" s="62"/>
      <c r="AA79" s="62" t="s">
        <v>11</v>
      </c>
      <c r="AB79" s="62"/>
      <c r="AC79" s="62"/>
      <c r="AD79" s="62"/>
      <c r="AE79" s="62"/>
      <c r="AF79" s="62"/>
      <c r="AG79" s="62"/>
      <c r="AH79" s="62" t="s">
        <v>11</v>
      </c>
      <c r="AI79" s="62"/>
      <c r="AJ79" s="62"/>
      <c r="AK79" s="62"/>
      <c r="AL79" s="62"/>
      <c r="AM79" s="62"/>
      <c r="AN79" s="113"/>
      <c r="AO79" s="151">
        <f t="shared" si="7"/>
        <v>0</v>
      </c>
      <c r="AP79" s="35">
        <f t="shared" si="8"/>
        <v>4</v>
      </c>
      <c r="AQ79" s="36">
        <f t="shared" si="9"/>
        <v>0</v>
      </c>
      <c r="AR79" s="35">
        <f t="shared" si="10"/>
        <v>0</v>
      </c>
      <c r="AS79" s="36">
        <f t="shared" si="11"/>
        <v>0</v>
      </c>
      <c r="AT79" s="37">
        <f t="shared" si="12"/>
        <v>4</v>
      </c>
      <c r="AU79" s="37" t="s">
        <v>228</v>
      </c>
      <c r="AV79" s="38">
        <v>26</v>
      </c>
      <c r="AW79" s="39">
        <f t="shared" si="13"/>
        <v>0.153846153846154</v>
      </c>
    </row>
    <row r="80" s="105" customFormat="1" ht="19.5" customHeight="1" spans="1:49">
      <c r="A80" s="68">
        <v>70</v>
      </c>
      <c r="B80" s="154" t="s">
        <v>93</v>
      </c>
      <c r="C80" s="150" t="s">
        <v>16</v>
      </c>
      <c r="D80" s="149" t="str">
        <f>VLOOKUP(B80,'[1]MASTER DATA 2025'!$C$3:$E$279,3,0)</f>
        <v>0Tahun2 Bulan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113"/>
      <c r="AO80" s="151">
        <f t="shared" si="7"/>
        <v>0</v>
      </c>
      <c r="AP80" s="35">
        <f t="shared" si="8"/>
        <v>0</v>
      </c>
      <c r="AQ80" s="36">
        <f t="shared" si="9"/>
        <v>0</v>
      </c>
      <c r="AR80" s="35">
        <f t="shared" si="10"/>
        <v>0</v>
      </c>
      <c r="AS80" s="36">
        <f t="shared" si="11"/>
        <v>0</v>
      </c>
      <c r="AT80" s="37">
        <f t="shared" si="12"/>
        <v>0</v>
      </c>
      <c r="AU80" s="37"/>
      <c r="AV80" s="38">
        <v>26</v>
      </c>
      <c r="AW80" s="39">
        <f t="shared" si="13"/>
        <v>0</v>
      </c>
    </row>
    <row r="81" s="105" customFormat="1" ht="19.5" customHeight="1" spans="1:49">
      <c r="A81" s="68">
        <v>71</v>
      </c>
      <c r="B81" s="154" t="s">
        <v>474</v>
      </c>
      <c r="C81" s="150" t="s">
        <v>16</v>
      </c>
      <c r="D81" s="149" t="s">
        <v>163</v>
      </c>
      <c r="E81" s="62"/>
      <c r="F81" s="62"/>
      <c r="G81" s="62"/>
      <c r="H81" s="62"/>
      <c r="I81" s="62"/>
      <c r="J81" s="62"/>
      <c r="K81" s="172"/>
      <c r="L81" s="172"/>
      <c r="M81" s="172"/>
      <c r="N81" s="172"/>
      <c r="O81" s="172"/>
      <c r="P81" s="62"/>
      <c r="Q81" s="62"/>
      <c r="R81" s="62"/>
      <c r="S81" s="62"/>
      <c r="T81" s="62"/>
      <c r="U81" s="62"/>
      <c r="V81" s="62"/>
      <c r="W81" s="62"/>
      <c r="X81" s="62"/>
      <c r="Y81" s="62" t="s">
        <v>11</v>
      </c>
      <c r="Z81" s="62" t="s">
        <v>11</v>
      </c>
      <c r="AA81" s="62"/>
      <c r="AB81" s="62" t="s">
        <v>11</v>
      </c>
      <c r="AC81" s="62" t="s">
        <v>11</v>
      </c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113"/>
      <c r="AO81" s="151">
        <f t="shared" si="7"/>
        <v>0</v>
      </c>
      <c r="AP81" s="131">
        <f t="shared" si="8"/>
        <v>4</v>
      </c>
      <c r="AQ81" s="103">
        <f t="shared" si="9"/>
        <v>0</v>
      </c>
      <c r="AR81" s="103">
        <f t="shared" si="10"/>
        <v>0</v>
      </c>
      <c r="AS81" s="103">
        <f t="shared" si="11"/>
        <v>0</v>
      </c>
      <c r="AT81" s="128">
        <f t="shared" si="12"/>
        <v>4</v>
      </c>
      <c r="AU81" s="128" t="s">
        <v>475</v>
      </c>
      <c r="AV81" s="38">
        <v>26</v>
      </c>
      <c r="AW81" s="39">
        <f t="shared" si="13"/>
        <v>0.153846153846154</v>
      </c>
    </row>
    <row r="82" s="105" customFormat="1" ht="19.5" customHeight="1" spans="1:49">
      <c r="A82" s="68">
        <v>72</v>
      </c>
      <c r="B82" s="154" t="s">
        <v>95</v>
      </c>
      <c r="C82" s="150" t="s">
        <v>59</v>
      </c>
      <c r="D82" s="152" t="s">
        <v>350</v>
      </c>
      <c r="E82" s="62"/>
      <c r="F82" s="62"/>
      <c r="G82" s="62"/>
      <c r="H82" s="62"/>
      <c r="I82" s="62"/>
      <c r="J82" s="236"/>
      <c r="K82" s="236"/>
      <c r="L82" s="236"/>
      <c r="M82" s="236"/>
      <c r="N82" s="180"/>
      <c r="O82" s="180"/>
      <c r="P82" s="237"/>
      <c r="Q82" s="62"/>
      <c r="R82" s="62"/>
      <c r="S82" s="62"/>
      <c r="T82" s="62"/>
      <c r="U82" s="62" t="s">
        <v>11</v>
      </c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113"/>
      <c r="AO82" s="151">
        <f t="shared" si="7"/>
        <v>0</v>
      </c>
      <c r="AP82" s="43">
        <f t="shared" si="8"/>
        <v>1</v>
      </c>
      <c r="AQ82" s="66">
        <f t="shared" si="9"/>
        <v>0</v>
      </c>
      <c r="AR82" s="66">
        <f t="shared" si="10"/>
        <v>0</v>
      </c>
      <c r="AS82" s="66">
        <f t="shared" si="11"/>
        <v>0</v>
      </c>
      <c r="AT82" s="43">
        <f t="shared" si="12"/>
        <v>1</v>
      </c>
      <c r="AU82" s="43" t="s">
        <v>391</v>
      </c>
      <c r="AV82" s="68">
        <v>26</v>
      </c>
      <c r="AW82" s="39">
        <f t="shared" si="13"/>
        <v>0.0384615384615385</v>
      </c>
    </row>
    <row r="83" s="105" customFormat="1" ht="19.5" customHeight="1" spans="1:49">
      <c r="A83" s="68">
        <v>73</v>
      </c>
      <c r="B83" s="154" t="s">
        <v>96</v>
      </c>
      <c r="C83" s="150" t="s">
        <v>59</v>
      </c>
      <c r="D83" s="152" t="s">
        <v>392</v>
      </c>
      <c r="E83" s="62"/>
      <c r="F83" s="62"/>
      <c r="G83" s="62"/>
      <c r="H83" s="62"/>
      <c r="I83" s="62"/>
      <c r="J83" s="62"/>
      <c r="K83" s="238"/>
      <c r="L83" s="238"/>
      <c r="M83" s="238"/>
      <c r="N83" s="238"/>
      <c r="O83" s="238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113"/>
      <c r="AO83" s="151">
        <f t="shared" si="7"/>
        <v>0</v>
      </c>
      <c r="AP83" s="35">
        <f t="shared" si="8"/>
        <v>0</v>
      </c>
      <c r="AQ83" s="35">
        <f t="shared" si="9"/>
        <v>0</v>
      </c>
      <c r="AR83" s="47">
        <f t="shared" si="10"/>
        <v>0</v>
      </c>
      <c r="AS83" s="36">
        <f t="shared" si="11"/>
        <v>0</v>
      </c>
      <c r="AT83" s="35">
        <f t="shared" si="12"/>
        <v>0</v>
      </c>
      <c r="AU83" s="43" t="s">
        <v>382</v>
      </c>
      <c r="AV83" s="38">
        <v>26</v>
      </c>
      <c r="AW83" s="39">
        <f t="shared" si="13"/>
        <v>0</v>
      </c>
    </row>
    <row r="84" s="105" customFormat="1" ht="19.5" customHeight="1" spans="1:49">
      <c r="A84" s="68">
        <v>74</v>
      </c>
      <c r="B84" s="154" t="s">
        <v>97</v>
      </c>
      <c r="C84" s="150" t="s">
        <v>59</v>
      </c>
      <c r="D84" s="152" t="s">
        <v>277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113"/>
      <c r="AO84" s="151">
        <f t="shared" si="7"/>
        <v>0</v>
      </c>
      <c r="AP84" s="35">
        <f t="shared" si="8"/>
        <v>0</v>
      </c>
      <c r="AQ84" s="35">
        <f t="shared" si="9"/>
        <v>0</v>
      </c>
      <c r="AR84" s="47">
        <f t="shared" si="10"/>
        <v>0</v>
      </c>
      <c r="AS84" s="36">
        <f t="shared" si="11"/>
        <v>0</v>
      </c>
      <c r="AT84" s="37">
        <f t="shared" si="12"/>
        <v>0</v>
      </c>
      <c r="AU84" s="37" t="s">
        <v>278</v>
      </c>
      <c r="AV84" s="38">
        <v>26</v>
      </c>
      <c r="AW84" s="39">
        <f t="shared" si="13"/>
        <v>0</v>
      </c>
    </row>
    <row r="85" s="105" customFormat="1" ht="19.5" customHeight="1" spans="1:49">
      <c r="A85" s="68">
        <v>75</v>
      </c>
      <c r="B85" s="154" t="s">
        <v>98</v>
      </c>
      <c r="C85" s="150" t="s">
        <v>59</v>
      </c>
      <c r="D85" s="152" t="s">
        <v>352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113"/>
      <c r="AO85" s="151">
        <f t="shared" si="7"/>
        <v>0</v>
      </c>
      <c r="AP85" s="35">
        <f t="shared" si="8"/>
        <v>0</v>
      </c>
      <c r="AQ85" s="36">
        <f t="shared" si="9"/>
        <v>0</v>
      </c>
      <c r="AR85" s="36">
        <f t="shared" si="10"/>
        <v>0</v>
      </c>
      <c r="AS85" s="36">
        <f t="shared" si="11"/>
        <v>0</v>
      </c>
      <c r="AT85" s="37">
        <f t="shared" si="12"/>
        <v>0</v>
      </c>
      <c r="AU85" s="156" t="s">
        <v>275</v>
      </c>
      <c r="AV85" s="38">
        <v>26</v>
      </c>
      <c r="AW85" s="39">
        <f t="shared" si="13"/>
        <v>0</v>
      </c>
    </row>
    <row r="86" s="105" customFormat="1" ht="19.5" customHeight="1" spans="1:49">
      <c r="A86" s="68">
        <v>76</v>
      </c>
      <c r="B86" s="154" t="s">
        <v>99</v>
      </c>
      <c r="C86" s="150" t="s">
        <v>16</v>
      </c>
      <c r="D86" s="149" t="s">
        <v>350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113"/>
      <c r="AO86" s="151">
        <f t="shared" si="7"/>
        <v>0</v>
      </c>
      <c r="AP86" s="35">
        <f t="shared" si="8"/>
        <v>0</v>
      </c>
      <c r="AQ86" s="36">
        <f t="shared" si="9"/>
        <v>0</v>
      </c>
      <c r="AR86" s="36">
        <f t="shared" si="10"/>
        <v>0</v>
      </c>
      <c r="AS86" s="36">
        <f t="shared" si="11"/>
        <v>0</v>
      </c>
      <c r="AT86" s="37">
        <f t="shared" si="12"/>
        <v>0</v>
      </c>
      <c r="AU86" s="43" t="s">
        <v>336</v>
      </c>
      <c r="AV86" s="38">
        <v>26</v>
      </c>
      <c r="AW86" s="39">
        <f t="shared" si="13"/>
        <v>0</v>
      </c>
    </row>
    <row r="87" s="105" customFormat="1" ht="19.5" customHeight="1" spans="1:49">
      <c r="A87" s="68">
        <v>77</v>
      </c>
      <c r="B87" s="154" t="s">
        <v>100</v>
      </c>
      <c r="C87" s="150" t="s">
        <v>101</v>
      </c>
      <c r="D87" s="149" t="s">
        <v>231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113"/>
      <c r="AO87" s="151">
        <f t="shared" si="7"/>
        <v>0</v>
      </c>
      <c r="AP87" s="35">
        <f t="shared" si="8"/>
        <v>0</v>
      </c>
      <c r="AQ87" s="35">
        <f t="shared" si="9"/>
        <v>0</v>
      </c>
      <c r="AR87" s="47">
        <f t="shared" si="10"/>
        <v>0</v>
      </c>
      <c r="AS87" s="36">
        <f t="shared" si="11"/>
        <v>0</v>
      </c>
      <c r="AT87" s="37">
        <f t="shared" si="12"/>
        <v>0</v>
      </c>
      <c r="AU87" s="37" t="s">
        <v>216</v>
      </c>
      <c r="AV87" s="38">
        <v>26</v>
      </c>
      <c r="AW87" s="39">
        <f t="shared" si="13"/>
        <v>0</v>
      </c>
    </row>
    <row r="88" s="105" customFormat="1" ht="19.5" customHeight="1" spans="1:49">
      <c r="A88" s="68">
        <v>79</v>
      </c>
      <c r="B88" s="154" t="s">
        <v>104</v>
      </c>
      <c r="C88" s="150" t="s">
        <v>16</v>
      </c>
      <c r="D88" s="152" t="s">
        <v>476</v>
      </c>
      <c r="E88" s="62" t="s">
        <v>11</v>
      </c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 t="s">
        <v>11</v>
      </c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 t="s">
        <v>11</v>
      </c>
      <c r="AL88" s="62"/>
      <c r="AM88" s="62"/>
      <c r="AN88" s="113"/>
      <c r="AO88" s="151">
        <f t="shared" si="7"/>
        <v>0</v>
      </c>
      <c r="AP88" s="35">
        <f t="shared" si="8"/>
        <v>3</v>
      </c>
      <c r="AQ88" s="36">
        <f t="shared" si="9"/>
        <v>0</v>
      </c>
      <c r="AR88" s="36">
        <f t="shared" si="10"/>
        <v>0</v>
      </c>
      <c r="AS88" s="36">
        <f t="shared" si="11"/>
        <v>0</v>
      </c>
      <c r="AT88" s="37">
        <f t="shared" si="12"/>
        <v>3</v>
      </c>
      <c r="AU88" s="37"/>
      <c r="AV88" s="38">
        <v>26</v>
      </c>
      <c r="AW88" s="39">
        <f t="shared" si="13"/>
        <v>0.115384615384615</v>
      </c>
    </row>
    <row r="89" s="105" customFormat="1" ht="19.5" customHeight="1" spans="1:49">
      <c r="A89" s="68">
        <v>80</v>
      </c>
      <c r="B89" s="154" t="s">
        <v>477</v>
      </c>
      <c r="C89" s="150" t="s">
        <v>16</v>
      </c>
      <c r="D89" s="149" t="s">
        <v>178</v>
      </c>
      <c r="E89" s="62"/>
      <c r="F89" s="62"/>
      <c r="G89" s="62"/>
      <c r="H89" s="62"/>
      <c r="I89" s="62"/>
      <c r="J89" s="62"/>
      <c r="K89" s="62"/>
      <c r="L89" s="62" t="s">
        <v>13</v>
      </c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113"/>
      <c r="AO89" s="151">
        <f t="shared" si="7"/>
        <v>0</v>
      </c>
      <c r="AP89" s="35">
        <f t="shared" si="8"/>
        <v>0</v>
      </c>
      <c r="AQ89" s="36">
        <f t="shared" si="9"/>
        <v>0</v>
      </c>
      <c r="AR89" s="35">
        <f t="shared" si="10"/>
        <v>1</v>
      </c>
      <c r="AS89" s="36">
        <f t="shared" si="11"/>
        <v>0</v>
      </c>
      <c r="AT89" s="37">
        <f t="shared" si="12"/>
        <v>1</v>
      </c>
      <c r="AU89" s="37" t="s">
        <v>25</v>
      </c>
      <c r="AV89" s="38">
        <v>26</v>
      </c>
      <c r="AW89" s="39">
        <f t="shared" si="13"/>
        <v>0.0384615384615385</v>
      </c>
    </row>
    <row r="90" s="105" customFormat="1" ht="19.5" customHeight="1" spans="1:49">
      <c r="A90" s="68">
        <v>81</v>
      </c>
      <c r="B90" s="154" t="s">
        <v>106</v>
      </c>
      <c r="C90" s="150" t="s">
        <v>59</v>
      </c>
      <c r="D90" s="149" t="str">
        <f>VLOOKUP(B90,'[1]MASTER DATA 2025'!$C$3:$E$279,3,0)</f>
        <v>0Tahun8 Bulan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113"/>
      <c r="AO90" s="151">
        <f t="shared" si="7"/>
        <v>0</v>
      </c>
      <c r="AP90" s="35">
        <f t="shared" si="8"/>
        <v>0</v>
      </c>
      <c r="AQ90" s="36">
        <f t="shared" si="9"/>
        <v>0</v>
      </c>
      <c r="AR90" s="35">
        <f t="shared" si="10"/>
        <v>0</v>
      </c>
      <c r="AS90" s="36">
        <f t="shared" si="11"/>
        <v>0</v>
      </c>
      <c r="AT90" s="37">
        <f t="shared" si="12"/>
        <v>0</v>
      </c>
      <c r="AU90" s="49" t="s">
        <v>120</v>
      </c>
      <c r="AV90" s="38">
        <v>26</v>
      </c>
      <c r="AW90" s="39">
        <f t="shared" si="13"/>
        <v>0</v>
      </c>
    </row>
    <row r="91" s="105" customFormat="1" ht="19.5" customHeight="1" spans="1:49">
      <c r="A91" s="68">
        <v>82</v>
      </c>
      <c r="B91" s="154" t="s">
        <v>107</v>
      </c>
      <c r="C91" s="150" t="s">
        <v>108</v>
      </c>
      <c r="D91" s="149" t="s">
        <v>350</v>
      </c>
      <c r="E91" s="62"/>
      <c r="F91" s="62"/>
      <c r="G91" s="62"/>
      <c r="H91" s="62"/>
      <c r="I91" s="62"/>
      <c r="J91" s="62"/>
      <c r="K91" s="172"/>
      <c r="L91" s="172"/>
      <c r="M91" s="172"/>
      <c r="N91" s="172"/>
      <c r="O91" s="17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113"/>
      <c r="AO91" s="151">
        <f t="shared" si="7"/>
        <v>0</v>
      </c>
      <c r="AP91" s="131">
        <f t="shared" si="8"/>
        <v>0</v>
      </c>
      <c r="AQ91" s="103">
        <f t="shared" si="9"/>
        <v>0</v>
      </c>
      <c r="AR91" s="131">
        <f t="shared" si="10"/>
        <v>0</v>
      </c>
      <c r="AS91" s="103">
        <f t="shared" si="11"/>
        <v>0</v>
      </c>
      <c r="AT91" s="128">
        <f t="shared" si="12"/>
        <v>0</v>
      </c>
      <c r="AU91" s="43" t="s">
        <v>382</v>
      </c>
      <c r="AV91" s="38"/>
      <c r="AW91" s="39"/>
    </row>
    <row r="92" s="105" customFormat="1" ht="19.5" customHeight="1" spans="1:49">
      <c r="A92" s="68">
        <v>83</v>
      </c>
      <c r="B92" s="154" t="s">
        <v>109</v>
      </c>
      <c r="C92" s="150" t="s">
        <v>16</v>
      </c>
      <c r="D92" s="149" t="s">
        <v>266</v>
      </c>
      <c r="E92" s="62"/>
      <c r="F92" s="62"/>
      <c r="G92" s="62"/>
      <c r="H92" s="62"/>
      <c r="I92" s="62"/>
      <c r="J92" s="236"/>
      <c r="K92" s="236"/>
      <c r="L92" s="236"/>
      <c r="M92" s="236"/>
      <c r="N92" s="180"/>
      <c r="O92" s="180" t="s">
        <v>13</v>
      </c>
      <c r="P92" s="237"/>
      <c r="Q92" s="62"/>
      <c r="R92" s="62"/>
      <c r="S92" s="62"/>
      <c r="T92" s="62"/>
      <c r="U92" s="62"/>
      <c r="V92" s="62" t="s">
        <v>13</v>
      </c>
      <c r="W92" s="62"/>
      <c r="X92" s="62"/>
      <c r="Y92" s="62"/>
      <c r="Z92" s="62"/>
      <c r="AA92" s="62"/>
      <c r="AB92" s="62"/>
      <c r="AC92" s="62"/>
      <c r="AD92" s="62"/>
      <c r="AE92" s="62"/>
      <c r="AF92" s="62" t="s">
        <v>12</v>
      </c>
      <c r="AG92" s="62"/>
      <c r="AH92" s="62"/>
      <c r="AI92" s="62"/>
      <c r="AJ92" s="62"/>
      <c r="AK92" s="62" t="s">
        <v>11</v>
      </c>
      <c r="AL92" s="62"/>
      <c r="AM92" s="62"/>
      <c r="AN92" s="113"/>
      <c r="AO92" s="151">
        <f t="shared" si="7"/>
        <v>0</v>
      </c>
      <c r="AP92" s="43">
        <f t="shared" si="8"/>
        <v>1</v>
      </c>
      <c r="AQ92" s="43">
        <f t="shared" si="9"/>
        <v>1</v>
      </c>
      <c r="AR92" s="43">
        <f t="shared" si="10"/>
        <v>2</v>
      </c>
      <c r="AS92" s="66">
        <f t="shared" si="11"/>
        <v>0</v>
      </c>
      <c r="AT92" s="43">
        <f t="shared" si="12"/>
        <v>4</v>
      </c>
      <c r="AU92" s="43" t="s">
        <v>336</v>
      </c>
      <c r="AV92" s="68"/>
      <c r="AW92" s="39"/>
    </row>
    <row r="93" s="105" customFormat="1" ht="19.5" customHeight="1" spans="1:49">
      <c r="A93" s="68">
        <v>84</v>
      </c>
      <c r="B93" s="154" t="s">
        <v>110</v>
      </c>
      <c r="C93" s="164" t="s">
        <v>111</v>
      </c>
      <c r="D93" s="149" t="s">
        <v>205</v>
      </c>
      <c r="E93" s="62"/>
      <c r="F93" s="62"/>
      <c r="G93" s="62"/>
      <c r="H93" s="62"/>
      <c r="I93" s="62"/>
      <c r="J93" s="180"/>
      <c r="K93" s="238"/>
      <c r="L93" s="238"/>
      <c r="M93" s="238"/>
      <c r="N93" s="238"/>
      <c r="O93" s="238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113"/>
      <c r="AO93" s="151">
        <f t="shared" si="7"/>
        <v>0</v>
      </c>
      <c r="AP93" s="35">
        <f t="shared" si="8"/>
        <v>0</v>
      </c>
      <c r="AQ93" s="36">
        <f t="shared" si="9"/>
        <v>0</v>
      </c>
      <c r="AR93" s="36">
        <f t="shared" si="10"/>
        <v>0</v>
      </c>
      <c r="AS93" s="36">
        <f t="shared" si="11"/>
        <v>0</v>
      </c>
      <c r="AT93" s="35">
        <f t="shared" si="12"/>
        <v>0</v>
      </c>
      <c r="AU93" s="43" t="s">
        <v>382</v>
      </c>
      <c r="AV93" s="38"/>
      <c r="AW93" s="39"/>
    </row>
    <row r="94" s="105" customFormat="1" ht="19.5" customHeight="1" spans="1:49">
      <c r="A94" s="68">
        <v>85</v>
      </c>
      <c r="B94" s="154" t="s">
        <v>113</v>
      </c>
      <c r="C94" s="164" t="s">
        <v>16</v>
      </c>
      <c r="D94" s="149" t="s">
        <v>163</v>
      </c>
      <c r="E94" s="62"/>
      <c r="F94" s="62"/>
      <c r="G94" s="62"/>
      <c r="H94" s="62"/>
      <c r="I94" s="62"/>
      <c r="J94" s="62"/>
      <c r="K94" s="62"/>
      <c r="L94" s="62" t="s">
        <v>11</v>
      </c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113"/>
      <c r="AO94" s="151">
        <f t="shared" si="7"/>
        <v>0</v>
      </c>
      <c r="AP94" s="35">
        <f t="shared" si="8"/>
        <v>1</v>
      </c>
      <c r="AQ94" s="35">
        <f t="shared" si="9"/>
        <v>0</v>
      </c>
      <c r="AR94" s="35">
        <f t="shared" si="10"/>
        <v>0</v>
      </c>
      <c r="AS94" s="36">
        <f t="shared" si="11"/>
        <v>0</v>
      </c>
      <c r="AT94" s="37">
        <f t="shared" si="12"/>
        <v>1</v>
      </c>
      <c r="AU94" s="147" t="s">
        <v>428</v>
      </c>
      <c r="AV94" s="38">
        <v>26</v>
      </c>
      <c r="AW94" s="39">
        <f t="shared" ref="AW94:AW100" si="14">AT94/AV94</f>
        <v>0.0384615384615385</v>
      </c>
    </row>
    <row r="95" s="105" customFormat="1" ht="19.5" customHeight="1" spans="1:49">
      <c r="A95" s="68">
        <v>86</v>
      </c>
      <c r="B95" s="154" t="s">
        <v>114</v>
      </c>
      <c r="C95" s="164" t="s">
        <v>16</v>
      </c>
      <c r="D95" s="149" t="s">
        <v>163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 t="s">
        <v>11</v>
      </c>
      <c r="T95" s="62"/>
      <c r="U95" s="62" t="s">
        <v>11</v>
      </c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113"/>
      <c r="AO95" s="151">
        <f t="shared" si="7"/>
        <v>0</v>
      </c>
      <c r="AP95" s="35">
        <f t="shared" si="8"/>
        <v>2</v>
      </c>
      <c r="AQ95" s="36">
        <f t="shared" si="9"/>
        <v>0</v>
      </c>
      <c r="AR95" s="36">
        <f t="shared" si="10"/>
        <v>0</v>
      </c>
      <c r="AS95" s="36">
        <f t="shared" si="11"/>
        <v>0</v>
      </c>
      <c r="AT95" s="37">
        <f t="shared" si="12"/>
        <v>2</v>
      </c>
      <c r="AU95" s="43" t="s">
        <v>193</v>
      </c>
      <c r="AV95" s="38">
        <v>26</v>
      </c>
      <c r="AW95" s="39">
        <f t="shared" si="14"/>
        <v>0.0769230769230769</v>
      </c>
    </row>
    <row r="96" s="105" customFormat="1" ht="19.5" customHeight="1" spans="1:49">
      <c r="A96" s="68">
        <v>87</v>
      </c>
      <c r="B96" s="154" t="s">
        <v>115</v>
      </c>
      <c r="C96" s="164" t="s">
        <v>16</v>
      </c>
      <c r="D96" s="149" t="str">
        <f>VLOOKUP(B96,'[1]MASTER DATA 2025'!$C$3:$E$279,3,0)</f>
        <v>0Tahun1 Bulan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113"/>
      <c r="AO96" s="151">
        <f t="shared" si="7"/>
        <v>0</v>
      </c>
      <c r="AP96" s="35">
        <f t="shared" si="8"/>
        <v>0</v>
      </c>
      <c r="AQ96" s="36">
        <f t="shared" si="9"/>
        <v>0</v>
      </c>
      <c r="AR96" s="36">
        <f t="shared" si="10"/>
        <v>0</v>
      </c>
      <c r="AS96" s="36">
        <f t="shared" si="11"/>
        <v>0</v>
      </c>
      <c r="AT96" s="37">
        <f t="shared" si="12"/>
        <v>0</v>
      </c>
      <c r="AU96" s="37" t="s">
        <v>228</v>
      </c>
      <c r="AV96" s="38">
        <v>26</v>
      </c>
      <c r="AW96" s="39">
        <f t="shared" si="14"/>
        <v>0</v>
      </c>
    </row>
    <row r="97" s="105" customFormat="1" ht="19.5" customHeight="1" spans="1:49">
      <c r="A97" s="68">
        <v>88</v>
      </c>
      <c r="B97" s="154" t="s">
        <v>478</v>
      </c>
      <c r="C97" s="164" t="s">
        <v>16</v>
      </c>
      <c r="D97" s="149" t="s">
        <v>178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 t="s">
        <v>40</v>
      </c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113"/>
      <c r="AO97" s="151">
        <f t="shared" si="7"/>
        <v>0</v>
      </c>
      <c r="AP97" s="35">
        <f t="shared" si="8"/>
        <v>1</v>
      </c>
      <c r="AQ97" s="35">
        <f t="shared" si="9"/>
        <v>0</v>
      </c>
      <c r="AR97" s="47">
        <f t="shared" si="10"/>
        <v>0</v>
      </c>
      <c r="AS97" s="36">
        <f t="shared" si="11"/>
        <v>0</v>
      </c>
      <c r="AT97" s="48">
        <f t="shared" si="12"/>
        <v>1</v>
      </c>
      <c r="AU97" s="37" t="s">
        <v>228</v>
      </c>
      <c r="AV97" s="38">
        <v>26</v>
      </c>
      <c r="AW97" s="39">
        <f t="shared" si="14"/>
        <v>0.0384615384615385</v>
      </c>
    </row>
    <row r="98" s="105" customFormat="1" ht="19.5" customHeight="1" spans="1:49">
      <c r="A98" s="68">
        <v>89</v>
      </c>
      <c r="B98" s="154" t="s">
        <v>123</v>
      </c>
      <c r="C98" s="164" t="s">
        <v>124</v>
      </c>
      <c r="D98" s="149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113"/>
      <c r="AO98" s="151">
        <f t="shared" si="7"/>
        <v>0</v>
      </c>
      <c r="AP98" s="47">
        <f t="shared" si="8"/>
        <v>0</v>
      </c>
      <c r="AQ98" s="35">
        <f t="shared" si="9"/>
        <v>0</v>
      </c>
      <c r="AR98" s="35">
        <f t="shared" si="10"/>
        <v>0</v>
      </c>
      <c r="AS98" s="36">
        <f t="shared" si="11"/>
        <v>0</v>
      </c>
      <c r="AT98" s="48">
        <f t="shared" si="12"/>
        <v>0</v>
      </c>
      <c r="AU98" s="49" t="s">
        <v>125</v>
      </c>
      <c r="AV98" s="38">
        <v>26</v>
      </c>
      <c r="AW98" s="39">
        <f t="shared" si="14"/>
        <v>0</v>
      </c>
    </row>
    <row r="99" s="105" customFormat="1" ht="19.5" customHeight="1" spans="1:49">
      <c r="A99" s="68">
        <v>90</v>
      </c>
      <c r="B99" s="154" t="s">
        <v>126</v>
      </c>
      <c r="C99" s="164" t="s">
        <v>16</v>
      </c>
      <c r="D99" s="149" t="str">
        <f>VLOOKUP(B99,'[1]MASTER DATA 2025'!$C$3:$E$279,3,0)</f>
        <v>0Tahun7 Bulan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113"/>
      <c r="AO99" s="151">
        <f t="shared" si="7"/>
        <v>0</v>
      </c>
      <c r="AP99" s="35">
        <f t="shared" si="8"/>
        <v>0</v>
      </c>
      <c r="AQ99" s="35">
        <f t="shared" si="9"/>
        <v>0</v>
      </c>
      <c r="AR99" s="47">
        <f t="shared" si="10"/>
        <v>0</v>
      </c>
      <c r="AS99" s="36">
        <f t="shared" si="11"/>
        <v>0</v>
      </c>
      <c r="AT99" s="37">
        <f t="shared" si="12"/>
        <v>0</v>
      </c>
      <c r="AU99" s="49">
        <v>45946</v>
      </c>
      <c r="AV99" s="38">
        <v>26</v>
      </c>
      <c r="AW99" s="39">
        <f t="shared" si="14"/>
        <v>0</v>
      </c>
    </row>
    <row r="100" s="105" customFormat="1" ht="19.5" customHeight="1" spans="1:49">
      <c r="A100" s="68">
        <v>91</v>
      </c>
      <c r="B100" s="154" t="s">
        <v>436</v>
      </c>
      <c r="C100" s="164" t="s">
        <v>101</v>
      </c>
      <c r="D100" s="149" t="s">
        <v>178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113"/>
      <c r="AO100" s="151">
        <f t="shared" si="7"/>
        <v>0</v>
      </c>
      <c r="AP100" s="47">
        <f t="shared" si="8"/>
        <v>0</v>
      </c>
      <c r="AQ100" s="35">
        <f t="shared" si="9"/>
        <v>0</v>
      </c>
      <c r="AR100" s="35">
        <f t="shared" si="10"/>
        <v>0</v>
      </c>
      <c r="AS100" s="36">
        <f t="shared" si="11"/>
        <v>0</v>
      </c>
      <c r="AT100" s="48">
        <f t="shared" si="12"/>
        <v>0</v>
      </c>
      <c r="AU100" s="43" t="s">
        <v>193</v>
      </c>
      <c r="AV100" s="38">
        <v>26</v>
      </c>
      <c r="AW100" s="39">
        <f t="shared" si="14"/>
        <v>0</v>
      </c>
    </row>
    <row r="101" s="105" customFormat="1" ht="19.5" customHeight="1" spans="1:49">
      <c r="A101" s="68">
        <v>92</v>
      </c>
      <c r="B101" s="154" t="s">
        <v>129</v>
      </c>
      <c r="C101" s="164" t="s">
        <v>235</v>
      </c>
      <c r="D101" s="149" t="s">
        <v>236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113"/>
      <c r="AO101" s="151">
        <f t="shared" si="7"/>
        <v>0</v>
      </c>
      <c r="AP101" s="35">
        <f t="shared" si="8"/>
        <v>0</v>
      </c>
      <c r="AQ101" s="36">
        <f t="shared" si="9"/>
        <v>0</v>
      </c>
      <c r="AR101" s="35">
        <f t="shared" si="10"/>
        <v>0</v>
      </c>
      <c r="AS101" s="36">
        <f t="shared" si="11"/>
        <v>0</v>
      </c>
      <c r="AT101" s="37">
        <f t="shared" si="12"/>
        <v>0</v>
      </c>
      <c r="AU101" s="37" t="s">
        <v>228</v>
      </c>
      <c r="AV101" s="38"/>
      <c r="AW101" s="39"/>
    </row>
    <row r="102" s="105" customFormat="1" ht="19.5" customHeight="1" spans="1:49">
      <c r="A102" s="68">
        <v>93</v>
      </c>
      <c r="B102" s="154" t="s">
        <v>130</v>
      </c>
      <c r="C102" s="164" t="s">
        <v>131</v>
      </c>
      <c r="D102" s="149" t="str">
        <f>VLOOKUP(B102,'[1]MASTER DATA 2025'!$C$3:$E$279,3,0)</f>
        <v>3Tahun1 Bulan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113"/>
      <c r="AO102" s="151">
        <f t="shared" si="7"/>
        <v>0</v>
      </c>
      <c r="AP102" s="35">
        <f t="shared" si="8"/>
        <v>0</v>
      </c>
      <c r="AQ102" s="35">
        <f t="shared" si="9"/>
        <v>0</v>
      </c>
      <c r="AR102" s="35">
        <f t="shared" si="10"/>
        <v>0</v>
      </c>
      <c r="AS102" s="36">
        <f t="shared" si="11"/>
        <v>0</v>
      </c>
      <c r="AT102" s="37">
        <f t="shared" si="12"/>
        <v>0</v>
      </c>
      <c r="AU102" s="37"/>
      <c r="AV102" s="38"/>
      <c r="AW102" s="39"/>
    </row>
    <row r="103" s="105" customFormat="1" ht="19.5" customHeight="1" spans="1:49">
      <c r="A103" s="68">
        <v>94</v>
      </c>
      <c r="B103" s="154" t="s">
        <v>132</v>
      </c>
      <c r="C103" s="164" t="s">
        <v>16</v>
      </c>
      <c r="D103" s="149" t="str">
        <f>VLOOKUP(B103,'[1]MASTER DATA 2025'!$C$3:$E$279,3,0)</f>
        <v>0Tahun1 Bulan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113"/>
      <c r="AO103" s="151">
        <f t="shared" si="7"/>
        <v>0</v>
      </c>
      <c r="AP103" s="35">
        <f t="shared" si="8"/>
        <v>0</v>
      </c>
      <c r="AQ103" s="36">
        <f t="shared" si="9"/>
        <v>0</v>
      </c>
      <c r="AR103" s="35">
        <f t="shared" si="10"/>
        <v>0</v>
      </c>
      <c r="AS103" s="36">
        <f t="shared" si="11"/>
        <v>0</v>
      </c>
      <c r="AT103" s="37">
        <f t="shared" si="12"/>
        <v>0</v>
      </c>
      <c r="AU103" s="37" t="s">
        <v>25</v>
      </c>
      <c r="AV103" s="38">
        <v>26</v>
      </c>
      <c r="AW103" s="39">
        <f t="shared" ref="AW103:AW108" si="15">AT103/AV103</f>
        <v>0</v>
      </c>
    </row>
    <row r="104" s="105" customFormat="1" ht="19.5" customHeight="1" spans="1:49">
      <c r="A104" s="68">
        <v>95</v>
      </c>
      <c r="B104" s="154" t="s">
        <v>133</v>
      </c>
      <c r="C104" s="164" t="s">
        <v>16</v>
      </c>
      <c r="D104" s="149" t="s">
        <v>267</v>
      </c>
      <c r="E104" s="62"/>
      <c r="F104" s="62"/>
      <c r="G104" s="62" t="s">
        <v>12</v>
      </c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113"/>
      <c r="AO104" s="151">
        <f t="shared" si="7"/>
        <v>0</v>
      </c>
      <c r="AP104" s="35">
        <f t="shared" si="8"/>
        <v>0</v>
      </c>
      <c r="AQ104" s="36">
        <f t="shared" si="9"/>
        <v>1</v>
      </c>
      <c r="AR104" s="36">
        <f t="shared" si="10"/>
        <v>0</v>
      </c>
      <c r="AS104" s="36">
        <f t="shared" si="11"/>
        <v>0</v>
      </c>
      <c r="AT104" s="37">
        <f t="shared" si="12"/>
        <v>1</v>
      </c>
      <c r="AU104" s="43" t="s">
        <v>193</v>
      </c>
      <c r="AV104" s="38">
        <v>26</v>
      </c>
      <c r="AW104" s="39">
        <f t="shared" si="15"/>
        <v>0.0384615384615385</v>
      </c>
    </row>
    <row r="105" s="105" customFormat="1" ht="19.5" customHeight="1" spans="1:49">
      <c r="A105" s="68">
        <v>96</v>
      </c>
      <c r="B105" s="154" t="s">
        <v>134</v>
      </c>
      <c r="C105" s="164" t="s">
        <v>16</v>
      </c>
      <c r="D105" s="152" t="s">
        <v>238</v>
      </c>
      <c r="E105" s="62"/>
      <c r="F105" s="62"/>
      <c r="G105" s="62"/>
      <c r="H105" s="62"/>
      <c r="I105" s="62"/>
      <c r="J105" s="62"/>
      <c r="K105" s="62"/>
      <c r="L105" s="62"/>
      <c r="M105" s="62" t="s">
        <v>103</v>
      </c>
      <c r="N105" s="62" t="s">
        <v>103</v>
      </c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 t="s">
        <v>11</v>
      </c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113"/>
      <c r="AO105" s="151">
        <f t="shared" si="7"/>
        <v>0</v>
      </c>
      <c r="AP105" s="35">
        <f t="shared" si="8"/>
        <v>1</v>
      </c>
      <c r="AQ105" s="36">
        <f t="shared" si="9"/>
        <v>2</v>
      </c>
      <c r="AR105" s="36">
        <f t="shared" si="10"/>
        <v>0</v>
      </c>
      <c r="AS105" s="36">
        <f t="shared" si="11"/>
        <v>0</v>
      </c>
      <c r="AT105" s="37">
        <f t="shared" si="12"/>
        <v>3</v>
      </c>
      <c r="AU105" s="43" t="s">
        <v>336</v>
      </c>
      <c r="AV105" s="38">
        <v>26</v>
      </c>
      <c r="AW105" s="39">
        <f t="shared" si="15"/>
        <v>0.115384615384615</v>
      </c>
    </row>
    <row r="106" s="105" customFormat="1" ht="19.5" customHeight="1" spans="1:49">
      <c r="A106" s="68">
        <v>97</v>
      </c>
      <c r="B106" s="154" t="s">
        <v>135</v>
      </c>
      <c r="C106" s="164" t="s">
        <v>16</v>
      </c>
      <c r="D106" s="149" t="s">
        <v>288</v>
      </c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 t="s">
        <v>12</v>
      </c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 t="s">
        <v>11</v>
      </c>
      <c r="AL106" s="62"/>
      <c r="AM106" s="62"/>
      <c r="AN106" s="113"/>
      <c r="AO106" s="151">
        <f t="shared" si="7"/>
        <v>0</v>
      </c>
      <c r="AP106" s="47">
        <f t="shared" si="8"/>
        <v>1</v>
      </c>
      <c r="AQ106" s="35">
        <f t="shared" si="9"/>
        <v>1</v>
      </c>
      <c r="AR106" s="35">
        <f t="shared" si="10"/>
        <v>0</v>
      </c>
      <c r="AS106" s="36">
        <f t="shared" si="11"/>
        <v>0</v>
      </c>
      <c r="AT106" s="37">
        <f t="shared" si="12"/>
        <v>2</v>
      </c>
      <c r="AU106" s="43" t="s">
        <v>193</v>
      </c>
      <c r="AV106" s="38">
        <v>26</v>
      </c>
      <c r="AW106" s="39">
        <f t="shared" si="15"/>
        <v>0.0769230769230769</v>
      </c>
    </row>
    <row r="107" s="105" customFormat="1" ht="19.5" customHeight="1" spans="1:49">
      <c r="A107" s="68">
        <v>98</v>
      </c>
      <c r="B107" s="154" t="s">
        <v>137</v>
      </c>
      <c r="C107" s="164" t="s">
        <v>16</v>
      </c>
      <c r="D107" s="149" t="str">
        <f>VLOOKUP(B107,'[1]MASTER DATA 2025'!$C$3:$E$279,3,0)</f>
        <v>1Tahun7 Bulan</v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 t="s">
        <v>13</v>
      </c>
      <c r="AH107" s="62"/>
      <c r="AI107" s="62"/>
      <c r="AJ107" s="62"/>
      <c r="AK107" s="62"/>
      <c r="AL107" s="62"/>
      <c r="AM107" s="62"/>
      <c r="AN107" s="113"/>
      <c r="AO107" s="151">
        <f t="shared" si="7"/>
        <v>0</v>
      </c>
      <c r="AP107" s="35">
        <f t="shared" si="8"/>
        <v>0</v>
      </c>
      <c r="AQ107" s="35">
        <f t="shared" si="9"/>
        <v>0</v>
      </c>
      <c r="AR107" s="36">
        <f t="shared" si="10"/>
        <v>1</v>
      </c>
      <c r="AS107" s="36">
        <f t="shared" si="11"/>
        <v>0</v>
      </c>
      <c r="AT107" s="37">
        <f t="shared" si="12"/>
        <v>1</v>
      </c>
      <c r="AU107" s="37"/>
      <c r="AV107" s="38">
        <v>26</v>
      </c>
      <c r="AW107" s="39">
        <f t="shared" si="15"/>
        <v>0.0384615384615385</v>
      </c>
    </row>
    <row r="108" s="105" customFormat="1" ht="19.5" customHeight="1" spans="1:49">
      <c r="A108" s="68">
        <v>99</v>
      </c>
      <c r="B108" s="154" t="s">
        <v>138</v>
      </c>
      <c r="C108" s="150" t="s">
        <v>101</v>
      </c>
      <c r="D108" s="149" t="str">
        <f>VLOOKUP(B108,'[1]MASTER DATA 2025'!$C$3:$E$279,3,0)</f>
        <v>1Tahun1 Bulan</v>
      </c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113"/>
      <c r="AO108" s="151">
        <f t="shared" si="7"/>
        <v>0</v>
      </c>
      <c r="AP108" s="35">
        <f t="shared" si="8"/>
        <v>0</v>
      </c>
      <c r="AQ108" s="36">
        <f t="shared" si="9"/>
        <v>0</v>
      </c>
      <c r="AR108" s="35">
        <f t="shared" si="10"/>
        <v>0</v>
      </c>
      <c r="AS108" s="36">
        <f t="shared" si="11"/>
        <v>0</v>
      </c>
      <c r="AT108" s="37">
        <f t="shared" si="12"/>
        <v>0</v>
      </c>
      <c r="AU108" s="37" t="s">
        <v>228</v>
      </c>
      <c r="AV108" s="38">
        <v>26</v>
      </c>
      <c r="AW108" s="39">
        <f t="shared" si="15"/>
        <v>0</v>
      </c>
    </row>
    <row r="109" s="105" customFormat="1" ht="19.5" customHeight="1" spans="1:49">
      <c r="A109" s="68">
        <v>100</v>
      </c>
      <c r="B109" s="154" t="s">
        <v>139</v>
      </c>
      <c r="C109" s="164" t="s">
        <v>16</v>
      </c>
      <c r="D109" s="152" t="s">
        <v>356</v>
      </c>
      <c r="E109" s="62" t="s">
        <v>11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113"/>
      <c r="AO109" s="151">
        <f t="shared" si="7"/>
        <v>0</v>
      </c>
      <c r="AP109" s="35">
        <f t="shared" si="8"/>
        <v>1</v>
      </c>
      <c r="AQ109" s="36">
        <f t="shared" si="9"/>
        <v>0</v>
      </c>
      <c r="AR109" s="35">
        <f t="shared" si="10"/>
        <v>0</v>
      </c>
      <c r="AS109" s="36">
        <f t="shared" si="11"/>
        <v>0</v>
      </c>
      <c r="AT109" s="37">
        <f t="shared" si="12"/>
        <v>1</v>
      </c>
      <c r="AU109" s="156" t="s">
        <v>275</v>
      </c>
      <c r="AV109" s="38"/>
      <c r="AW109" s="39"/>
    </row>
    <row r="110" s="105" customFormat="1" ht="19.5" customHeight="1" spans="1:49">
      <c r="A110" s="68">
        <v>101</v>
      </c>
      <c r="B110" s="154" t="s">
        <v>140</v>
      </c>
      <c r="C110" s="164" t="s">
        <v>16</v>
      </c>
      <c r="D110" s="149" t="str">
        <f>VLOOKUP(B110,'[1]MASTER DATA 2025'!$C$3:$E$279,3,0)</f>
        <v>2Tahun2 Bulan</v>
      </c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113"/>
      <c r="AO110" s="151">
        <f t="shared" si="7"/>
        <v>0</v>
      </c>
      <c r="AP110" s="35">
        <f t="shared" si="8"/>
        <v>0</v>
      </c>
      <c r="AQ110" s="36">
        <f t="shared" si="9"/>
        <v>0</v>
      </c>
      <c r="AR110" s="35">
        <f t="shared" si="10"/>
        <v>0</v>
      </c>
      <c r="AS110" s="36">
        <f t="shared" si="11"/>
        <v>0</v>
      </c>
      <c r="AT110" s="37">
        <f t="shared" si="12"/>
        <v>0</v>
      </c>
      <c r="AU110" s="37" t="s">
        <v>25</v>
      </c>
      <c r="AV110" s="38"/>
      <c r="AW110" s="39"/>
    </row>
    <row r="111" s="105" customFormat="1" ht="19.5" customHeight="1" spans="1:49">
      <c r="A111" s="68">
        <v>102</v>
      </c>
      <c r="B111" s="154" t="s">
        <v>141</v>
      </c>
      <c r="C111" s="164" t="s">
        <v>20</v>
      </c>
      <c r="D111" s="149" t="str">
        <f>VLOOKUP(B111,'[1]MASTER DATA 2025'!$C$3:$E$279,3,0)</f>
        <v>0Tahun1 Bulan</v>
      </c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113"/>
      <c r="AO111" s="151">
        <f t="shared" si="7"/>
        <v>0</v>
      </c>
      <c r="AP111" s="35">
        <f t="shared" si="8"/>
        <v>0</v>
      </c>
      <c r="AQ111" s="36">
        <f t="shared" si="9"/>
        <v>0</v>
      </c>
      <c r="AR111" s="35">
        <f t="shared" si="10"/>
        <v>0</v>
      </c>
      <c r="AS111" s="36">
        <f t="shared" si="11"/>
        <v>0</v>
      </c>
      <c r="AT111" s="37">
        <f t="shared" si="12"/>
        <v>0</v>
      </c>
      <c r="AU111" s="49">
        <v>45967</v>
      </c>
      <c r="AV111" s="38">
        <v>26</v>
      </c>
      <c r="AW111" s="39">
        <f t="shared" ref="AW111:AW116" si="16">AT111/AV111</f>
        <v>0</v>
      </c>
    </row>
    <row r="112" s="105" customFormat="1" ht="19.5" customHeight="1" spans="1:49">
      <c r="A112" s="68">
        <v>103</v>
      </c>
      <c r="B112" s="154" t="s">
        <v>142</v>
      </c>
      <c r="C112" s="164" t="s">
        <v>20</v>
      </c>
      <c r="D112" s="149" t="str">
        <f>VLOOKUP(B112,'[1]MASTER DATA 2025'!$C$3:$E$279,3,0)</f>
        <v>0Tahun2 Bulan</v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113"/>
      <c r="AO112" s="151">
        <f t="shared" si="7"/>
        <v>0</v>
      </c>
      <c r="AP112" s="35">
        <f t="shared" si="8"/>
        <v>0</v>
      </c>
      <c r="AQ112" s="35">
        <f t="shared" si="9"/>
        <v>0</v>
      </c>
      <c r="AR112" s="47">
        <f t="shared" si="10"/>
        <v>0</v>
      </c>
      <c r="AS112" s="36">
        <f t="shared" si="11"/>
        <v>0</v>
      </c>
      <c r="AT112" s="37">
        <f t="shared" si="12"/>
        <v>0</v>
      </c>
      <c r="AU112" s="37" t="s">
        <v>173</v>
      </c>
      <c r="AV112" s="38">
        <v>26</v>
      </c>
      <c r="AW112" s="39">
        <f t="shared" si="16"/>
        <v>0</v>
      </c>
    </row>
    <row r="113" s="105" customFormat="1" ht="19.5" customHeight="1" spans="1:49">
      <c r="A113" s="68">
        <v>104</v>
      </c>
      <c r="B113" s="154" t="s">
        <v>143</v>
      </c>
      <c r="C113" s="164" t="s">
        <v>61</v>
      </c>
      <c r="D113" s="149" t="str">
        <f>VLOOKUP(B113,'[1]MASTER DATA 2025'!$C$3:$E$279,3,0)</f>
        <v>0Tahun9 Bulan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113"/>
      <c r="AO113" s="151">
        <f t="shared" si="7"/>
        <v>0</v>
      </c>
      <c r="AP113" s="47">
        <f t="shared" si="8"/>
        <v>0</v>
      </c>
      <c r="AQ113" s="35">
        <f t="shared" si="9"/>
        <v>0</v>
      </c>
      <c r="AR113" s="35">
        <f t="shared" si="10"/>
        <v>0</v>
      </c>
      <c r="AS113" s="36">
        <f t="shared" si="11"/>
        <v>0</v>
      </c>
      <c r="AT113" s="48">
        <f t="shared" si="12"/>
        <v>0</v>
      </c>
      <c r="AU113" s="156" t="s">
        <v>275</v>
      </c>
      <c r="AV113" s="38">
        <v>26</v>
      </c>
      <c r="AW113" s="39">
        <f t="shared" si="16"/>
        <v>0</v>
      </c>
    </row>
    <row r="114" s="105" customFormat="1" ht="19.5" customHeight="1" spans="1:49">
      <c r="A114" s="68">
        <v>105</v>
      </c>
      <c r="B114" s="154" t="s">
        <v>144</v>
      </c>
      <c r="C114" s="164" t="s">
        <v>357</v>
      </c>
      <c r="D114" s="149" t="s">
        <v>236</v>
      </c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113"/>
      <c r="AO114" s="151">
        <f t="shared" si="7"/>
        <v>0</v>
      </c>
      <c r="AP114" s="35">
        <f t="shared" si="8"/>
        <v>0</v>
      </c>
      <c r="AQ114" s="35">
        <f t="shared" si="9"/>
        <v>0</v>
      </c>
      <c r="AR114" s="35">
        <f t="shared" si="10"/>
        <v>0</v>
      </c>
      <c r="AS114" s="36">
        <f t="shared" si="11"/>
        <v>0</v>
      </c>
      <c r="AT114" s="37">
        <f t="shared" si="12"/>
        <v>0</v>
      </c>
      <c r="AU114" s="37" t="s">
        <v>171</v>
      </c>
      <c r="AV114" s="38">
        <v>26</v>
      </c>
      <c r="AW114" s="39">
        <f t="shared" si="16"/>
        <v>0</v>
      </c>
    </row>
    <row r="115" s="105" customFormat="1" ht="19.5" customHeight="1" spans="1:49">
      <c r="A115" s="68">
        <v>106</v>
      </c>
      <c r="B115" s="154" t="s">
        <v>479</v>
      </c>
      <c r="C115" s="164" t="s">
        <v>59</v>
      </c>
      <c r="D115" s="149" t="s">
        <v>112</v>
      </c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 t="s">
        <v>11</v>
      </c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113"/>
      <c r="AO115" s="151">
        <f t="shared" si="7"/>
        <v>0</v>
      </c>
      <c r="AP115" s="35">
        <f t="shared" si="8"/>
        <v>1</v>
      </c>
      <c r="AQ115" s="35">
        <f t="shared" si="9"/>
        <v>0</v>
      </c>
      <c r="AR115" s="35">
        <f t="shared" si="10"/>
        <v>0</v>
      </c>
      <c r="AS115" s="36">
        <f t="shared" si="11"/>
        <v>0</v>
      </c>
      <c r="AT115" s="37">
        <f t="shared" si="12"/>
        <v>1</v>
      </c>
      <c r="AU115" s="43"/>
      <c r="AV115" s="38">
        <v>26</v>
      </c>
      <c r="AW115" s="39">
        <f t="shared" si="16"/>
        <v>0.0384615384615385</v>
      </c>
    </row>
    <row r="116" s="105" customFormat="1" ht="19.5" customHeight="1" spans="1:49">
      <c r="A116" s="68">
        <v>107</v>
      </c>
      <c r="B116" s="154" t="s">
        <v>146</v>
      </c>
      <c r="C116" s="164" t="s">
        <v>16</v>
      </c>
      <c r="D116" s="149" t="str">
        <f>VLOOKUP(B116,'[1]MASTER DATA 2025'!$C$3:$E$279,3,0)</f>
        <v>1Tahun1 Bulan</v>
      </c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113"/>
      <c r="AO116" s="151">
        <f t="shared" si="7"/>
        <v>0</v>
      </c>
      <c r="AP116" s="47">
        <f t="shared" si="8"/>
        <v>0</v>
      </c>
      <c r="AQ116" s="35">
        <f t="shared" si="9"/>
        <v>0</v>
      </c>
      <c r="AR116" s="35">
        <f t="shared" si="10"/>
        <v>0</v>
      </c>
      <c r="AS116" s="36">
        <f t="shared" si="11"/>
        <v>0</v>
      </c>
      <c r="AT116" s="48">
        <f t="shared" si="12"/>
        <v>0</v>
      </c>
      <c r="AU116" s="37" t="s">
        <v>228</v>
      </c>
      <c r="AV116" s="38">
        <v>26</v>
      </c>
      <c r="AW116" s="39">
        <f t="shared" si="16"/>
        <v>0</v>
      </c>
    </row>
    <row r="117" s="105" customFormat="1" ht="19.5" customHeight="1" spans="1:49">
      <c r="A117" s="68">
        <v>108</v>
      </c>
      <c r="B117" s="154" t="s">
        <v>147</v>
      </c>
      <c r="C117" s="164" t="s">
        <v>240</v>
      </c>
      <c r="D117" s="149" t="s">
        <v>205</v>
      </c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113"/>
      <c r="AO117" s="151">
        <f t="shared" si="7"/>
        <v>0</v>
      </c>
      <c r="AP117" s="47">
        <f t="shared" si="8"/>
        <v>0</v>
      </c>
      <c r="AQ117" s="35">
        <f t="shared" si="9"/>
        <v>0</v>
      </c>
      <c r="AR117" s="35">
        <f t="shared" si="10"/>
        <v>0</v>
      </c>
      <c r="AS117" s="36">
        <f t="shared" si="11"/>
        <v>0</v>
      </c>
      <c r="AT117" s="48">
        <f t="shared" si="12"/>
        <v>0</v>
      </c>
      <c r="AU117" s="37" t="s">
        <v>228</v>
      </c>
      <c r="AV117" s="38"/>
      <c r="AW117" s="39"/>
    </row>
    <row r="118" s="105" customFormat="1" ht="19.5" customHeight="1" spans="1:49">
      <c r="A118" s="68">
        <v>109</v>
      </c>
      <c r="B118" s="154" t="s">
        <v>148</v>
      </c>
      <c r="C118" s="164" t="s">
        <v>16</v>
      </c>
      <c r="D118" s="152" t="s">
        <v>163</v>
      </c>
      <c r="E118" s="62"/>
      <c r="F118" s="62"/>
      <c r="G118" s="62"/>
      <c r="H118" s="62"/>
      <c r="I118" s="62"/>
      <c r="J118" s="62"/>
      <c r="K118" s="62"/>
      <c r="L118" s="62"/>
      <c r="M118" s="62"/>
      <c r="N118" s="62" t="s">
        <v>11</v>
      </c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 t="s">
        <v>11</v>
      </c>
      <c r="AE118" s="62"/>
      <c r="AF118" s="62"/>
      <c r="AG118" s="62"/>
      <c r="AH118" s="62"/>
      <c r="AI118" s="62"/>
      <c r="AJ118" s="62"/>
      <c r="AK118" s="62"/>
      <c r="AL118" s="62"/>
      <c r="AM118" s="62"/>
      <c r="AN118" s="113"/>
      <c r="AO118" s="151">
        <f t="shared" si="7"/>
        <v>0</v>
      </c>
      <c r="AP118" s="35">
        <f t="shared" si="8"/>
        <v>2</v>
      </c>
      <c r="AQ118" s="36">
        <f t="shared" si="9"/>
        <v>0</v>
      </c>
      <c r="AR118" s="35">
        <f t="shared" si="10"/>
        <v>0</v>
      </c>
      <c r="AS118" s="36">
        <f t="shared" si="11"/>
        <v>0</v>
      </c>
      <c r="AT118" s="37">
        <f t="shared" si="12"/>
        <v>2</v>
      </c>
      <c r="AU118" s="43" t="s">
        <v>193</v>
      </c>
      <c r="AV118" s="38"/>
      <c r="AW118" s="39"/>
    </row>
    <row r="119" s="105" customFormat="1" ht="19.5" customHeight="1" spans="1:49">
      <c r="A119" s="68">
        <v>110</v>
      </c>
      <c r="B119" s="154" t="s">
        <v>480</v>
      </c>
      <c r="C119" s="164" t="s">
        <v>16</v>
      </c>
      <c r="D119" s="152" t="s">
        <v>178</v>
      </c>
      <c r="E119" s="62"/>
      <c r="F119" s="62"/>
      <c r="G119" s="62"/>
      <c r="H119" s="62"/>
      <c r="I119" s="62" t="s">
        <v>40</v>
      </c>
      <c r="J119" s="62"/>
      <c r="K119" s="62"/>
      <c r="L119" s="62"/>
      <c r="M119" s="62"/>
      <c r="N119" s="62" t="s">
        <v>103</v>
      </c>
      <c r="O119" s="62"/>
      <c r="P119" s="62"/>
      <c r="Q119" s="62"/>
      <c r="R119" s="62"/>
      <c r="S119" s="62" t="s">
        <v>11</v>
      </c>
      <c r="T119" s="62" t="s">
        <v>11</v>
      </c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113"/>
      <c r="AO119" s="151">
        <f t="shared" si="7"/>
        <v>0</v>
      </c>
      <c r="AP119" s="35">
        <f t="shared" si="8"/>
        <v>3</v>
      </c>
      <c r="AQ119" s="36">
        <f t="shared" si="9"/>
        <v>1</v>
      </c>
      <c r="AR119" s="35">
        <f t="shared" si="10"/>
        <v>0</v>
      </c>
      <c r="AS119" s="36">
        <f t="shared" si="11"/>
        <v>0</v>
      </c>
      <c r="AT119" s="37">
        <f t="shared" si="12"/>
        <v>4</v>
      </c>
      <c r="AU119" s="43" t="s">
        <v>171</v>
      </c>
      <c r="AV119" s="38"/>
      <c r="AW119" s="39"/>
    </row>
    <row r="120" s="105" customFormat="1" ht="19.5" customHeight="1" spans="1:49">
      <c r="A120" s="68">
        <v>111</v>
      </c>
      <c r="B120" s="154" t="s">
        <v>150</v>
      </c>
      <c r="C120" s="164" t="s">
        <v>16</v>
      </c>
      <c r="D120" s="149" t="s">
        <v>395</v>
      </c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113"/>
      <c r="AO120" s="151">
        <f t="shared" si="7"/>
        <v>0</v>
      </c>
      <c r="AP120" s="35">
        <f t="shared" si="8"/>
        <v>0</v>
      </c>
      <c r="AQ120" s="36">
        <f t="shared" si="9"/>
        <v>0</v>
      </c>
      <c r="AR120" s="35">
        <f t="shared" si="10"/>
        <v>0</v>
      </c>
      <c r="AS120" s="36">
        <f t="shared" si="11"/>
        <v>0</v>
      </c>
      <c r="AT120" s="37">
        <f t="shared" si="12"/>
        <v>0</v>
      </c>
      <c r="AU120" s="37"/>
      <c r="AV120" s="38"/>
      <c r="AW120" s="39"/>
    </row>
    <row r="121" s="105" customFormat="1" ht="21" customHeight="1" spans="1:49">
      <c r="A121" s="68">
        <v>112</v>
      </c>
      <c r="B121" s="154" t="s">
        <v>151</v>
      </c>
      <c r="C121" s="164" t="s">
        <v>241</v>
      </c>
      <c r="D121" s="152" t="s">
        <v>217</v>
      </c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 t="s">
        <v>11</v>
      </c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113"/>
      <c r="AO121" s="151">
        <f t="shared" si="7"/>
        <v>0</v>
      </c>
      <c r="AP121" s="35">
        <f t="shared" si="8"/>
        <v>1</v>
      </c>
      <c r="AQ121" s="36">
        <f t="shared" si="9"/>
        <v>0</v>
      </c>
      <c r="AR121" s="35">
        <f t="shared" si="10"/>
        <v>0</v>
      </c>
      <c r="AS121" s="36">
        <f t="shared" si="11"/>
        <v>0</v>
      </c>
      <c r="AT121" s="37">
        <f t="shared" si="12"/>
        <v>1</v>
      </c>
      <c r="AU121" s="156" t="s">
        <v>275</v>
      </c>
      <c r="AV121" s="38"/>
      <c r="AW121" s="39"/>
    </row>
    <row r="122" s="105" customFormat="1" ht="19.5" customHeight="1" spans="1:49">
      <c r="A122" s="68">
        <v>113</v>
      </c>
      <c r="B122" s="154" t="s">
        <v>152</v>
      </c>
      <c r="C122" s="164" t="s">
        <v>20</v>
      </c>
      <c r="D122" s="152" t="s">
        <v>236</v>
      </c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113"/>
      <c r="AO122" s="151">
        <f t="shared" si="7"/>
        <v>0</v>
      </c>
      <c r="AP122" s="47">
        <f t="shared" si="8"/>
        <v>0</v>
      </c>
      <c r="AQ122" s="35">
        <f t="shared" si="9"/>
        <v>0</v>
      </c>
      <c r="AR122" s="35">
        <f t="shared" si="10"/>
        <v>0</v>
      </c>
      <c r="AS122" s="36">
        <f t="shared" si="11"/>
        <v>0</v>
      </c>
      <c r="AT122" s="48">
        <f t="shared" si="12"/>
        <v>0</v>
      </c>
      <c r="AU122" s="37" t="s">
        <v>214</v>
      </c>
      <c r="AV122" s="38"/>
      <c r="AW122" s="39"/>
    </row>
    <row r="123" s="105" customFormat="1" ht="19.5" customHeight="1" spans="1:49">
      <c r="A123" s="68">
        <v>114</v>
      </c>
      <c r="B123" s="154" t="s">
        <v>437</v>
      </c>
      <c r="C123" s="164" t="s">
        <v>59</v>
      </c>
      <c r="D123" s="149" t="e">
        <f>VLOOKUP(B123,'[1]MASTER DATA 2025'!$C$3:$E$279,3,0)</f>
        <v>#N/A</v>
      </c>
      <c r="E123" s="62" t="s">
        <v>11</v>
      </c>
      <c r="F123" s="62"/>
      <c r="G123" s="62"/>
      <c r="H123" s="62"/>
      <c r="I123" s="62"/>
      <c r="J123" s="62"/>
      <c r="K123" s="62"/>
      <c r="L123" s="62"/>
      <c r="M123" s="62"/>
      <c r="N123" s="62" t="s">
        <v>11</v>
      </c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113"/>
      <c r="AO123" s="151">
        <f t="shared" si="7"/>
        <v>0</v>
      </c>
      <c r="AP123" s="47">
        <f t="shared" si="8"/>
        <v>2</v>
      </c>
      <c r="AQ123" s="35">
        <f t="shared" si="9"/>
        <v>0</v>
      </c>
      <c r="AR123" s="35">
        <f t="shared" si="10"/>
        <v>0</v>
      </c>
      <c r="AS123" s="36">
        <f t="shared" si="11"/>
        <v>0</v>
      </c>
      <c r="AT123" s="48">
        <f t="shared" si="12"/>
        <v>2</v>
      </c>
      <c r="AU123" s="37" t="s">
        <v>25</v>
      </c>
      <c r="AV123" s="38">
        <v>26</v>
      </c>
      <c r="AW123" s="39">
        <f>AT123/AV123</f>
        <v>0.0769230769230769</v>
      </c>
    </row>
    <row r="124" s="105" customFormat="1" ht="19.5" customHeight="1" spans="1:49">
      <c r="A124" s="68">
        <v>115</v>
      </c>
      <c r="B124" s="154" t="s">
        <v>155</v>
      </c>
      <c r="C124" s="164" t="s">
        <v>59</v>
      </c>
      <c r="D124" s="149" t="s">
        <v>163</v>
      </c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113"/>
      <c r="AO124" s="151">
        <f t="shared" si="7"/>
        <v>0</v>
      </c>
      <c r="AP124" s="35">
        <f t="shared" si="8"/>
        <v>0</v>
      </c>
      <c r="AQ124" s="35">
        <f t="shared" si="9"/>
        <v>0</v>
      </c>
      <c r="AR124" s="35">
        <f t="shared" si="10"/>
        <v>0</v>
      </c>
      <c r="AS124" s="36">
        <f t="shared" si="11"/>
        <v>0</v>
      </c>
      <c r="AT124" s="37">
        <f t="shared" si="12"/>
        <v>0</v>
      </c>
      <c r="AU124" s="43" t="s">
        <v>193</v>
      </c>
      <c r="AV124" s="38"/>
      <c r="AW124" s="39"/>
    </row>
    <row r="125" s="105" customFormat="1" ht="19.5" customHeight="1" spans="1:49">
      <c r="A125" s="68">
        <v>116</v>
      </c>
      <c r="B125" s="154" t="s">
        <v>157</v>
      </c>
      <c r="C125" s="164" t="s">
        <v>61</v>
      </c>
      <c r="D125" s="149" t="str">
        <f>VLOOKUP(B125,'[1]MASTER DATA 2025'!$C$3:$E$279,3,0)</f>
        <v>0Tahun1 Bulan</v>
      </c>
      <c r="E125" s="62" t="s">
        <v>11</v>
      </c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113"/>
      <c r="AO125" s="151">
        <f t="shared" si="7"/>
        <v>0</v>
      </c>
      <c r="AP125" s="35">
        <f t="shared" si="8"/>
        <v>1</v>
      </c>
      <c r="AQ125" s="35">
        <f t="shared" si="9"/>
        <v>0</v>
      </c>
      <c r="AR125" s="35">
        <f t="shared" si="10"/>
        <v>0</v>
      </c>
      <c r="AS125" s="36">
        <f t="shared" si="11"/>
        <v>0</v>
      </c>
      <c r="AT125" s="37">
        <f t="shared" si="12"/>
        <v>1</v>
      </c>
      <c r="AU125" s="37" t="s">
        <v>228</v>
      </c>
      <c r="AV125" s="38"/>
      <c r="AW125" s="39"/>
    </row>
    <row r="126" s="105" customFormat="1" ht="19.5" customHeight="1" spans="1:49">
      <c r="A126" s="68">
        <v>117</v>
      </c>
      <c r="B126" s="154" t="s">
        <v>158</v>
      </c>
      <c r="C126" s="164" t="s">
        <v>20</v>
      </c>
      <c r="D126" s="149" t="str">
        <f>VLOOKUP(B126,'[1]MASTER DATA 2025'!$C$3:$E$279,3,0)</f>
        <v>0Tahun1 Bulan</v>
      </c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113"/>
      <c r="AO126" s="151">
        <f t="shared" si="7"/>
        <v>0</v>
      </c>
      <c r="AP126" s="35">
        <f t="shared" si="8"/>
        <v>0</v>
      </c>
      <c r="AQ126" s="36">
        <f t="shared" si="9"/>
        <v>0</v>
      </c>
      <c r="AR126" s="35">
        <f t="shared" si="10"/>
        <v>0</v>
      </c>
      <c r="AS126" s="36">
        <f t="shared" si="11"/>
        <v>0</v>
      </c>
      <c r="AT126" s="37">
        <f t="shared" si="12"/>
        <v>0</v>
      </c>
      <c r="AU126" s="37" t="s">
        <v>228</v>
      </c>
      <c r="AV126" s="38"/>
      <c r="AW126" s="39"/>
    </row>
    <row r="127" s="105" customFormat="1" ht="19.5" customHeight="1" spans="1:49">
      <c r="A127" s="68">
        <v>118</v>
      </c>
      <c r="B127" s="154" t="s">
        <v>159</v>
      </c>
      <c r="C127" s="164" t="s">
        <v>59</v>
      </c>
      <c r="D127" s="152" t="s">
        <v>266</v>
      </c>
      <c r="E127" s="62" t="s">
        <v>11</v>
      </c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 t="s">
        <v>11</v>
      </c>
      <c r="Q127" s="62"/>
      <c r="R127" s="62" t="s">
        <v>13</v>
      </c>
      <c r="S127" s="62"/>
      <c r="T127" s="62"/>
      <c r="U127" s="62"/>
      <c r="V127" s="62"/>
      <c r="W127" s="62"/>
      <c r="X127" s="62"/>
      <c r="Y127" s="62" t="s">
        <v>11</v>
      </c>
      <c r="Z127" s="62"/>
      <c r="AA127" s="62"/>
      <c r="AB127" s="62"/>
      <c r="AC127" s="62"/>
      <c r="AD127" s="62"/>
      <c r="AE127" s="62"/>
      <c r="AF127" s="62"/>
      <c r="AG127" s="62" t="s">
        <v>11</v>
      </c>
      <c r="AH127" s="62"/>
      <c r="AI127" s="62"/>
      <c r="AJ127" s="62"/>
      <c r="AK127" s="62"/>
      <c r="AL127" s="62"/>
      <c r="AM127" s="62"/>
      <c r="AN127" s="113"/>
      <c r="AO127" s="151">
        <f t="shared" si="7"/>
        <v>0</v>
      </c>
      <c r="AP127" s="35">
        <f t="shared" si="8"/>
        <v>4</v>
      </c>
      <c r="AQ127" s="36">
        <f t="shared" si="9"/>
        <v>0</v>
      </c>
      <c r="AR127" s="35">
        <f t="shared" si="10"/>
        <v>1</v>
      </c>
      <c r="AS127" s="36">
        <f t="shared" si="11"/>
        <v>0</v>
      </c>
      <c r="AT127" s="37">
        <f t="shared" si="12"/>
        <v>5</v>
      </c>
      <c r="AU127" s="43" t="s">
        <v>193</v>
      </c>
      <c r="AV127" s="38"/>
      <c r="AW127" s="39"/>
    </row>
    <row r="128" s="105" customFormat="1" ht="19.5" customHeight="1" spans="1:49">
      <c r="A128" s="68">
        <v>119</v>
      </c>
      <c r="B128" s="154" t="s">
        <v>160</v>
      </c>
      <c r="C128" s="164" t="s">
        <v>20</v>
      </c>
      <c r="D128" s="149" t="str">
        <f>VLOOKUP(B128,'[1]MASTER DATA 2025'!$C$3:$E$279,3,0)</f>
        <v>0Tahun1 Bulan</v>
      </c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113"/>
      <c r="AO128" s="151">
        <f t="shared" si="7"/>
        <v>0</v>
      </c>
      <c r="AP128" s="47">
        <f t="shared" si="8"/>
        <v>0</v>
      </c>
      <c r="AQ128" s="35">
        <f t="shared" si="9"/>
        <v>0</v>
      </c>
      <c r="AR128" s="35">
        <f t="shared" si="10"/>
        <v>0</v>
      </c>
      <c r="AS128" s="36">
        <f t="shared" si="11"/>
        <v>0</v>
      </c>
      <c r="AT128" s="48">
        <f t="shared" si="12"/>
        <v>0</v>
      </c>
      <c r="AU128" s="37" t="s">
        <v>25</v>
      </c>
      <c r="AV128" s="38"/>
      <c r="AW128" s="39"/>
    </row>
    <row r="129" s="105" customFormat="1" ht="19.5" customHeight="1" spans="1:49">
      <c r="A129" s="68">
        <v>120</v>
      </c>
      <c r="B129" s="154" t="s">
        <v>161</v>
      </c>
      <c r="C129" s="164" t="s">
        <v>20</v>
      </c>
      <c r="D129" s="149" t="str">
        <f>VLOOKUP(B129,'[1]MASTER DATA 2025'!$C$3:$E$279,3,0)</f>
        <v>1Tahun2 Bulan</v>
      </c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113"/>
      <c r="AO129" s="151">
        <f t="shared" si="7"/>
        <v>0</v>
      </c>
      <c r="AP129" s="35">
        <f t="shared" si="8"/>
        <v>0</v>
      </c>
      <c r="AQ129" s="35">
        <f t="shared" si="9"/>
        <v>0</v>
      </c>
      <c r="AR129" s="47">
        <f t="shared" si="10"/>
        <v>0</v>
      </c>
      <c r="AS129" s="36">
        <f t="shared" si="11"/>
        <v>0</v>
      </c>
      <c r="AT129" s="48">
        <f t="shared" si="12"/>
        <v>0</v>
      </c>
      <c r="AU129" s="37" t="s">
        <v>175</v>
      </c>
      <c r="AV129" s="38"/>
      <c r="AW129" s="39"/>
    </row>
    <row r="130" s="105" customFormat="1" ht="19.5" customHeight="1" spans="1:49">
      <c r="A130" s="68">
        <v>121</v>
      </c>
      <c r="B130" s="154" t="s">
        <v>481</v>
      </c>
      <c r="C130" s="164" t="s">
        <v>59</v>
      </c>
      <c r="D130" s="149" t="s">
        <v>178</v>
      </c>
      <c r="E130" s="62"/>
      <c r="F130" s="62"/>
      <c r="G130" s="62"/>
      <c r="H130" s="62"/>
      <c r="I130" s="62" t="s">
        <v>11</v>
      </c>
      <c r="J130" s="62"/>
      <c r="K130" s="62"/>
      <c r="L130" s="62"/>
      <c r="M130" s="62"/>
      <c r="N130" s="62"/>
      <c r="O130" s="62"/>
      <c r="P130" s="62" t="s">
        <v>11</v>
      </c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113"/>
      <c r="AO130" s="151">
        <f t="shared" si="7"/>
        <v>0</v>
      </c>
      <c r="AP130" s="35">
        <f t="shared" si="8"/>
        <v>2</v>
      </c>
      <c r="AQ130" s="35">
        <f t="shared" si="9"/>
        <v>0</v>
      </c>
      <c r="AR130" s="47">
        <f t="shared" si="10"/>
        <v>0</v>
      </c>
      <c r="AS130" s="36"/>
      <c r="AT130" s="37">
        <f t="shared" si="12"/>
        <v>2</v>
      </c>
      <c r="AU130" s="38" t="s">
        <v>207</v>
      </c>
      <c r="AV130" s="38"/>
      <c r="AW130" s="39"/>
    </row>
    <row r="131" s="105" customFormat="1" ht="19.5" customHeight="1" spans="1:49">
      <c r="A131" s="68">
        <v>122</v>
      </c>
      <c r="B131" s="154" t="s">
        <v>164</v>
      </c>
      <c r="C131" s="164" t="s">
        <v>101</v>
      </c>
      <c r="D131" s="149" t="str">
        <f>VLOOKUP(B131,'[1]MASTER DATA 2025'!$C$3:$E$279,3,0)</f>
        <v>2Tahun0 Bulan</v>
      </c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113"/>
      <c r="AO131" s="151">
        <f t="shared" si="7"/>
        <v>0</v>
      </c>
      <c r="AP131" s="35">
        <f t="shared" si="8"/>
        <v>0</v>
      </c>
      <c r="AQ131" s="35">
        <f t="shared" si="9"/>
        <v>0</v>
      </c>
      <c r="AR131" s="47">
        <f t="shared" si="10"/>
        <v>0</v>
      </c>
      <c r="AS131" s="36">
        <f t="shared" ref="AS131:AS186" si="17">COUNTIF(E131:AM131,"OFF")</f>
        <v>0</v>
      </c>
      <c r="AT131" s="48">
        <f t="shared" si="12"/>
        <v>0</v>
      </c>
      <c r="AU131" s="37" t="s">
        <v>25</v>
      </c>
      <c r="AV131" s="38"/>
      <c r="AW131" s="39"/>
    </row>
    <row r="132" s="105" customFormat="1" ht="19.5" customHeight="1" spans="1:49">
      <c r="A132" s="68">
        <v>123</v>
      </c>
      <c r="B132" s="154" t="s">
        <v>176</v>
      </c>
      <c r="C132" s="164" t="s">
        <v>20</v>
      </c>
      <c r="D132" s="149" t="str">
        <f>VLOOKUP(B132,'[1]MASTER DATA 2025'!$C$3:$E$279,3,0)</f>
        <v>0Tahun2 Bulan</v>
      </c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113"/>
      <c r="AO132" s="151">
        <f t="shared" si="7"/>
        <v>0</v>
      </c>
      <c r="AP132" s="35">
        <f t="shared" si="8"/>
        <v>0</v>
      </c>
      <c r="AQ132" s="35">
        <f t="shared" si="9"/>
        <v>0</v>
      </c>
      <c r="AR132" s="47">
        <f t="shared" si="10"/>
        <v>0</v>
      </c>
      <c r="AS132" s="36">
        <f t="shared" si="17"/>
        <v>0</v>
      </c>
      <c r="AT132" s="48">
        <f t="shared" si="12"/>
        <v>0</v>
      </c>
      <c r="AU132" s="37"/>
      <c r="AV132" s="38"/>
      <c r="AW132" s="39"/>
    </row>
    <row r="133" s="105" customFormat="1" ht="19.5" customHeight="1" spans="1:49">
      <c r="A133" s="68">
        <v>124</v>
      </c>
      <c r="B133" s="154" t="s">
        <v>177</v>
      </c>
      <c r="C133" s="164" t="s">
        <v>16</v>
      </c>
      <c r="D133" s="149" t="s">
        <v>178</v>
      </c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113"/>
      <c r="AO133" s="151">
        <f t="shared" si="7"/>
        <v>0</v>
      </c>
      <c r="AP133" s="35">
        <f t="shared" si="8"/>
        <v>0</v>
      </c>
      <c r="AQ133" s="36">
        <f t="shared" si="9"/>
        <v>0</v>
      </c>
      <c r="AR133" s="35">
        <f t="shared" si="10"/>
        <v>0</v>
      </c>
      <c r="AS133" s="36">
        <f t="shared" si="17"/>
        <v>0</v>
      </c>
      <c r="AT133" s="37">
        <f t="shared" si="12"/>
        <v>0</v>
      </c>
      <c r="AU133" s="37" t="s">
        <v>25</v>
      </c>
      <c r="AV133" s="38"/>
      <c r="AW133" s="39"/>
    </row>
    <row r="134" s="105" customFormat="1" ht="19.5" customHeight="1" spans="1:49">
      <c r="A134" s="68">
        <v>125</v>
      </c>
      <c r="B134" s="154" t="s">
        <v>482</v>
      </c>
      <c r="C134" s="164" t="s">
        <v>16</v>
      </c>
      <c r="D134" s="149" t="s">
        <v>238</v>
      </c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 t="s">
        <v>11</v>
      </c>
      <c r="AI134" s="62"/>
      <c r="AJ134" s="62"/>
      <c r="AK134" s="62"/>
      <c r="AL134" s="62"/>
      <c r="AM134" s="62"/>
      <c r="AN134" s="113"/>
      <c r="AO134" s="151">
        <f t="shared" si="7"/>
        <v>0</v>
      </c>
      <c r="AP134" s="35">
        <f t="shared" si="8"/>
        <v>1</v>
      </c>
      <c r="AQ134" s="35">
        <f t="shared" si="9"/>
        <v>0</v>
      </c>
      <c r="AR134" s="47">
        <f t="shared" si="10"/>
        <v>0</v>
      </c>
      <c r="AS134" s="36">
        <f t="shared" si="17"/>
        <v>0</v>
      </c>
      <c r="AT134" s="48">
        <f t="shared" si="12"/>
        <v>1</v>
      </c>
      <c r="AU134" s="37" t="s">
        <v>25</v>
      </c>
      <c r="AV134" s="38"/>
      <c r="AW134" s="39"/>
    </row>
    <row r="135" s="105" customFormat="1" ht="19.5" customHeight="1" spans="1:49">
      <c r="A135" s="68">
        <v>126</v>
      </c>
      <c r="B135" s="154" t="s">
        <v>158</v>
      </c>
      <c r="C135" s="164" t="s">
        <v>20</v>
      </c>
      <c r="D135" s="149" t="s">
        <v>180</v>
      </c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113"/>
      <c r="AO135" s="151">
        <f t="shared" si="7"/>
        <v>0</v>
      </c>
      <c r="AP135" s="35">
        <f t="shared" si="8"/>
        <v>0</v>
      </c>
      <c r="AQ135" s="35">
        <f t="shared" si="9"/>
        <v>0</v>
      </c>
      <c r="AR135" s="47">
        <f t="shared" si="10"/>
        <v>0</v>
      </c>
      <c r="AS135" s="36">
        <f t="shared" si="17"/>
        <v>0</v>
      </c>
      <c r="AT135" s="48">
        <f t="shared" si="12"/>
        <v>0</v>
      </c>
      <c r="AU135" s="37" t="s">
        <v>25</v>
      </c>
      <c r="AV135" s="38"/>
      <c r="AW135" s="39"/>
    </row>
    <row r="136" s="105" customFormat="1" ht="19.5" customHeight="1" spans="1:49">
      <c r="A136" s="68">
        <v>127</v>
      </c>
      <c r="B136" s="154" t="s">
        <v>181</v>
      </c>
      <c r="C136" s="165" t="s">
        <v>59</v>
      </c>
      <c r="D136" s="152" t="s">
        <v>308</v>
      </c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113"/>
      <c r="AO136" s="151">
        <f t="shared" si="7"/>
        <v>0</v>
      </c>
      <c r="AP136" s="35">
        <f t="shared" si="8"/>
        <v>0</v>
      </c>
      <c r="AQ136" s="36">
        <f t="shared" si="9"/>
        <v>0</v>
      </c>
      <c r="AR136" s="35">
        <f t="shared" si="10"/>
        <v>0</v>
      </c>
      <c r="AS136" s="36">
        <f t="shared" si="17"/>
        <v>0</v>
      </c>
      <c r="AT136" s="37">
        <f t="shared" si="12"/>
        <v>0</v>
      </c>
      <c r="AU136" s="43" t="s">
        <v>336</v>
      </c>
      <c r="AV136" s="38"/>
      <c r="AW136" s="39"/>
    </row>
    <row r="137" s="105" customFormat="1" ht="19.5" customHeight="1" spans="1:49">
      <c r="A137" s="68">
        <v>128</v>
      </c>
      <c r="B137" s="154" t="s">
        <v>182</v>
      </c>
      <c r="C137" s="166" t="s">
        <v>59</v>
      </c>
      <c r="D137" s="152" t="s">
        <v>178</v>
      </c>
      <c r="E137" s="62"/>
      <c r="F137" s="62"/>
      <c r="G137" s="62"/>
      <c r="H137" s="62"/>
      <c r="I137" s="62"/>
      <c r="J137" s="62"/>
      <c r="K137" s="172"/>
      <c r="L137" s="172"/>
      <c r="M137" s="172"/>
      <c r="N137" s="172"/>
      <c r="O137" s="17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113"/>
      <c r="AO137" s="151">
        <f t="shared" si="7"/>
        <v>0</v>
      </c>
      <c r="AP137" s="131">
        <f t="shared" si="8"/>
        <v>0</v>
      </c>
      <c r="AQ137" s="103">
        <f t="shared" si="9"/>
        <v>0</v>
      </c>
      <c r="AR137" s="131">
        <f t="shared" si="10"/>
        <v>0</v>
      </c>
      <c r="AS137" s="103">
        <f t="shared" si="17"/>
        <v>0</v>
      </c>
      <c r="AT137" s="128">
        <f t="shared" si="12"/>
        <v>0</v>
      </c>
      <c r="AU137" s="128" t="s">
        <v>25</v>
      </c>
      <c r="AV137" s="38"/>
      <c r="AW137" s="39"/>
    </row>
    <row r="138" s="105" customFormat="1" ht="19.5" customHeight="1" spans="1:49">
      <c r="A138" s="68">
        <v>129</v>
      </c>
      <c r="B138" s="154" t="s">
        <v>183</v>
      </c>
      <c r="C138" s="166" t="s">
        <v>16</v>
      </c>
      <c r="D138" s="149" t="s">
        <v>219</v>
      </c>
      <c r="E138" s="62" t="s">
        <v>11</v>
      </c>
      <c r="F138" s="62"/>
      <c r="G138" s="62"/>
      <c r="H138" s="62"/>
      <c r="I138" s="62"/>
      <c r="J138" s="236"/>
      <c r="K138" s="236"/>
      <c r="L138" s="236"/>
      <c r="M138" s="236"/>
      <c r="N138" s="180"/>
      <c r="O138" s="180"/>
      <c r="P138" s="237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113"/>
      <c r="AO138" s="151">
        <f t="shared" si="7"/>
        <v>0</v>
      </c>
      <c r="AP138" s="43">
        <f t="shared" si="8"/>
        <v>1</v>
      </c>
      <c r="AQ138" s="66">
        <f t="shared" si="9"/>
        <v>0</v>
      </c>
      <c r="AR138" s="43">
        <f t="shared" si="10"/>
        <v>0</v>
      </c>
      <c r="AS138" s="66">
        <f t="shared" si="17"/>
        <v>0</v>
      </c>
      <c r="AT138" s="43">
        <f t="shared" si="12"/>
        <v>1</v>
      </c>
      <c r="AU138" s="43" t="s">
        <v>336</v>
      </c>
      <c r="AV138" s="68"/>
      <c r="AW138" s="39"/>
    </row>
    <row r="139" s="105" customFormat="1" ht="19.5" customHeight="1" spans="1:49">
      <c r="A139" s="68">
        <v>130</v>
      </c>
      <c r="B139" s="154" t="s">
        <v>184</v>
      </c>
      <c r="C139" s="166" t="s">
        <v>16</v>
      </c>
      <c r="D139" s="152" t="s">
        <v>180</v>
      </c>
      <c r="E139" s="62"/>
      <c r="F139" s="62"/>
      <c r="G139" s="62"/>
      <c r="H139" s="62"/>
      <c r="I139" s="62"/>
      <c r="J139" s="62"/>
      <c r="K139" s="238"/>
      <c r="L139" s="238"/>
      <c r="M139" s="238"/>
      <c r="N139" s="238"/>
      <c r="O139" s="238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113"/>
      <c r="AO139" s="151">
        <f t="shared" si="7"/>
        <v>0</v>
      </c>
      <c r="AP139" s="35">
        <f t="shared" si="8"/>
        <v>0</v>
      </c>
      <c r="AQ139" s="36">
        <f t="shared" si="9"/>
        <v>0</v>
      </c>
      <c r="AR139" s="35">
        <f t="shared" si="10"/>
        <v>0</v>
      </c>
      <c r="AS139" s="36">
        <f t="shared" si="17"/>
        <v>0</v>
      </c>
      <c r="AT139" s="35">
        <f t="shared" si="12"/>
        <v>0</v>
      </c>
      <c r="AU139" s="35" t="s">
        <v>228</v>
      </c>
      <c r="AV139" s="38"/>
      <c r="AW139" s="39"/>
    </row>
    <row r="140" s="105" customFormat="1" ht="19.5" customHeight="1" spans="1:49">
      <c r="A140" s="68">
        <v>131</v>
      </c>
      <c r="B140" s="154" t="s">
        <v>185</v>
      </c>
      <c r="C140" s="166" t="s">
        <v>16</v>
      </c>
      <c r="D140" s="152" t="s">
        <v>205</v>
      </c>
      <c r="E140" s="62"/>
      <c r="F140" s="62"/>
      <c r="G140" s="62"/>
      <c r="H140" s="62"/>
      <c r="I140" s="62"/>
      <c r="J140" s="62"/>
      <c r="K140" s="62"/>
      <c r="L140" s="62" t="s">
        <v>11</v>
      </c>
      <c r="M140" s="62"/>
      <c r="N140" s="62"/>
      <c r="O140" s="62" t="s">
        <v>11</v>
      </c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 t="s">
        <v>13</v>
      </c>
      <c r="AA140" s="62"/>
      <c r="AB140" s="62"/>
      <c r="AC140" s="62"/>
      <c r="AD140" s="62"/>
      <c r="AE140" s="62" t="s">
        <v>11</v>
      </c>
      <c r="AF140" s="62" t="s">
        <v>11</v>
      </c>
      <c r="AG140" s="62" t="s">
        <v>11</v>
      </c>
      <c r="AH140" s="62"/>
      <c r="AI140" s="62"/>
      <c r="AJ140" s="62"/>
      <c r="AK140" s="62"/>
      <c r="AL140" s="62"/>
      <c r="AM140" s="62"/>
      <c r="AN140" s="113"/>
      <c r="AO140" s="151">
        <f t="shared" ref="AO140:AO147" si="18">COUNTIF(E140:AM140,"H")</f>
        <v>0</v>
      </c>
      <c r="AP140" s="35">
        <f t="shared" ref="AP140:AP186" si="19">COUNTIF(E140:AM140,"S")</f>
        <v>5</v>
      </c>
      <c r="AQ140" s="36">
        <f t="shared" ref="AQ140:AQ186" si="20">COUNTIF(E140:AM140,"I")</f>
        <v>0</v>
      </c>
      <c r="AR140" s="35">
        <f t="shared" ref="AR140:AR186" si="21">COUNTIF(E140:AM140,"A")</f>
        <v>1</v>
      </c>
      <c r="AS140" s="36">
        <f t="shared" si="17"/>
        <v>0</v>
      </c>
      <c r="AT140" s="37">
        <f t="shared" ref="AT140:AT186" si="22">SUM(AO140:AR140)</f>
        <v>6</v>
      </c>
      <c r="AU140" s="43" t="s">
        <v>336</v>
      </c>
      <c r="AV140" s="38"/>
      <c r="AW140" s="39"/>
    </row>
    <row r="141" s="105" customFormat="1" ht="19.5" customHeight="1" spans="1:49">
      <c r="A141" s="68">
        <v>132</v>
      </c>
      <c r="B141" s="154" t="s">
        <v>186</v>
      </c>
      <c r="C141" s="166" t="s">
        <v>245</v>
      </c>
      <c r="D141" s="149" t="s">
        <v>112</v>
      </c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113"/>
      <c r="AO141" s="151">
        <f t="shared" si="18"/>
        <v>0</v>
      </c>
      <c r="AP141" s="35">
        <f t="shared" si="19"/>
        <v>0</v>
      </c>
      <c r="AQ141" s="36">
        <f t="shared" si="20"/>
        <v>0</v>
      </c>
      <c r="AR141" s="35">
        <f t="shared" si="21"/>
        <v>0</v>
      </c>
      <c r="AS141" s="36">
        <f t="shared" si="17"/>
        <v>0</v>
      </c>
      <c r="AT141" s="37">
        <f t="shared" si="22"/>
        <v>0</v>
      </c>
      <c r="AU141" s="37" t="s">
        <v>216</v>
      </c>
      <c r="AV141" s="38"/>
      <c r="AW141" s="39"/>
    </row>
    <row r="142" s="105" customFormat="1" ht="19.5" customHeight="1" spans="1:49">
      <c r="A142" s="68">
        <v>133</v>
      </c>
      <c r="B142" s="154" t="s">
        <v>187</v>
      </c>
      <c r="C142" s="166" t="s">
        <v>16</v>
      </c>
      <c r="D142" s="152" t="s">
        <v>163</v>
      </c>
      <c r="E142" s="62"/>
      <c r="F142" s="62"/>
      <c r="G142" s="62"/>
      <c r="H142" s="62"/>
      <c r="I142" s="62"/>
      <c r="J142" s="62"/>
      <c r="K142" s="62"/>
      <c r="L142" s="62" t="s">
        <v>11</v>
      </c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113"/>
      <c r="AO142" s="151">
        <f t="shared" si="18"/>
        <v>0</v>
      </c>
      <c r="AP142" s="35">
        <f t="shared" si="19"/>
        <v>1</v>
      </c>
      <c r="AQ142" s="36">
        <f t="shared" si="20"/>
        <v>0</v>
      </c>
      <c r="AR142" s="35">
        <f t="shared" si="21"/>
        <v>0</v>
      </c>
      <c r="AS142" s="36">
        <f t="shared" si="17"/>
        <v>0</v>
      </c>
      <c r="AT142" s="37">
        <f t="shared" si="22"/>
        <v>1</v>
      </c>
      <c r="AU142" s="43" t="s">
        <v>438</v>
      </c>
      <c r="AV142" s="38"/>
      <c r="AW142" s="39"/>
    </row>
    <row r="143" s="105" customFormat="1" ht="19.5" customHeight="1" spans="1:49">
      <c r="A143" s="68">
        <v>134</v>
      </c>
      <c r="B143" s="154" t="s">
        <v>188</v>
      </c>
      <c r="C143" s="166" t="s">
        <v>16</v>
      </c>
      <c r="D143" s="152" t="str">
        <f>VLOOKUP(B143,'[1]MASTER DATA 2025'!$C$3:$E$279,3,0)</f>
        <v>1Tahun5 Bulan</v>
      </c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113"/>
      <c r="AO143" s="151">
        <f t="shared" si="18"/>
        <v>0</v>
      </c>
      <c r="AP143" s="35">
        <f t="shared" si="19"/>
        <v>0</v>
      </c>
      <c r="AQ143" s="36">
        <f t="shared" si="20"/>
        <v>0</v>
      </c>
      <c r="AR143" s="35">
        <f t="shared" si="21"/>
        <v>0</v>
      </c>
      <c r="AS143" s="36">
        <f t="shared" si="17"/>
        <v>0</v>
      </c>
      <c r="AT143" s="37">
        <f t="shared" si="22"/>
        <v>0</v>
      </c>
      <c r="AU143" s="37"/>
      <c r="AV143" s="38"/>
      <c r="AW143" s="39"/>
    </row>
    <row r="144" s="105" customFormat="1" ht="19.5" customHeight="1" spans="1:49">
      <c r="A144" s="68">
        <v>135</v>
      </c>
      <c r="B144" s="154" t="s">
        <v>483</v>
      </c>
      <c r="C144" s="166" t="s">
        <v>413</v>
      </c>
      <c r="D144" s="152" t="s">
        <v>484</v>
      </c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 t="s">
        <v>11</v>
      </c>
      <c r="AM144" s="62" t="s">
        <v>11</v>
      </c>
      <c r="AN144" s="113"/>
      <c r="AO144" s="151">
        <f t="shared" si="18"/>
        <v>0</v>
      </c>
      <c r="AP144" s="35">
        <f t="shared" si="19"/>
        <v>2</v>
      </c>
      <c r="AQ144" s="36">
        <f t="shared" si="20"/>
        <v>0</v>
      </c>
      <c r="AR144" s="35">
        <f t="shared" si="21"/>
        <v>0</v>
      </c>
      <c r="AS144" s="36">
        <f t="shared" si="17"/>
        <v>0</v>
      </c>
      <c r="AT144" s="37">
        <f t="shared" si="22"/>
        <v>2</v>
      </c>
      <c r="AU144" s="37" t="s">
        <v>25</v>
      </c>
      <c r="AV144" s="38"/>
      <c r="AW144" s="39"/>
    </row>
    <row r="145" s="105" customFormat="1" ht="19.5" customHeight="1" spans="1:49">
      <c r="A145" s="68">
        <v>136</v>
      </c>
      <c r="B145" s="154" t="s">
        <v>190</v>
      </c>
      <c r="C145" s="166" t="s">
        <v>16</v>
      </c>
      <c r="D145" s="152" t="s">
        <v>180</v>
      </c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113"/>
      <c r="AO145" s="151">
        <f t="shared" si="18"/>
        <v>0</v>
      </c>
      <c r="AP145" s="35">
        <f t="shared" si="19"/>
        <v>0</v>
      </c>
      <c r="AQ145" s="36">
        <f t="shared" si="20"/>
        <v>0</v>
      </c>
      <c r="AR145" s="35">
        <f t="shared" si="21"/>
        <v>0</v>
      </c>
      <c r="AS145" s="36">
        <f t="shared" si="17"/>
        <v>0</v>
      </c>
      <c r="AT145" s="37">
        <f t="shared" si="22"/>
        <v>0</v>
      </c>
      <c r="AU145" s="37" t="s">
        <v>214</v>
      </c>
      <c r="AV145" s="38"/>
      <c r="AW145" s="39"/>
    </row>
    <row r="146" s="105" customFormat="1" ht="19.5" customHeight="1" spans="1:49">
      <c r="A146" s="68">
        <v>137</v>
      </c>
      <c r="B146" s="154" t="s">
        <v>191</v>
      </c>
      <c r="C146" s="150" t="s">
        <v>16</v>
      </c>
      <c r="D146" s="152" t="s">
        <v>178</v>
      </c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113"/>
      <c r="AO146" s="151">
        <f t="shared" si="18"/>
        <v>0</v>
      </c>
      <c r="AP146" s="35">
        <f t="shared" si="19"/>
        <v>0</v>
      </c>
      <c r="AQ146" s="35">
        <f t="shared" si="20"/>
        <v>0</v>
      </c>
      <c r="AR146" s="36">
        <f t="shared" si="21"/>
        <v>0</v>
      </c>
      <c r="AS146" s="36">
        <f t="shared" si="17"/>
        <v>0</v>
      </c>
      <c r="AT146" s="37">
        <f t="shared" si="22"/>
        <v>0</v>
      </c>
      <c r="AU146" s="37" t="s">
        <v>192</v>
      </c>
      <c r="AV146" s="38">
        <v>16</v>
      </c>
      <c r="AW146" s="39">
        <f>AT146/AV146</f>
        <v>0</v>
      </c>
    </row>
    <row r="147" s="105" customFormat="1" ht="19.5" customHeight="1" spans="1:49">
      <c r="A147" s="68"/>
      <c r="B147" s="154" t="s">
        <v>247</v>
      </c>
      <c r="C147" s="150" t="s">
        <v>16</v>
      </c>
      <c r="D147" s="149" t="s">
        <v>196</v>
      </c>
      <c r="E147" s="62"/>
      <c r="F147" s="62"/>
      <c r="G147" s="62" t="s">
        <v>11</v>
      </c>
      <c r="H147" s="62"/>
      <c r="I147" s="62"/>
      <c r="J147" s="62"/>
      <c r="K147" s="62"/>
      <c r="L147" s="62"/>
      <c r="M147" s="62"/>
      <c r="N147" s="62" t="s">
        <v>12</v>
      </c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113"/>
      <c r="AO147" s="151">
        <f t="shared" si="18"/>
        <v>0</v>
      </c>
      <c r="AP147" s="35">
        <f t="shared" si="19"/>
        <v>1</v>
      </c>
      <c r="AQ147" s="36">
        <f t="shared" si="20"/>
        <v>1</v>
      </c>
      <c r="AR147" s="35">
        <f t="shared" si="21"/>
        <v>0</v>
      </c>
      <c r="AS147" s="36">
        <f t="shared" si="17"/>
        <v>0</v>
      </c>
      <c r="AT147" s="37">
        <f t="shared" si="22"/>
        <v>2</v>
      </c>
      <c r="AU147" s="43" t="s">
        <v>193</v>
      </c>
      <c r="AV147" s="38"/>
      <c r="AW147" s="39"/>
    </row>
    <row r="148" s="105" customFormat="1" ht="19.5" customHeight="1" spans="1:49">
      <c r="A148" s="68"/>
      <c r="B148" s="154" t="s">
        <v>439</v>
      </c>
      <c r="C148" s="150" t="s">
        <v>16</v>
      </c>
      <c r="D148" s="152" t="s">
        <v>178</v>
      </c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113"/>
      <c r="AO148" s="151"/>
      <c r="AP148" s="35">
        <f t="shared" si="19"/>
        <v>0</v>
      </c>
      <c r="AQ148" s="36">
        <f t="shared" si="20"/>
        <v>0</v>
      </c>
      <c r="AR148" s="35">
        <f t="shared" si="21"/>
        <v>0</v>
      </c>
      <c r="AS148" s="36">
        <f t="shared" si="17"/>
        <v>0</v>
      </c>
      <c r="AT148" s="37">
        <f t="shared" si="22"/>
        <v>0</v>
      </c>
      <c r="AU148" s="37"/>
      <c r="AV148" s="38"/>
      <c r="AW148" s="39"/>
    </row>
    <row r="149" s="105" customFormat="1" ht="19.5" customHeight="1" spans="1:49">
      <c r="A149" s="68"/>
      <c r="B149" s="154" t="s">
        <v>249</v>
      </c>
      <c r="C149" s="150" t="s">
        <v>16</v>
      </c>
      <c r="D149" s="152" t="s">
        <v>250</v>
      </c>
      <c r="E149" s="62"/>
      <c r="F149" s="62"/>
      <c r="G149" s="62"/>
      <c r="H149" s="62"/>
      <c r="I149" s="62"/>
      <c r="J149" s="62" t="s">
        <v>12</v>
      </c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113"/>
      <c r="AO149" s="151"/>
      <c r="AP149" s="35">
        <f t="shared" si="19"/>
        <v>0</v>
      </c>
      <c r="AQ149" s="36">
        <f t="shared" si="20"/>
        <v>1</v>
      </c>
      <c r="AR149" s="35">
        <f t="shared" si="21"/>
        <v>0</v>
      </c>
      <c r="AS149" s="36">
        <f t="shared" si="17"/>
        <v>0</v>
      </c>
      <c r="AT149" s="37">
        <f t="shared" si="22"/>
        <v>1</v>
      </c>
      <c r="AU149" s="37"/>
      <c r="AV149" s="38"/>
      <c r="AW149" s="39"/>
    </row>
    <row r="150" s="105" customFormat="1" ht="19.5" customHeight="1" spans="1:49">
      <c r="A150" s="68"/>
      <c r="B150" s="154" t="s">
        <v>396</v>
      </c>
      <c r="C150" s="150" t="s">
        <v>16</v>
      </c>
      <c r="D150" s="152" t="s">
        <v>178</v>
      </c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 t="s">
        <v>11</v>
      </c>
      <c r="AM150" s="62"/>
      <c r="AN150" s="113"/>
      <c r="AO150" s="151"/>
      <c r="AP150" s="35">
        <f t="shared" si="19"/>
        <v>1</v>
      </c>
      <c r="AQ150" s="36">
        <f t="shared" si="20"/>
        <v>0</v>
      </c>
      <c r="AR150" s="35">
        <f t="shared" si="21"/>
        <v>0</v>
      </c>
      <c r="AS150" s="36">
        <f t="shared" si="17"/>
        <v>0</v>
      </c>
      <c r="AT150" s="37">
        <f t="shared" si="22"/>
        <v>1</v>
      </c>
      <c r="AU150" s="129" t="s">
        <v>440</v>
      </c>
      <c r="AV150" s="38"/>
      <c r="AW150" s="39"/>
    </row>
    <row r="151" s="105" customFormat="1" ht="19.5" customHeight="1" spans="1:49">
      <c r="A151" s="68"/>
      <c r="B151" s="154" t="s">
        <v>485</v>
      </c>
      <c r="C151" s="167" t="s">
        <v>59</v>
      </c>
      <c r="D151" s="152" t="s">
        <v>112</v>
      </c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 t="s">
        <v>11</v>
      </c>
      <c r="U151" s="62"/>
      <c r="V151" s="62"/>
      <c r="W151" s="62"/>
      <c r="X151" s="62"/>
      <c r="Y151" s="62"/>
      <c r="Z151" s="62"/>
      <c r="AA151" s="62"/>
      <c r="AB151" s="62"/>
      <c r="AC151" s="62"/>
      <c r="AD151" s="62" t="s">
        <v>11</v>
      </c>
      <c r="AE151" s="62" t="s">
        <v>11</v>
      </c>
      <c r="AF151" s="62"/>
      <c r="AG151" s="62"/>
      <c r="AH151" s="62"/>
      <c r="AI151" s="62"/>
      <c r="AJ151" s="62"/>
      <c r="AK151" s="62"/>
      <c r="AL151" s="62"/>
      <c r="AM151" s="62"/>
      <c r="AN151" s="113"/>
      <c r="AO151" s="151"/>
      <c r="AP151" s="35">
        <f t="shared" si="19"/>
        <v>3</v>
      </c>
      <c r="AQ151" s="36">
        <f t="shared" si="20"/>
        <v>0</v>
      </c>
      <c r="AR151" s="35">
        <f t="shared" si="21"/>
        <v>0</v>
      </c>
      <c r="AS151" s="36">
        <f t="shared" si="17"/>
        <v>0</v>
      </c>
      <c r="AT151" s="37">
        <f t="shared" si="22"/>
        <v>3</v>
      </c>
      <c r="AU151" s="43" t="s">
        <v>382</v>
      </c>
      <c r="AV151" s="38"/>
      <c r="AW151" s="39"/>
    </row>
    <row r="152" s="105" customFormat="1" ht="19.5" customHeight="1" spans="1:49">
      <c r="A152" s="68"/>
      <c r="B152" s="154" t="s">
        <v>255</v>
      </c>
      <c r="C152" s="150" t="s">
        <v>165</v>
      </c>
      <c r="D152" s="152" t="s">
        <v>238</v>
      </c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113"/>
      <c r="AO152" s="151"/>
      <c r="AP152" s="35">
        <f t="shared" si="19"/>
        <v>0</v>
      </c>
      <c r="AQ152" s="36">
        <f t="shared" si="20"/>
        <v>0</v>
      </c>
      <c r="AR152" s="35">
        <f t="shared" si="21"/>
        <v>0</v>
      </c>
      <c r="AS152" s="36">
        <f t="shared" si="17"/>
        <v>0</v>
      </c>
      <c r="AT152" s="37">
        <f t="shared" si="22"/>
        <v>0</v>
      </c>
      <c r="AU152" s="38"/>
      <c r="AV152" s="38"/>
      <c r="AW152" s="39"/>
    </row>
    <row r="153" s="105" customFormat="1" ht="19.5" customHeight="1" spans="1:49">
      <c r="A153" s="68"/>
      <c r="B153" s="154" t="s">
        <v>397</v>
      </c>
      <c r="C153" s="167" t="s">
        <v>59</v>
      </c>
      <c r="D153" s="162" t="s">
        <v>112</v>
      </c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113"/>
      <c r="AO153" s="151"/>
      <c r="AP153" s="35">
        <f t="shared" si="19"/>
        <v>0</v>
      </c>
      <c r="AQ153" s="36">
        <f t="shared" si="20"/>
        <v>0</v>
      </c>
      <c r="AR153" s="35">
        <f t="shared" si="21"/>
        <v>0</v>
      </c>
      <c r="AS153" s="36">
        <f t="shared" si="17"/>
        <v>0</v>
      </c>
      <c r="AT153" s="37">
        <f t="shared" si="22"/>
        <v>0</v>
      </c>
      <c r="AU153" s="43" t="s">
        <v>441</v>
      </c>
      <c r="AV153" s="38"/>
      <c r="AW153" s="39"/>
    </row>
    <row r="154" s="105" customFormat="1" ht="20.15" customHeight="1" spans="1:49">
      <c r="A154" s="68"/>
      <c r="B154" s="154" t="s">
        <v>258</v>
      </c>
      <c r="C154" s="167" t="s">
        <v>59</v>
      </c>
      <c r="D154" s="152" t="s">
        <v>215</v>
      </c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113"/>
      <c r="AO154" s="151"/>
      <c r="AP154" s="35">
        <f t="shared" si="19"/>
        <v>0</v>
      </c>
      <c r="AQ154" s="36">
        <f t="shared" si="20"/>
        <v>0</v>
      </c>
      <c r="AR154" s="35">
        <f t="shared" si="21"/>
        <v>0</v>
      </c>
      <c r="AS154" s="36">
        <f t="shared" si="17"/>
        <v>0</v>
      </c>
      <c r="AT154" s="37">
        <f t="shared" si="22"/>
        <v>0</v>
      </c>
      <c r="AU154" s="37" t="s">
        <v>228</v>
      </c>
      <c r="AV154" s="38"/>
      <c r="AW154" s="39"/>
    </row>
    <row r="155" s="105" customFormat="1" ht="20.15" customHeight="1" spans="1:49">
      <c r="A155" s="68"/>
      <c r="B155" s="154" t="s">
        <v>259</v>
      </c>
      <c r="C155" s="167" t="s">
        <v>260</v>
      </c>
      <c r="D155" s="149" t="s">
        <v>163</v>
      </c>
      <c r="E155" s="62"/>
      <c r="F155" s="62" t="s">
        <v>103</v>
      </c>
      <c r="G155" s="62"/>
      <c r="H155" s="62"/>
      <c r="I155" s="62"/>
      <c r="J155" s="62" t="s">
        <v>40</v>
      </c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113"/>
      <c r="AO155" s="151"/>
      <c r="AP155" s="35">
        <f t="shared" si="19"/>
        <v>1</v>
      </c>
      <c r="AQ155" s="36">
        <f t="shared" si="20"/>
        <v>1</v>
      </c>
      <c r="AR155" s="35">
        <f t="shared" si="21"/>
        <v>0</v>
      </c>
      <c r="AS155" s="36">
        <f t="shared" si="17"/>
        <v>0</v>
      </c>
      <c r="AT155" s="37">
        <f t="shared" si="22"/>
        <v>2</v>
      </c>
      <c r="AU155" s="43" t="s">
        <v>336</v>
      </c>
      <c r="AV155" s="38"/>
      <c r="AW155" s="39"/>
    </row>
    <row r="156" s="105" customFormat="1" ht="20.15" customHeight="1" spans="1:49">
      <c r="A156" s="68"/>
      <c r="B156" s="154" t="s">
        <v>262</v>
      </c>
      <c r="C156" s="167" t="s">
        <v>263</v>
      </c>
      <c r="D156" s="152" t="s">
        <v>180</v>
      </c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113"/>
      <c r="AO156" s="151"/>
      <c r="AP156" s="35">
        <f t="shared" si="19"/>
        <v>0</v>
      </c>
      <c r="AQ156" s="36">
        <f t="shared" si="20"/>
        <v>0</v>
      </c>
      <c r="AR156" s="35">
        <f t="shared" si="21"/>
        <v>0</v>
      </c>
      <c r="AS156" s="36">
        <f t="shared" si="17"/>
        <v>0</v>
      </c>
      <c r="AT156" s="37">
        <f t="shared" si="22"/>
        <v>0</v>
      </c>
      <c r="AU156" s="38" t="s">
        <v>282</v>
      </c>
      <c r="AV156" s="38"/>
      <c r="AW156" s="39"/>
    </row>
    <row r="157" s="105" customFormat="1" ht="20.15" customHeight="1" spans="1:49">
      <c r="A157" s="68"/>
      <c r="B157" s="154" t="s">
        <v>283</v>
      </c>
      <c r="C157" s="150" t="s">
        <v>16</v>
      </c>
      <c r="D157" s="152" t="s">
        <v>346</v>
      </c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113"/>
      <c r="AO157" s="151"/>
      <c r="AP157" s="35">
        <f t="shared" si="19"/>
        <v>0</v>
      </c>
      <c r="AQ157" s="36">
        <f t="shared" si="20"/>
        <v>0</v>
      </c>
      <c r="AR157" s="35">
        <f t="shared" si="21"/>
        <v>0</v>
      </c>
      <c r="AS157" s="36">
        <f t="shared" si="17"/>
        <v>0</v>
      </c>
      <c r="AT157" s="37">
        <f t="shared" si="22"/>
        <v>0</v>
      </c>
      <c r="AU157" s="38"/>
      <c r="AV157" s="38"/>
      <c r="AW157" s="39"/>
    </row>
    <row r="158" s="105" customFormat="1" ht="20.15" customHeight="1" spans="1:49">
      <c r="A158" s="68"/>
      <c r="B158" s="154" t="s">
        <v>284</v>
      </c>
      <c r="C158" s="167" t="s">
        <v>285</v>
      </c>
      <c r="D158" s="152" t="s">
        <v>178</v>
      </c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113"/>
      <c r="AO158" s="151"/>
      <c r="AP158" s="35">
        <f t="shared" si="19"/>
        <v>0</v>
      </c>
      <c r="AQ158" s="36">
        <f t="shared" si="20"/>
        <v>0</v>
      </c>
      <c r="AR158" s="35">
        <f t="shared" si="21"/>
        <v>0</v>
      </c>
      <c r="AS158" s="36">
        <f t="shared" si="17"/>
        <v>0</v>
      </c>
      <c r="AT158" s="37">
        <f t="shared" si="22"/>
        <v>0</v>
      </c>
      <c r="AU158" s="130" t="s">
        <v>171</v>
      </c>
      <c r="AV158" s="38"/>
      <c r="AW158" s="39"/>
    </row>
    <row r="159" s="105" customFormat="1" ht="20.15" customHeight="1" spans="1:49">
      <c r="A159" s="68"/>
      <c r="B159" s="154" t="s">
        <v>286</v>
      </c>
      <c r="C159" s="150" t="s">
        <v>16</v>
      </c>
      <c r="D159" s="152" t="s">
        <v>163</v>
      </c>
      <c r="E159" s="62"/>
      <c r="F159" s="62"/>
      <c r="G159" s="62" t="s">
        <v>11</v>
      </c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 t="s">
        <v>11</v>
      </c>
      <c r="V159" s="62"/>
      <c r="W159" s="62"/>
      <c r="X159" s="62"/>
      <c r="Y159" s="62" t="s">
        <v>12</v>
      </c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113"/>
      <c r="AO159" s="151"/>
      <c r="AP159" s="35">
        <f t="shared" si="19"/>
        <v>2</v>
      </c>
      <c r="AQ159" s="36">
        <f t="shared" si="20"/>
        <v>1</v>
      </c>
      <c r="AR159" s="35">
        <f t="shared" si="21"/>
        <v>0</v>
      </c>
      <c r="AS159" s="36">
        <f t="shared" si="17"/>
        <v>0</v>
      </c>
      <c r="AT159" s="37">
        <f t="shared" si="22"/>
        <v>3</v>
      </c>
      <c r="AU159" s="43" t="s">
        <v>193</v>
      </c>
      <c r="AV159" s="38"/>
      <c r="AW159" s="39"/>
    </row>
    <row r="160" s="105" customFormat="1" ht="20.15" customHeight="1" spans="1:49">
      <c r="A160" s="68"/>
      <c r="B160" s="154" t="s">
        <v>287</v>
      </c>
      <c r="C160" s="166" t="s">
        <v>16</v>
      </c>
      <c r="D160" s="149" t="s">
        <v>288</v>
      </c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 t="s">
        <v>12</v>
      </c>
      <c r="AE160" s="62"/>
      <c r="AF160" s="62"/>
      <c r="AG160" s="62"/>
      <c r="AH160" s="62"/>
      <c r="AI160" s="62"/>
      <c r="AJ160" s="62"/>
      <c r="AK160" s="62"/>
      <c r="AL160" s="62"/>
      <c r="AM160" s="62"/>
      <c r="AN160" s="113"/>
      <c r="AO160" s="96"/>
      <c r="AP160" s="35">
        <f t="shared" si="19"/>
        <v>0</v>
      </c>
      <c r="AQ160" s="36">
        <f t="shared" si="20"/>
        <v>1</v>
      </c>
      <c r="AR160" s="35">
        <f t="shared" si="21"/>
        <v>0</v>
      </c>
      <c r="AS160" s="36">
        <f t="shared" si="17"/>
        <v>0</v>
      </c>
      <c r="AT160" s="37">
        <f t="shared" si="22"/>
        <v>1</v>
      </c>
      <c r="AU160" s="43" t="s">
        <v>399</v>
      </c>
      <c r="AV160" s="96"/>
      <c r="AW160" s="39"/>
    </row>
    <row r="161" s="105" customFormat="1" ht="20.15" customHeight="1" spans="1:49">
      <c r="A161" s="68"/>
      <c r="B161" s="154" t="s">
        <v>289</v>
      </c>
      <c r="C161" s="150" t="s">
        <v>16</v>
      </c>
      <c r="D161" s="152" t="s">
        <v>231</v>
      </c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113"/>
      <c r="AO161" s="96"/>
      <c r="AP161" s="35">
        <f t="shared" si="19"/>
        <v>0</v>
      </c>
      <c r="AQ161" s="36">
        <f t="shared" si="20"/>
        <v>0</v>
      </c>
      <c r="AR161" s="35">
        <f t="shared" si="21"/>
        <v>0</v>
      </c>
      <c r="AS161" s="36">
        <f t="shared" si="17"/>
        <v>0</v>
      </c>
      <c r="AT161" s="37">
        <f t="shared" si="22"/>
        <v>0</v>
      </c>
      <c r="AU161" s="43" t="s">
        <v>336</v>
      </c>
      <c r="AV161" s="96"/>
      <c r="AW161" s="39"/>
    </row>
    <row r="162" s="105" customFormat="1" ht="20.15" customHeight="1" spans="1:49">
      <c r="A162" s="68"/>
      <c r="B162" s="154" t="s">
        <v>290</v>
      </c>
      <c r="C162" s="150" t="s">
        <v>16</v>
      </c>
      <c r="D162" s="152" t="s">
        <v>236</v>
      </c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113"/>
      <c r="AO162" s="151"/>
      <c r="AP162" s="35">
        <f t="shared" si="19"/>
        <v>0</v>
      </c>
      <c r="AQ162" s="36">
        <f t="shared" si="20"/>
        <v>0</v>
      </c>
      <c r="AR162" s="35">
        <f t="shared" si="21"/>
        <v>0</v>
      </c>
      <c r="AS162" s="36">
        <f t="shared" si="17"/>
        <v>0</v>
      </c>
      <c r="AT162" s="37">
        <f t="shared" si="22"/>
        <v>0</v>
      </c>
      <c r="AU162" s="43" t="s">
        <v>336</v>
      </c>
      <c r="AV162" s="38"/>
      <c r="AW162" s="39"/>
    </row>
    <row r="163" s="105" customFormat="1" ht="20.15" customHeight="1" spans="1:49">
      <c r="A163" s="68"/>
      <c r="B163" s="154" t="s">
        <v>291</v>
      </c>
      <c r="C163" s="167" t="s">
        <v>108</v>
      </c>
      <c r="D163" s="152" t="s">
        <v>153</v>
      </c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 t="s">
        <v>40</v>
      </c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113"/>
      <c r="AO163" s="151">
        <f>COUNTIF(E163:AM163,"H")</f>
        <v>0</v>
      </c>
      <c r="AP163" s="47">
        <f t="shared" si="19"/>
        <v>1</v>
      </c>
      <c r="AQ163" s="35">
        <f t="shared" si="20"/>
        <v>0</v>
      </c>
      <c r="AR163" s="35">
        <f t="shared" si="21"/>
        <v>0</v>
      </c>
      <c r="AS163" s="36">
        <f t="shared" si="17"/>
        <v>0</v>
      </c>
      <c r="AT163" s="48">
        <f t="shared" si="22"/>
        <v>1</v>
      </c>
      <c r="AU163" s="43" t="s">
        <v>336</v>
      </c>
      <c r="AV163" s="38">
        <v>26</v>
      </c>
      <c r="AW163" s="39">
        <f>AT163/AV163</f>
        <v>0.0384615384615385</v>
      </c>
    </row>
    <row r="164" ht="20.15" customHeight="1" spans="1:49">
      <c r="A164" s="97"/>
      <c r="B164" s="154" t="s">
        <v>442</v>
      </c>
      <c r="C164" s="166" t="s">
        <v>16</v>
      </c>
      <c r="D164" s="152" t="s">
        <v>178</v>
      </c>
      <c r="E164" s="62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80"/>
      <c r="S164" s="168"/>
      <c r="T164" s="62" t="s">
        <v>13</v>
      </c>
      <c r="U164" s="62" t="s">
        <v>11</v>
      </c>
      <c r="V164" s="168"/>
      <c r="W164" s="62"/>
      <c r="X164" s="62"/>
      <c r="Y164" s="62"/>
      <c r="Z164" s="168"/>
      <c r="AA164" s="168"/>
      <c r="AB164" s="168"/>
      <c r="AC164" s="168"/>
      <c r="AD164" s="168"/>
      <c r="AE164" s="62"/>
      <c r="AF164" s="62"/>
      <c r="AG164" s="62"/>
      <c r="AH164" s="168"/>
      <c r="AI164" s="168"/>
      <c r="AJ164" s="168"/>
      <c r="AK164" s="168"/>
      <c r="AL164" s="168"/>
      <c r="AM164" s="168"/>
      <c r="AN164" s="113"/>
      <c r="AP164" s="131">
        <f t="shared" si="19"/>
        <v>1</v>
      </c>
      <c r="AQ164" s="103">
        <f t="shared" si="20"/>
        <v>0</v>
      </c>
      <c r="AR164" s="131">
        <f t="shared" si="21"/>
        <v>1</v>
      </c>
      <c r="AS164" s="36">
        <f t="shared" si="17"/>
        <v>0</v>
      </c>
      <c r="AT164" s="128">
        <f t="shared" si="22"/>
        <v>2</v>
      </c>
      <c r="AU164" s="128" t="s">
        <v>305</v>
      </c>
      <c r="AV164" s="97"/>
      <c r="AW164" s="97"/>
    </row>
    <row r="165" ht="20.15" customHeight="1" spans="1:49">
      <c r="A165" s="97"/>
      <c r="B165" s="154" t="s">
        <v>293</v>
      </c>
      <c r="C165" s="170" t="s">
        <v>16</v>
      </c>
      <c r="D165" s="171" t="s">
        <v>238</v>
      </c>
      <c r="E165" s="239"/>
      <c r="F165" s="172"/>
      <c r="G165" s="172"/>
      <c r="H165" s="239"/>
      <c r="I165" s="239"/>
      <c r="J165" s="239"/>
      <c r="K165" s="239"/>
      <c r="L165" s="239"/>
      <c r="M165" s="239"/>
      <c r="N165" s="180"/>
      <c r="O165" s="180"/>
      <c r="P165" s="239"/>
      <c r="Q165" s="180"/>
      <c r="R165" s="239"/>
      <c r="S165" s="239"/>
      <c r="T165" s="239"/>
      <c r="U165" s="239"/>
      <c r="V165" s="239"/>
      <c r="W165" s="239"/>
      <c r="X165" s="172"/>
      <c r="Y165" s="172"/>
      <c r="Z165" s="62" t="s">
        <v>12</v>
      </c>
      <c r="AA165" s="180"/>
      <c r="AB165" s="239"/>
      <c r="AC165" s="62"/>
      <c r="AD165" s="62"/>
      <c r="AE165" s="62" t="s">
        <v>11</v>
      </c>
      <c r="AF165" s="62" t="s">
        <v>12</v>
      </c>
      <c r="AG165" s="240"/>
      <c r="AH165" s="172"/>
      <c r="AI165" s="172" t="s">
        <v>11</v>
      </c>
      <c r="AJ165" s="172"/>
      <c r="AK165" s="172"/>
      <c r="AL165" s="172" t="s">
        <v>11</v>
      </c>
      <c r="AM165" s="172"/>
      <c r="AN165" s="113"/>
      <c r="AP165" s="173">
        <f t="shared" si="19"/>
        <v>3</v>
      </c>
      <c r="AQ165" s="174">
        <f t="shared" si="20"/>
        <v>2</v>
      </c>
      <c r="AR165" s="175">
        <f t="shared" si="21"/>
        <v>0</v>
      </c>
      <c r="AS165" s="105">
        <f t="shared" si="17"/>
        <v>0</v>
      </c>
      <c r="AT165" s="173">
        <f t="shared" si="22"/>
        <v>5</v>
      </c>
      <c r="AU165" s="43" t="s">
        <v>193</v>
      </c>
      <c r="AV165" s="99"/>
      <c r="AW165" s="99"/>
    </row>
    <row r="166" s="105" customFormat="1" ht="20.15" customHeight="1" spans="1:49">
      <c r="A166" s="101"/>
      <c r="B166" s="154" t="s">
        <v>486</v>
      </c>
      <c r="C166" s="150" t="s">
        <v>59</v>
      </c>
      <c r="D166" s="152" t="s">
        <v>178</v>
      </c>
      <c r="E166" s="62"/>
      <c r="F166" s="62"/>
      <c r="G166" s="62"/>
      <c r="H166" s="62"/>
      <c r="I166" s="62"/>
      <c r="J166" s="62"/>
      <c r="K166" s="62"/>
      <c r="L166" s="62" t="s">
        <v>11</v>
      </c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 t="s">
        <v>11</v>
      </c>
      <c r="X166" s="62"/>
      <c r="Y166" s="62"/>
      <c r="Z166" s="62"/>
      <c r="AA166" s="62"/>
      <c r="AB166" s="62"/>
      <c r="AC166" s="62"/>
      <c r="AD166" s="62" t="s">
        <v>11</v>
      </c>
      <c r="AE166" s="62"/>
      <c r="AF166" s="62"/>
      <c r="AG166" s="62"/>
      <c r="AH166" s="62"/>
      <c r="AI166" s="62"/>
      <c r="AJ166" s="62"/>
      <c r="AK166" s="62"/>
      <c r="AL166" s="62"/>
      <c r="AM166" s="62"/>
      <c r="AN166" s="113"/>
      <c r="AO166" s="151">
        <f>COUNTIF(E166:AM166,"H")</f>
        <v>0</v>
      </c>
      <c r="AP166" s="43">
        <f t="shared" si="19"/>
        <v>3</v>
      </c>
      <c r="AQ166" s="43">
        <f t="shared" si="20"/>
        <v>0</v>
      </c>
      <c r="AR166" s="176">
        <f t="shared" si="21"/>
        <v>0</v>
      </c>
      <c r="AS166" s="66">
        <f t="shared" si="17"/>
        <v>0</v>
      </c>
      <c r="AT166" s="43">
        <f t="shared" si="22"/>
        <v>3</v>
      </c>
      <c r="AU166" s="43"/>
      <c r="AV166" s="101"/>
      <c r="AW166" s="102"/>
    </row>
    <row r="167" s="105" customFormat="1" ht="20.15" customHeight="1" spans="1:49">
      <c r="A167" s="66"/>
      <c r="B167" s="154" t="s">
        <v>295</v>
      </c>
      <c r="C167" s="177" t="s">
        <v>296</v>
      </c>
      <c r="D167" s="177" t="s">
        <v>215</v>
      </c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 t="s">
        <v>11</v>
      </c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8"/>
      <c r="AI167" s="178"/>
      <c r="AJ167" s="178"/>
      <c r="AK167" s="178"/>
      <c r="AL167" s="178"/>
      <c r="AM167" s="178"/>
      <c r="AN167" s="113"/>
      <c r="AO167" s="179"/>
      <c r="AP167" s="131">
        <f t="shared" si="19"/>
        <v>1</v>
      </c>
      <c r="AQ167" s="103">
        <f t="shared" si="20"/>
        <v>0</v>
      </c>
      <c r="AR167" s="131">
        <f t="shared" si="21"/>
        <v>0</v>
      </c>
      <c r="AS167" s="103">
        <f t="shared" si="17"/>
        <v>0</v>
      </c>
      <c r="AT167" s="131">
        <f t="shared" si="22"/>
        <v>1</v>
      </c>
      <c r="AU167" s="43" t="s">
        <v>193</v>
      </c>
      <c r="AV167" s="101"/>
      <c r="AW167" s="102"/>
    </row>
    <row r="168" s="105" customFormat="1" ht="20.15" customHeight="1" spans="1:49">
      <c r="A168" s="112"/>
      <c r="B168" s="154" t="s">
        <v>297</v>
      </c>
      <c r="C168" s="164" t="s">
        <v>111</v>
      </c>
      <c r="D168" s="152" t="s">
        <v>298</v>
      </c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80"/>
      <c r="AK168" s="180"/>
      <c r="AL168" s="180"/>
      <c r="AM168" s="180"/>
      <c r="AN168" s="113"/>
      <c r="AO168" s="151">
        <f>COUNTIF(E168:AM168,"H")</f>
        <v>0</v>
      </c>
      <c r="AP168" s="47">
        <f t="shared" si="19"/>
        <v>0</v>
      </c>
      <c r="AQ168" s="35">
        <f t="shared" si="20"/>
        <v>0</v>
      </c>
      <c r="AR168" s="35">
        <f t="shared" si="21"/>
        <v>0</v>
      </c>
      <c r="AS168" s="36">
        <f t="shared" si="17"/>
        <v>0</v>
      </c>
      <c r="AT168" s="48">
        <f t="shared" si="22"/>
        <v>0</v>
      </c>
      <c r="AU168" s="37" t="s">
        <v>299</v>
      </c>
      <c r="AV168" s="38"/>
      <c r="AW168" s="104"/>
    </row>
    <row r="169" s="105" customFormat="1" ht="20.15" customHeight="1" spans="1:49">
      <c r="A169" s="112"/>
      <c r="B169" s="154" t="s">
        <v>487</v>
      </c>
      <c r="C169" s="170" t="s">
        <v>16</v>
      </c>
      <c r="D169" s="149" t="s">
        <v>178</v>
      </c>
      <c r="E169" s="180"/>
      <c r="F169" s="172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 t="s">
        <v>11</v>
      </c>
      <c r="AH169" s="180"/>
      <c r="AI169" s="180"/>
      <c r="AJ169" s="180"/>
      <c r="AK169" s="180"/>
      <c r="AL169" s="180"/>
      <c r="AM169" s="180"/>
      <c r="AN169" s="113"/>
      <c r="AO169" s="151">
        <f>COUNTIF(E169:AM169,"H")</f>
        <v>0</v>
      </c>
      <c r="AP169" s="47">
        <f t="shared" si="19"/>
        <v>1</v>
      </c>
      <c r="AQ169" s="35">
        <f t="shared" si="20"/>
        <v>0</v>
      </c>
      <c r="AR169" s="35">
        <f t="shared" si="21"/>
        <v>0</v>
      </c>
      <c r="AS169" s="36">
        <f t="shared" si="17"/>
        <v>0</v>
      </c>
      <c r="AT169" s="48">
        <f t="shared" si="22"/>
        <v>1</v>
      </c>
      <c r="AU169" s="37" t="s">
        <v>228</v>
      </c>
      <c r="AV169" s="38"/>
      <c r="AW169" s="104"/>
    </row>
    <row r="170" s="105" customFormat="1" ht="20.15" customHeight="1" spans="1:49">
      <c r="A170" s="112"/>
      <c r="B170" s="154" t="s">
        <v>318</v>
      </c>
      <c r="C170" s="166" t="s">
        <v>296</v>
      </c>
      <c r="D170" s="171" t="s">
        <v>180</v>
      </c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80"/>
      <c r="AK170" s="180"/>
      <c r="AL170" s="180"/>
      <c r="AM170" s="180"/>
      <c r="AN170" s="113"/>
      <c r="AO170" s="179"/>
      <c r="AP170" s="131">
        <f t="shared" si="19"/>
        <v>0</v>
      </c>
      <c r="AQ170" s="103">
        <f t="shared" si="20"/>
        <v>0</v>
      </c>
      <c r="AR170" s="131">
        <f t="shared" si="21"/>
        <v>0</v>
      </c>
      <c r="AS170" s="103">
        <f t="shared" si="17"/>
        <v>0</v>
      </c>
      <c r="AT170" s="128">
        <f t="shared" si="22"/>
        <v>0</v>
      </c>
      <c r="AU170" s="43" t="s">
        <v>336</v>
      </c>
      <c r="AW170" s="106"/>
    </row>
    <row r="171" s="105" customFormat="1" ht="20.15" customHeight="1" spans="1:49">
      <c r="A171" s="112"/>
      <c r="B171" s="154" t="s">
        <v>319</v>
      </c>
      <c r="C171" s="170" t="s">
        <v>16</v>
      </c>
      <c r="D171" s="149" t="s">
        <v>267</v>
      </c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 t="s">
        <v>11</v>
      </c>
      <c r="AF171" s="180"/>
      <c r="AG171" s="180"/>
      <c r="AH171" s="180"/>
      <c r="AI171" s="180"/>
      <c r="AJ171" s="180"/>
      <c r="AK171" s="180"/>
      <c r="AL171" s="180"/>
      <c r="AM171" s="180"/>
      <c r="AN171" s="113"/>
      <c r="AO171" s="151">
        <f>COUNTIF(E171:AM171,"H")</f>
        <v>0</v>
      </c>
      <c r="AP171" s="43">
        <f t="shared" si="19"/>
        <v>1</v>
      </c>
      <c r="AQ171" s="43">
        <f t="shared" si="20"/>
        <v>0</v>
      </c>
      <c r="AR171" s="176">
        <f t="shared" si="21"/>
        <v>0</v>
      </c>
      <c r="AS171" s="66">
        <f t="shared" si="17"/>
        <v>0</v>
      </c>
      <c r="AT171" s="43">
        <f t="shared" si="22"/>
        <v>1</v>
      </c>
      <c r="AU171" s="147" t="s">
        <v>443</v>
      </c>
      <c r="AW171" s="106"/>
    </row>
    <row r="172" s="105" customFormat="1" ht="20.15" customHeight="1" spans="1:49">
      <c r="A172" s="112"/>
      <c r="B172" s="154" t="s">
        <v>358</v>
      </c>
      <c r="C172" s="150" t="s">
        <v>59</v>
      </c>
      <c r="D172" s="171" t="s">
        <v>112</v>
      </c>
      <c r="E172" s="180"/>
      <c r="F172" s="180"/>
      <c r="G172" s="180"/>
      <c r="H172" s="180"/>
      <c r="I172" s="180"/>
      <c r="J172" s="180"/>
      <c r="K172" s="180"/>
      <c r="L172" s="180"/>
      <c r="M172" s="180" t="s">
        <v>11</v>
      </c>
      <c r="N172" s="180"/>
      <c r="O172" s="180"/>
      <c r="P172" s="180" t="s">
        <v>103</v>
      </c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80"/>
      <c r="AI172" s="172"/>
      <c r="AJ172" s="172"/>
      <c r="AK172" s="172"/>
      <c r="AL172" s="172"/>
      <c r="AM172" s="172"/>
      <c r="AN172" s="113"/>
      <c r="AO172" s="179"/>
      <c r="AP172" s="43">
        <f t="shared" si="19"/>
        <v>1</v>
      </c>
      <c r="AQ172" s="43">
        <f t="shared" si="20"/>
        <v>1</v>
      </c>
      <c r="AR172" s="176">
        <f t="shared" si="21"/>
        <v>0</v>
      </c>
      <c r="AS172" s="66">
        <f t="shared" si="17"/>
        <v>0</v>
      </c>
      <c r="AT172" s="43">
        <f t="shared" si="22"/>
        <v>2</v>
      </c>
      <c r="AU172" s="43" t="s">
        <v>193</v>
      </c>
      <c r="AW172" s="106"/>
    </row>
    <row r="173" s="105" customFormat="1" ht="20.15" customHeight="1" spans="1:49">
      <c r="A173" s="112"/>
      <c r="B173" s="154" t="s">
        <v>320</v>
      </c>
      <c r="C173" s="170" t="s">
        <v>321</v>
      </c>
      <c r="D173" s="149" t="s">
        <v>322</v>
      </c>
      <c r="E173" s="180"/>
      <c r="F173" s="180"/>
      <c r="G173" s="180"/>
      <c r="H173" s="180" t="s">
        <v>11</v>
      </c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 t="s">
        <v>11</v>
      </c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80"/>
      <c r="AK173" s="180"/>
      <c r="AL173" s="180"/>
      <c r="AM173" s="180"/>
      <c r="AN173" s="113"/>
      <c r="AO173" s="179"/>
      <c r="AP173" s="43">
        <f t="shared" si="19"/>
        <v>2</v>
      </c>
      <c r="AQ173" s="43">
        <f t="shared" si="20"/>
        <v>0</v>
      </c>
      <c r="AR173" s="176">
        <f t="shared" si="21"/>
        <v>0</v>
      </c>
      <c r="AS173" s="66">
        <f t="shared" si="17"/>
        <v>0</v>
      </c>
      <c r="AT173" s="43">
        <f t="shared" si="22"/>
        <v>2</v>
      </c>
      <c r="AU173" s="43" t="s">
        <v>193</v>
      </c>
      <c r="AW173" s="106"/>
    </row>
    <row r="174" s="105" customFormat="1" ht="20.15" customHeight="1" spans="1:49">
      <c r="A174" s="112"/>
      <c r="B174" s="154" t="s">
        <v>323</v>
      </c>
      <c r="C174" s="150" t="s">
        <v>59</v>
      </c>
      <c r="D174" s="149" t="s">
        <v>267</v>
      </c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80"/>
      <c r="AK174" s="180"/>
      <c r="AL174" s="180"/>
      <c r="AM174" s="180"/>
      <c r="AN174" s="113"/>
      <c r="AO174" s="179"/>
      <c r="AP174" s="43">
        <f t="shared" si="19"/>
        <v>0</v>
      </c>
      <c r="AQ174" s="43">
        <f t="shared" si="20"/>
        <v>0</v>
      </c>
      <c r="AR174" s="176">
        <f t="shared" si="21"/>
        <v>0</v>
      </c>
      <c r="AS174" s="66">
        <f t="shared" si="17"/>
        <v>0</v>
      </c>
      <c r="AT174" s="43">
        <f t="shared" si="22"/>
        <v>0</v>
      </c>
      <c r="AU174" s="131"/>
      <c r="AW174" s="106"/>
    </row>
    <row r="175" s="105" customFormat="1" ht="20.15" customHeight="1" spans="1:49">
      <c r="A175" s="112"/>
      <c r="B175" s="154" t="s">
        <v>324</v>
      </c>
      <c r="C175" s="170" t="s">
        <v>325</v>
      </c>
      <c r="D175" s="149" t="s">
        <v>273</v>
      </c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80"/>
      <c r="AK175" s="180"/>
      <c r="AL175" s="180"/>
      <c r="AM175" s="180"/>
      <c r="AN175" s="113"/>
      <c r="AO175" s="179"/>
      <c r="AP175" s="43">
        <f t="shared" si="19"/>
        <v>0</v>
      </c>
      <c r="AQ175" s="43">
        <f t="shared" si="20"/>
        <v>0</v>
      </c>
      <c r="AR175" s="176">
        <f t="shared" si="21"/>
        <v>0</v>
      </c>
      <c r="AS175" s="66">
        <f t="shared" si="17"/>
        <v>0</v>
      </c>
      <c r="AT175" s="43">
        <f t="shared" si="22"/>
        <v>0</v>
      </c>
      <c r="AU175" s="131"/>
      <c r="AW175" s="106"/>
    </row>
    <row r="176" s="105" customFormat="1" ht="20.15" customHeight="1" spans="1:49">
      <c r="A176" s="112"/>
      <c r="B176" s="154" t="s">
        <v>326</v>
      </c>
      <c r="C176" s="181" t="s">
        <v>59</v>
      </c>
      <c r="D176" s="171" t="s">
        <v>178</v>
      </c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80"/>
      <c r="AK176" s="180"/>
      <c r="AL176" s="180"/>
      <c r="AM176" s="180"/>
      <c r="AN176" s="113"/>
      <c r="AO176" s="179"/>
      <c r="AP176" s="43">
        <f t="shared" si="19"/>
        <v>0</v>
      </c>
      <c r="AQ176" s="43">
        <f t="shared" si="20"/>
        <v>0</v>
      </c>
      <c r="AR176" s="176">
        <f t="shared" si="21"/>
        <v>0</v>
      </c>
      <c r="AS176" s="66">
        <f t="shared" si="17"/>
        <v>0</v>
      </c>
      <c r="AT176" s="43">
        <f t="shared" si="22"/>
        <v>0</v>
      </c>
      <c r="AU176" s="131"/>
      <c r="AW176" s="106"/>
    </row>
    <row r="177" s="105" customFormat="1" ht="20.15" customHeight="1" spans="1:49">
      <c r="A177" s="112"/>
      <c r="B177" s="154" t="s">
        <v>327</v>
      </c>
      <c r="C177" s="166" t="s">
        <v>59</v>
      </c>
      <c r="D177" s="166" t="s">
        <v>180</v>
      </c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80"/>
      <c r="AK177" s="180"/>
      <c r="AL177" s="180"/>
      <c r="AM177" s="180"/>
      <c r="AN177" s="113"/>
      <c r="AO177" s="179"/>
      <c r="AP177" s="43">
        <f t="shared" si="19"/>
        <v>0</v>
      </c>
      <c r="AQ177" s="43">
        <f t="shared" si="20"/>
        <v>0</v>
      </c>
      <c r="AR177" s="176">
        <f t="shared" si="21"/>
        <v>0</v>
      </c>
      <c r="AS177" s="66">
        <f t="shared" si="17"/>
        <v>0</v>
      </c>
      <c r="AT177" s="43">
        <f t="shared" si="22"/>
        <v>0</v>
      </c>
      <c r="AU177" s="43" t="s">
        <v>336</v>
      </c>
      <c r="AW177" s="106"/>
    </row>
    <row r="178" s="105" customFormat="1" ht="20.15" customHeight="1" spans="1:49">
      <c r="A178" s="112"/>
      <c r="B178" s="154" t="s">
        <v>444</v>
      </c>
      <c r="C178" s="182" t="s">
        <v>16</v>
      </c>
      <c r="D178" s="171" t="s">
        <v>178</v>
      </c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80"/>
      <c r="AK178" s="180"/>
      <c r="AL178" s="180"/>
      <c r="AM178" s="180"/>
      <c r="AN178" s="113"/>
      <c r="AO178" s="179"/>
      <c r="AP178" s="43">
        <f t="shared" si="19"/>
        <v>0</v>
      </c>
      <c r="AQ178" s="43">
        <f t="shared" si="20"/>
        <v>0</v>
      </c>
      <c r="AR178" s="176">
        <f t="shared" si="21"/>
        <v>0</v>
      </c>
      <c r="AS178" s="66">
        <f t="shared" si="17"/>
        <v>0</v>
      </c>
      <c r="AT178" s="43">
        <f t="shared" si="22"/>
        <v>0</v>
      </c>
      <c r="AU178" s="43" t="s">
        <v>382</v>
      </c>
      <c r="AW178" s="106"/>
    </row>
    <row r="179" s="105" customFormat="1" ht="20.15" customHeight="1" spans="1:49">
      <c r="A179" s="112"/>
      <c r="B179" s="154" t="s">
        <v>331</v>
      </c>
      <c r="C179" s="166" t="s">
        <v>211</v>
      </c>
      <c r="D179" s="152" t="s">
        <v>238</v>
      </c>
      <c r="E179" s="180"/>
      <c r="F179" s="180"/>
      <c r="G179" s="180"/>
      <c r="H179" s="180"/>
      <c r="I179" s="180"/>
      <c r="J179" s="180"/>
      <c r="K179" s="180"/>
      <c r="L179" s="180" t="s">
        <v>103</v>
      </c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 t="s">
        <v>11</v>
      </c>
      <c r="AA179" s="180" t="s">
        <v>11</v>
      </c>
      <c r="AB179" s="180"/>
      <c r="AC179" s="180"/>
      <c r="AD179" s="180"/>
      <c r="AE179" s="180"/>
      <c r="AF179" s="180"/>
      <c r="AG179" s="180"/>
      <c r="AH179" s="180" t="s">
        <v>11</v>
      </c>
      <c r="AI179" s="180"/>
      <c r="AJ179" s="180"/>
      <c r="AK179" s="180"/>
      <c r="AL179" s="180"/>
      <c r="AM179" s="180"/>
      <c r="AN179" s="113"/>
      <c r="AO179" s="179"/>
      <c r="AP179" s="35">
        <f t="shared" si="19"/>
        <v>3</v>
      </c>
      <c r="AQ179" s="43">
        <f t="shared" si="20"/>
        <v>1</v>
      </c>
      <c r="AR179" s="35">
        <f t="shared" si="21"/>
        <v>0</v>
      </c>
      <c r="AS179" s="36">
        <f t="shared" si="17"/>
        <v>0</v>
      </c>
      <c r="AT179" s="37">
        <f t="shared" si="22"/>
        <v>4</v>
      </c>
      <c r="AU179" s="43" t="s">
        <v>193</v>
      </c>
      <c r="AW179" s="106"/>
    </row>
    <row r="180" s="105" customFormat="1" ht="20.15" customHeight="1" spans="1:49">
      <c r="A180" s="182"/>
      <c r="B180" s="154" t="s">
        <v>332</v>
      </c>
      <c r="C180" s="182" t="s">
        <v>333</v>
      </c>
      <c r="D180" s="182" t="s">
        <v>180</v>
      </c>
      <c r="E180" s="183"/>
      <c r="F180" s="183"/>
      <c r="G180" s="172"/>
      <c r="H180" s="183"/>
      <c r="I180" s="183"/>
      <c r="J180" s="183"/>
      <c r="K180" s="183"/>
      <c r="L180" s="183"/>
      <c r="M180" s="180" t="s">
        <v>11</v>
      </c>
      <c r="N180" s="183"/>
      <c r="O180" s="183"/>
      <c r="P180" s="183"/>
      <c r="Q180" s="183"/>
      <c r="R180" s="183"/>
      <c r="S180" s="183"/>
      <c r="T180" s="183"/>
      <c r="U180" s="183"/>
      <c r="V180" s="183"/>
      <c r="W180" s="180"/>
      <c r="X180" s="183"/>
      <c r="Y180" s="180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13"/>
      <c r="AO180" s="179"/>
      <c r="AP180" s="35">
        <f t="shared" si="19"/>
        <v>1</v>
      </c>
      <c r="AQ180" s="43">
        <f t="shared" si="20"/>
        <v>0</v>
      </c>
      <c r="AR180" s="35">
        <f t="shared" si="21"/>
        <v>0</v>
      </c>
      <c r="AS180" s="36">
        <f t="shared" si="17"/>
        <v>0</v>
      </c>
      <c r="AT180" s="37">
        <f t="shared" si="22"/>
        <v>1</v>
      </c>
      <c r="AU180" s="43" t="s">
        <v>336</v>
      </c>
      <c r="AW180" s="106"/>
    </row>
    <row r="181" s="105" customFormat="1" ht="20.15" customHeight="1" spans="1:49">
      <c r="A181" s="182"/>
      <c r="B181" s="154" t="s">
        <v>334</v>
      </c>
      <c r="C181" s="182" t="s">
        <v>296</v>
      </c>
      <c r="D181" s="182" t="s">
        <v>180</v>
      </c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0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  <c r="AI181" s="183"/>
      <c r="AJ181" s="183"/>
      <c r="AK181" s="183"/>
      <c r="AL181" s="183"/>
      <c r="AM181" s="183"/>
      <c r="AN181" s="113"/>
      <c r="AO181" s="179"/>
      <c r="AP181" s="35">
        <f t="shared" si="19"/>
        <v>0</v>
      </c>
      <c r="AQ181" s="43">
        <f t="shared" si="20"/>
        <v>0</v>
      </c>
      <c r="AR181" s="35">
        <f t="shared" si="21"/>
        <v>0</v>
      </c>
      <c r="AS181" s="36">
        <f t="shared" si="17"/>
        <v>0</v>
      </c>
      <c r="AT181" s="37">
        <f t="shared" si="22"/>
        <v>0</v>
      </c>
      <c r="AU181" s="43" t="s">
        <v>193</v>
      </c>
      <c r="AW181" s="106"/>
    </row>
    <row r="182" s="105" customFormat="1" ht="20.15" customHeight="1" spans="1:49">
      <c r="A182" s="182"/>
      <c r="B182" s="154" t="s">
        <v>335</v>
      </c>
      <c r="C182" s="150" t="s">
        <v>59</v>
      </c>
      <c r="D182" s="182" t="s">
        <v>238</v>
      </c>
      <c r="E182" s="183"/>
      <c r="F182" s="183"/>
      <c r="G182" s="183"/>
      <c r="H182" s="183"/>
      <c r="I182" s="180"/>
      <c r="J182" s="183"/>
      <c r="K182" s="180"/>
      <c r="L182" s="180" t="s">
        <v>11</v>
      </c>
      <c r="M182" s="183"/>
      <c r="N182" s="183"/>
      <c r="O182" s="183"/>
      <c r="P182" s="183"/>
      <c r="Q182" s="183"/>
      <c r="R182" s="180"/>
      <c r="S182" s="183"/>
      <c r="T182" s="183"/>
      <c r="U182" s="183"/>
      <c r="V182" s="183"/>
      <c r="W182" s="183"/>
      <c r="X182" s="183"/>
      <c r="Y182" s="180"/>
      <c r="Z182" s="183"/>
      <c r="AA182" s="183"/>
      <c r="AB182" s="180"/>
      <c r="AC182" s="183"/>
      <c r="AD182" s="183"/>
      <c r="AE182" s="183"/>
      <c r="AF182" s="183"/>
      <c r="AG182" s="183"/>
      <c r="AH182" s="183"/>
      <c r="AI182" s="183"/>
      <c r="AJ182" s="183"/>
      <c r="AK182" s="183"/>
      <c r="AL182" s="183"/>
      <c r="AM182" s="183"/>
      <c r="AN182" s="113"/>
      <c r="AO182" s="179"/>
      <c r="AP182" s="35">
        <f t="shared" si="19"/>
        <v>1</v>
      </c>
      <c r="AQ182" s="43">
        <f t="shared" si="20"/>
        <v>0</v>
      </c>
      <c r="AR182" s="35">
        <f t="shared" si="21"/>
        <v>0</v>
      </c>
      <c r="AS182" s="36">
        <f t="shared" si="17"/>
        <v>0</v>
      </c>
      <c r="AT182" s="37">
        <f t="shared" si="22"/>
        <v>1</v>
      </c>
      <c r="AU182" s="43" t="s">
        <v>193</v>
      </c>
      <c r="AW182" s="106"/>
    </row>
    <row r="183" s="105" customFormat="1" ht="20.15" customHeight="1" spans="1:49">
      <c r="A183" s="182"/>
      <c r="B183" s="154" t="s">
        <v>488</v>
      </c>
      <c r="C183" s="182" t="s">
        <v>16</v>
      </c>
      <c r="D183" s="182" t="s">
        <v>178</v>
      </c>
      <c r="E183" s="180"/>
      <c r="F183" s="183"/>
      <c r="G183" s="96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0"/>
      <c r="W183" s="180"/>
      <c r="X183" s="180"/>
      <c r="Y183" s="183"/>
      <c r="Z183" s="180" t="s">
        <v>11</v>
      </c>
      <c r="AA183" s="183"/>
      <c r="AB183" s="180" t="s">
        <v>11</v>
      </c>
      <c r="AC183" s="183"/>
      <c r="AD183" s="183"/>
      <c r="AE183" s="183"/>
      <c r="AF183" s="183"/>
      <c r="AG183" s="183"/>
      <c r="AH183" s="180" t="s">
        <v>11</v>
      </c>
      <c r="AI183" s="180"/>
      <c r="AJ183" s="180"/>
      <c r="AK183" s="180"/>
      <c r="AL183" s="183"/>
      <c r="AM183" s="183"/>
      <c r="AN183" s="113"/>
      <c r="AO183" s="179"/>
      <c r="AP183" s="35">
        <f t="shared" si="19"/>
        <v>3</v>
      </c>
      <c r="AQ183" s="35">
        <f t="shared" si="20"/>
        <v>0</v>
      </c>
      <c r="AR183" s="35">
        <f t="shared" si="21"/>
        <v>0</v>
      </c>
      <c r="AS183" s="36">
        <f t="shared" si="17"/>
        <v>0</v>
      </c>
      <c r="AT183" s="37">
        <f t="shared" si="22"/>
        <v>3</v>
      </c>
      <c r="AU183" s="43" t="s">
        <v>400</v>
      </c>
      <c r="AW183" s="106"/>
    </row>
    <row r="184" s="105" customFormat="1" ht="20.15" customHeight="1" spans="1:49">
      <c r="A184" s="182"/>
      <c r="B184" s="154" t="s">
        <v>360</v>
      </c>
      <c r="C184" s="182" t="s">
        <v>16</v>
      </c>
      <c r="D184" s="182" t="s">
        <v>178</v>
      </c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0" t="s">
        <v>11</v>
      </c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  <c r="AI184" s="183"/>
      <c r="AJ184" s="183"/>
      <c r="AK184" s="183"/>
      <c r="AL184" s="183"/>
      <c r="AM184" s="183"/>
      <c r="AN184" s="113"/>
      <c r="AO184" s="179"/>
      <c r="AP184" s="131">
        <f t="shared" si="19"/>
        <v>1</v>
      </c>
      <c r="AQ184" s="103">
        <f t="shared" si="20"/>
        <v>0</v>
      </c>
      <c r="AR184" s="131">
        <f t="shared" si="21"/>
        <v>0</v>
      </c>
      <c r="AS184" s="103">
        <f t="shared" si="17"/>
        <v>0</v>
      </c>
      <c r="AT184" s="128">
        <f t="shared" si="22"/>
        <v>1</v>
      </c>
      <c r="AU184" s="131"/>
      <c r="AW184" s="106"/>
    </row>
    <row r="185" s="105" customFormat="1" ht="20.15" customHeight="1" spans="1:49">
      <c r="A185" s="182"/>
      <c r="B185" s="154" t="s">
        <v>489</v>
      </c>
      <c r="C185" s="182" t="s">
        <v>131</v>
      </c>
      <c r="D185" s="182" t="s">
        <v>178</v>
      </c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0" t="s">
        <v>11</v>
      </c>
      <c r="Q185" s="180" t="s">
        <v>11</v>
      </c>
      <c r="R185"/>
      <c r="S185" s="183"/>
      <c r="T185" s="183"/>
      <c r="U185" s="180"/>
      <c r="V185" s="183"/>
      <c r="W185" s="183"/>
      <c r="X185" s="183"/>
      <c r="Y185" s="183"/>
      <c r="Z185" s="180"/>
      <c r="AA185" s="183"/>
      <c r="AB185" s="183"/>
      <c r="AC185" s="183"/>
      <c r="AD185" s="183"/>
      <c r="AE185" s="183"/>
      <c r="AF185" s="183"/>
      <c r="AG185" s="183"/>
      <c r="AH185" s="183"/>
      <c r="AI185" s="183"/>
      <c r="AJ185" s="183"/>
      <c r="AK185" s="183"/>
      <c r="AL185" s="183"/>
      <c r="AM185" s="183"/>
      <c r="AN185" s="113"/>
      <c r="AO185" s="151">
        <f>COUNTIF(E185:AM185,"H")</f>
        <v>0</v>
      </c>
      <c r="AP185" s="43">
        <f t="shared" si="19"/>
        <v>2</v>
      </c>
      <c r="AQ185" s="43">
        <f t="shared" si="20"/>
        <v>0</v>
      </c>
      <c r="AR185" s="176">
        <f t="shared" si="21"/>
        <v>0</v>
      </c>
      <c r="AS185" s="66">
        <f t="shared" si="17"/>
        <v>0</v>
      </c>
      <c r="AT185" s="43">
        <f t="shared" si="22"/>
        <v>2</v>
      </c>
      <c r="AU185" s="43" t="s">
        <v>382</v>
      </c>
      <c r="AW185" s="106"/>
    </row>
    <row r="186" s="105" customFormat="1" ht="20.15" customHeight="1" spans="1:49">
      <c r="A186" s="182"/>
      <c r="B186" s="154" t="s">
        <v>363</v>
      </c>
      <c r="C186" s="182" t="s">
        <v>131</v>
      </c>
      <c r="D186" s="182" t="s">
        <v>215</v>
      </c>
      <c r="E186" s="183"/>
      <c r="F186" s="183"/>
      <c r="G186" s="183"/>
      <c r="H186" s="183"/>
      <c r="I186" s="180"/>
      <c r="J186" s="183"/>
      <c r="K186" s="183"/>
      <c r="L186" s="183"/>
      <c r="M186" s="183"/>
      <c r="N186" s="183"/>
      <c r="O186" s="183"/>
      <c r="P186" s="183"/>
      <c r="Q186" s="180" t="s">
        <v>11</v>
      </c>
      <c r="R186" s="180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  <c r="AI186" s="183"/>
      <c r="AJ186" s="183"/>
      <c r="AK186" s="183"/>
      <c r="AL186" s="183"/>
      <c r="AM186" s="183"/>
      <c r="AN186" s="113"/>
      <c r="AO186" s="179"/>
      <c r="AP186" s="43">
        <f t="shared" si="19"/>
        <v>1</v>
      </c>
      <c r="AQ186" s="43">
        <f t="shared" si="20"/>
        <v>0</v>
      </c>
      <c r="AR186" s="176">
        <f t="shared" si="21"/>
        <v>0</v>
      </c>
      <c r="AS186" s="66">
        <f t="shared" si="17"/>
        <v>0</v>
      </c>
      <c r="AT186" s="43">
        <f t="shared" si="22"/>
        <v>1</v>
      </c>
      <c r="AU186" s="43" t="s">
        <v>193</v>
      </c>
      <c r="AW186" s="106"/>
    </row>
    <row r="187" s="105" customFormat="1" ht="20.15" customHeight="1" spans="1:49">
      <c r="A187" s="182"/>
      <c r="B187" s="154" t="s">
        <v>490</v>
      </c>
      <c r="C187" s="182" t="s">
        <v>16</v>
      </c>
      <c r="D187" s="182" t="s">
        <v>178</v>
      </c>
      <c r="E187" s="183"/>
      <c r="F187" s="183"/>
      <c r="G187" s="180" t="s">
        <v>12</v>
      </c>
      <c r="H187" s="183"/>
      <c r="I187" s="183"/>
      <c r="J187" s="183"/>
      <c r="K187" s="183"/>
      <c r="L187" s="180" t="s">
        <v>12</v>
      </c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13"/>
      <c r="AO187" s="179"/>
      <c r="AP187" s="112"/>
      <c r="AQ187" s="112"/>
      <c r="AR187" s="112"/>
      <c r="AS187" s="112"/>
      <c r="AT187" s="112"/>
      <c r="AU187" s="112"/>
      <c r="AW187" s="106"/>
    </row>
    <row r="188" s="113" customFormat="1" ht="20.15" customHeight="1" spans="1:49">
      <c r="A188" s="182"/>
      <c r="B188" s="154" t="s">
        <v>365</v>
      </c>
      <c r="C188" s="182" t="s">
        <v>296</v>
      </c>
      <c r="D188" s="182" t="s">
        <v>401</v>
      </c>
      <c r="E188" s="183"/>
      <c r="F188" s="183"/>
      <c r="G188" s="96"/>
      <c r="H188" s="183"/>
      <c r="I188" s="183"/>
      <c r="J188" s="183"/>
      <c r="K188" s="183"/>
      <c r="L188" s="96"/>
      <c r="M188" s="180" t="s">
        <v>12</v>
      </c>
      <c r="N188" s="96"/>
      <c r="O188" s="183"/>
      <c r="P188" s="183"/>
      <c r="Q188" s="183"/>
      <c r="R188" s="183"/>
      <c r="S188" s="241"/>
      <c r="T188" s="183"/>
      <c r="U188" s="183"/>
      <c r="V188" s="183"/>
      <c r="W188" s="180"/>
      <c r="X188" s="183"/>
      <c r="Y188" s="183"/>
      <c r="Z188" s="183"/>
      <c r="AA188" s="183"/>
      <c r="AB188" s="180" t="s">
        <v>12</v>
      </c>
      <c r="AC188" s="180" t="s">
        <v>12</v>
      </c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O188" s="186"/>
      <c r="AP188" s="187">
        <f t="shared" ref="AP188:AP221" si="23">COUNTIF(E188:AM188,"S")</f>
        <v>0</v>
      </c>
      <c r="AQ188" s="187">
        <f t="shared" ref="AQ188:AQ221" si="24">COUNTIF(E188:AM188,"I")</f>
        <v>3</v>
      </c>
      <c r="AR188" s="188">
        <f t="shared" ref="AR188:AR221" si="25">COUNTIF(E188:AM188,"A")</f>
        <v>0</v>
      </c>
      <c r="AS188" s="112">
        <f>COUNTIF(E188:AM188,"OFF")</f>
        <v>0</v>
      </c>
      <c r="AT188" s="187">
        <f t="shared" ref="AT188:AT221" si="26">SUM(AO188:AR188)</f>
        <v>3</v>
      </c>
      <c r="AU188" s="43" t="s">
        <v>193</v>
      </c>
      <c r="AW188" s="114"/>
    </row>
    <row r="189" s="105" customFormat="1" ht="20.15" customHeight="1" spans="1:49">
      <c r="A189" s="182"/>
      <c r="B189" s="154" t="s">
        <v>491</v>
      </c>
      <c r="C189" s="182" t="s">
        <v>16</v>
      </c>
      <c r="D189" s="182" t="s">
        <v>178</v>
      </c>
      <c r="E189" s="183"/>
      <c r="F189" s="183"/>
      <c r="G189" s="96"/>
      <c r="H189" s="96"/>
      <c r="I189" s="183"/>
      <c r="J189" s="183"/>
      <c r="K189" s="183"/>
      <c r="L189" s="183"/>
      <c r="M189" s="183"/>
      <c r="N189" s="183"/>
      <c r="O189" s="96"/>
      <c r="P189" s="183"/>
      <c r="Q189" s="180" t="s">
        <v>11</v>
      </c>
      <c r="R189" s="183"/>
      <c r="S189" s="183"/>
      <c r="T189" s="183"/>
      <c r="U189" s="183"/>
      <c r="V189" s="180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  <c r="AI189" s="183"/>
      <c r="AJ189" s="183"/>
      <c r="AK189" s="183"/>
      <c r="AL189" s="183"/>
      <c r="AM189" s="183"/>
      <c r="AN189" s="113"/>
      <c r="AO189" s="179"/>
      <c r="AP189" s="43">
        <f t="shared" si="23"/>
        <v>1</v>
      </c>
      <c r="AQ189" s="43">
        <f t="shared" si="24"/>
        <v>0</v>
      </c>
      <c r="AR189" s="176">
        <f t="shared" si="25"/>
        <v>0</v>
      </c>
      <c r="AS189" s="66">
        <f>COUNTIF(E189:AM189,"OFF")</f>
        <v>0</v>
      </c>
      <c r="AT189" s="189">
        <f t="shared" si="26"/>
        <v>1</v>
      </c>
      <c r="AU189" s="189" t="s">
        <v>336</v>
      </c>
      <c r="AW189" s="106"/>
    </row>
    <row r="190" s="105" customFormat="1" ht="20.15" customHeight="1" spans="1:49">
      <c r="A190" s="182"/>
      <c r="B190" s="154" t="s">
        <v>367</v>
      </c>
      <c r="C190" s="182" t="s">
        <v>16</v>
      </c>
      <c r="D190" s="182" t="s">
        <v>178</v>
      </c>
      <c r="E190" s="183"/>
      <c r="F190" s="183"/>
      <c r="G190" s="183"/>
      <c r="H190" s="183"/>
      <c r="I190" s="183"/>
      <c r="J190" s="183"/>
      <c r="K190" s="183"/>
      <c r="L190" s="96"/>
      <c r="M190" s="183"/>
      <c r="N190" s="183"/>
      <c r="O190" s="183"/>
      <c r="P190" s="183"/>
      <c r="Q190" s="183"/>
      <c r="R190" s="183"/>
      <c r="S190" s="183"/>
      <c r="T190" s="183"/>
      <c r="U190" s="180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  <c r="AI190" s="183"/>
      <c r="AJ190" s="183"/>
      <c r="AK190" s="183"/>
      <c r="AL190" s="183"/>
      <c r="AM190" s="183"/>
      <c r="AN190" s="113"/>
      <c r="AO190" s="179"/>
      <c r="AP190" s="43">
        <f t="shared" si="23"/>
        <v>0</v>
      </c>
      <c r="AQ190" s="66">
        <f t="shared" si="24"/>
        <v>0</v>
      </c>
      <c r="AR190" s="43">
        <f t="shared" si="25"/>
        <v>0</v>
      </c>
      <c r="AT190" s="43">
        <f t="shared" si="26"/>
        <v>0</v>
      </c>
      <c r="AU190" s="43" t="s">
        <v>336</v>
      </c>
      <c r="AV190" s="66"/>
      <c r="AW190" s="115"/>
    </row>
    <row r="191" s="105" customFormat="1" ht="20.15" customHeight="1" spans="1:49">
      <c r="A191" s="182"/>
      <c r="B191" s="154" t="s">
        <v>402</v>
      </c>
      <c r="C191" s="182" t="s">
        <v>16</v>
      </c>
      <c r="D191" s="182" t="s">
        <v>178</v>
      </c>
      <c r="E191" s="180"/>
      <c r="F191" s="183"/>
      <c r="G191" s="183"/>
      <c r="H191" s="183"/>
      <c r="I191" s="183"/>
      <c r="J191" s="183"/>
      <c r="K191" s="183"/>
      <c r="L191" s="183"/>
      <c r="M191" s="183"/>
      <c r="N191" s="180" t="s">
        <v>11</v>
      </c>
      <c r="O191" s="183"/>
      <c r="P191" s="180"/>
      <c r="Q191" s="183"/>
      <c r="R191" s="180"/>
      <c r="S191" s="183"/>
      <c r="T191" s="180" t="s">
        <v>11</v>
      </c>
      <c r="U191" s="183"/>
      <c r="V191" s="183"/>
      <c r="W191" s="183"/>
      <c r="X191" s="241"/>
      <c r="Y191" s="183"/>
      <c r="Z191" s="183"/>
      <c r="AA191" s="183"/>
      <c r="AB191" s="183"/>
      <c r="AC191" s="180"/>
      <c r="AD191" s="183"/>
      <c r="AE191" s="183"/>
      <c r="AF191" s="183"/>
      <c r="AG191" s="183"/>
      <c r="AH191" s="180" t="s">
        <v>11</v>
      </c>
      <c r="AI191" s="180"/>
      <c r="AJ191" s="180"/>
      <c r="AK191" s="180"/>
      <c r="AL191" s="183"/>
      <c r="AM191" s="183"/>
      <c r="AN191" s="113"/>
      <c r="AO191" s="179"/>
      <c r="AP191" s="131">
        <f t="shared" si="23"/>
        <v>3</v>
      </c>
      <c r="AQ191" s="103">
        <f t="shared" si="24"/>
        <v>0</v>
      </c>
      <c r="AR191" s="131">
        <f t="shared" si="25"/>
        <v>0</v>
      </c>
      <c r="AS191" s="36">
        <f>COUNTIF(E191:AM191,"OFF")</f>
        <v>0</v>
      </c>
      <c r="AT191" s="131">
        <f t="shared" si="26"/>
        <v>3</v>
      </c>
      <c r="AU191" s="43" t="s">
        <v>193</v>
      </c>
      <c r="AW191" s="106"/>
    </row>
    <row r="192" s="105" customFormat="1" ht="20.15" customHeight="1" spans="1:49">
      <c r="A192" s="182"/>
      <c r="B192" s="154" t="s">
        <v>492</v>
      </c>
      <c r="C192" s="182" t="s">
        <v>16</v>
      </c>
      <c r="D192" s="182" t="s">
        <v>112</v>
      </c>
      <c r="E192" s="183"/>
      <c r="F192" s="183"/>
      <c r="G192" s="183"/>
      <c r="H192" s="183"/>
      <c r="I192" s="183"/>
      <c r="J192" s="180" t="s">
        <v>13</v>
      </c>
      <c r="K192" s="183"/>
      <c r="L192" s="183"/>
      <c r="M192" s="241"/>
      <c r="N192" s="183"/>
      <c r="O192" s="183"/>
      <c r="P192" s="183"/>
      <c r="Q192" s="183"/>
      <c r="R192" s="183"/>
      <c r="S192" s="183"/>
      <c r="T192" s="180"/>
      <c r="U192" s="183"/>
      <c r="V192" s="241"/>
      <c r="W192" s="183"/>
      <c r="X192" s="183"/>
      <c r="Y192" s="183"/>
      <c r="Z192" s="183"/>
      <c r="AA192" s="183"/>
      <c r="AB192" s="183"/>
      <c r="AC192" s="183"/>
      <c r="AD192" s="180" t="s">
        <v>11</v>
      </c>
      <c r="AE192" s="183"/>
      <c r="AF192" s="183"/>
      <c r="AG192" s="183"/>
      <c r="AH192" s="183"/>
      <c r="AI192" s="183"/>
      <c r="AJ192" s="183"/>
      <c r="AK192" s="183"/>
      <c r="AL192" s="183"/>
      <c r="AM192" s="183"/>
      <c r="AN192" s="113"/>
      <c r="AO192" s="179"/>
      <c r="AP192" s="43">
        <f t="shared" si="23"/>
        <v>1</v>
      </c>
      <c r="AQ192" s="66">
        <f t="shared" si="24"/>
        <v>0</v>
      </c>
      <c r="AR192" s="43">
        <f t="shared" si="25"/>
        <v>1</v>
      </c>
      <c r="AS192" s="36">
        <f>COUNTIF(E192:AM192,"OFF")</f>
        <v>0</v>
      </c>
      <c r="AT192" s="43">
        <f t="shared" si="26"/>
        <v>2</v>
      </c>
      <c r="AU192" s="43" t="s">
        <v>336</v>
      </c>
      <c r="AV192" s="66"/>
      <c r="AW192" s="115"/>
    </row>
    <row r="193" spans="1:49">
      <c r="A193" s="182"/>
      <c r="B193" s="154" t="s">
        <v>369</v>
      </c>
      <c r="C193" s="182" t="s">
        <v>370</v>
      </c>
      <c r="D193" s="182" t="s">
        <v>180</v>
      </c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0"/>
      <c r="S193" s="241"/>
      <c r="T193" s="241"/>
      <c r="U193" s="241"/>
      <c r="V193" s="183"/>
      <c r="W193" s="183"/>
      <c r="X193" s="183"/>
      <c r="Y193" s="183"/>
      <c r="Z193" s="183"/>
      <c r="AA193" s="183"/>
      <c r="AB193" s="241"/>
      <c r="AC193" s="183"/>
      <c r="AD193" s="183"/>
      <c r="AE193" s="183"/>
      <c r="AF193" s="183"/>
      <c r="AG193" s="183"/>
      <c r="AH193" s="183"/>
      <c r="AI193" s="183"/>
      <c r="AJ193" s="183"/>
      <c r="AK193" s="183"/>
      <c r="AL193" s="183"/>
      <c r="AM193" s="183"/>
      <c r="AP193" s="131">
        <f t="shared" si="23"/>
        <v>0</v>
      </c>
      <c r="AQ193" s="103">
        <f t="shared" si="24"/>
        <v>0</v>
      </c>
      <c r="AR193" s="131">
        <f t="shared" si="25"/>
        <v>0</v>
      </c>
      <c r="AS193" s="103">
        <f>COUNTIF(E193:AM193,"OFF")</f>
        <v>0</v>
      </c>
      <c r="AT193" s="128">
        <f t="shared" si="26"/>
        <v>0</v>
      </c>
      <c r="AU193" s="43" t="s">
        <v>403</v>
      </c>
    </row>
    <row r="194" spans="1:49">
      <c r="A194" s="182"/>
      <c r="B194" s="154" t="s">
        <v>445</v>
      </c>
      <c r="C194" s="182" t="s">
        <v>16</v>
      </c>
      <c r="D194" s="182" t="s">
        <v>178</v>
      </c>
      <c r="E194" s="183"/>
      <c r="F194" s="183"/>
      <c r="G194" s="183"/>
      <c r="H194" s="183"/>
      <c r="I194" s="183"/>
      <c r="J194" s="183"/>
      <c r="K194" s="183"/>
      <c r="L194" s="180"/>
      <c r="M194" s="183"/>
      <c r="N194" s="180" t="s">
        <v>11</v>
      </c>
      <c r="O194" s="183"/>
      <c r="P194" s="183"/>
      <c r="Q194" s="183"/>
      <c r="R194" s="183"/>
      <c r="S194" s="180" t="s">
        <v>11</v>
      </c>
      <c r="T194" s="180"/>
      <c r="U194" s="180"/>
      <c r="V194" s="183"/>
      <c r="W194" s="180" t="s">
        <v>11</v>
      </c>
      <c r="X194" s="180" t="s">
        <v>11</v>
      </c>
      <c r="Y194" s="183"/>
      <c r="Z194" s="180"/>
      <c r="AA194" s="183"/>
      <c r="AB194" s="183"/>
      <c r="AC194" s="180"/>
      <c r="AD194" s="183"/>
      <c r="AE194" s="183"/>
      <c r="AF194" s="183"/>
      <c r="AG194" s="183"/>
      <c r="AH194" s="183"/>
      <c r="AI194" s="183"/>
      <c r="AJ194" s="183"/>
      <c r="AK194" s="183"/>
      <c r="AL194" s="183"/>
      <c r="AM194" s="183"/>
      <c r="AP194" s="43">
        <f t="shared" si="23"/>
        <v>4</v>
      </c>
      <c r="AQ194" s="66">
        <f t="shared" si="24"/>
        <v>0</v>
      </c>
      <c r="AR194" s="43">
        <f t="shared" si="25"/>
        <v>0</v>
      </c>
      <c r="AT194" s="189">
        <f t="shared" si="26"/>
        <v>4</v>
      </c>
      <c r="AU194" s="43" t="s">
        <v>193</v>
      </c>
      <c r="AV194" s="99"/>
      <c r="AW194" s="99"/>
    </row>
    <row r="195" spans="1:49">
      <c r="A195" s="182"/>
      <c r="B195" s="154" t="s">
        <v>493</v>
      </c>
      <c r="C195" s="182" t="s">
        <v>16</v>
      </c>
      <c r="D195" s="182" t="s">
        <v>178</v>
      </c>
      <c r="E195" s="183"/>
      <c r="F195" s="180"/>
      <c r="G195" s="180"/>
      <c r="H195" s="183"/>
      <c r="I195" s="183"/>
      <c r="J195" s="180"/>
      <c r="K195" s="183"/>
      <c r="L195" s="183"/>
      <c r="M195" s="241"/>
      <c r="N195" s="183"/>
      <c r="O195" s="183"/>
      <c r="P195" s="183"/>
      <c r="Q195" s="183"/>
      <c r="R195" s="183"/>
      <c r="S195" s="183"/>
      <c r="T195" s="183"/>
      <c r="U195" s="183"/>
      <c r="V195" s="183"/>
      <c r="W195" s="180"/>
      <c r="X195" s="183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80"/>
      <c r="AI195" s="180"/>
      <c r="AJ195" s="180"/>
      <c r="AK195" s="180"/>
      <c r="AL195" s="180" t="s">
        <v>11</v>
      </c>
      <c r="AM195" s="180"/>
      <c r="AN195" s="43"/>
      <c r="AO195" s="43"/>
      <c r="AP195" s="35">
        <f t="shared" si="23"/>
        <v>1</v>
      </c>
      <c r="AQ195" s="43">
        <f t="shared" si="24"/>
        <v>0</v>
      </c>
      <c r="AR195" s="35">
        <f t="shared" si="25"/>
        <v>0</v>
      </c>
      <c r="AS195" s="36">
        <f t="shared" ref="AS195:AS221" si="27">COUNTIF(E195:AM195,"OFF")</f>
        <v>0</v>
      </c>
      <c r="AT195" s="37">
        <f t="shared" si="26"/>
        <v>1</v>
      </c>
      <c r="AU195" s="147" t="s">
        <v>446</v>
      </c>
      <c r="AV195" s="97"/>
      <c r="AW195" s="97"/>
    </row>
    <row r="196" spans="1:49">
      <c r="A196" s="182"/>
      <c r="B196" s="154" t="s">
        <v>372</v>
      </c>
      <c r="C196" s="182" t="s">
        <v>16</v>
      </c>
      <c r="D196" s="182" t="s">
        <v>178</v>
      </c>
      <c r="E196" s="183"/>
      <c r="F196" s="183"/>
      <c r="G196" s="180" t="s">
        <v>11</v>
      </c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0"/>
      <c r="X196" s="183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80"/>
      <c r="AI196" s="180"/>
      <c r="AJ196" s="180"/>
      <c r="AK196" s="180"/>
      <c r="AL196" s="180"/>
      <c r="AM196" s="180"/>
      <c r="AN196" s="43"/>
      <c r="AO196" s="43"/>
      <c r="AP196" s="35">
        <f t="shared" si="23"/>
        <v>1</v>
      </c>
      <c r="AQ196" s="43">
        <f t="shared" si="24"/>
        <v>0</v>
      </c>
      <c r="AR196" s="35">
        <f t="shared" si="25"/>
        <v>0</v>
      </c>
      <c r="AS196" s="36">
        <f t="shared" si="27"/>
        <v>0</v>
      </c>
      <c r="AT196" s="37">
        <f t="shared" si="26"/>
        <v>1</v>
      </c>
      <c r="AU196" s="43" t="s">
        <v>336</v>
      </c>
    </row>
    <row r="197" s="20" customFormat="1" ht="19.5" customHeight="1" spans="1:49">
      <c r="A197" s="182"/>
      <c r="B197" s="154" t="s">
        <v>373</v>
      </c>
      <c r="C197" s="182" t="s">
        <v>211</v>
      </c>
      <c r="D197" s="182" t="s">
        <v>112</v>
      </c>
      <c r="E197" s="183"/>
      <c r="F197" s="183"/>
      <c r="G197" s="180" t="s">
        <v>12</v>
      </c>
      <c r="H197" s="183"/>
      <c r="I197" s="183"/>
      <c r="J197" s="183"/>
      <c r="K197" s="183"/>
      <c r="L197" s="183"/>
      <c r="M197" s="183"/>
      <c r="N197" s="183"/>
      <c r="O197" s="180" t="s">
        <v>13</v>
      </c>
      <c r="P197" s="183"/>
      <c r="Q197" s="183"/>
      <c r="R197" s="183"/>
      <c r="S197" s="241"/>
      <c r="T197" s="183"/>
      <c r="U197" s="183"/>
      <c r="V197" s="183"/>
      <c r="W197" s="180" t="s">
        <v>12</v>
      </c>
      <c r="X197" s="180"/>
      <c r="Y197" s="183"/>
      <c r="Z197" s="180"/>
      <c r="AA197" s="180"/>
      <c r="AB197" s="180"/>
      <c r="AC197" s="180"/>
      <c r="AD197" s="180"/>
      <c r="AE197" s="180"/>
      <c r="AF197" s="180" t="s">
        <v>11</v>
      </c>
      <c r="AG197" s="180"/>
      <c r="AH197" s="180"/>
      <c r="AI197" s="180"/>
      <c r="AJ197" s="180"/>
      <c r="AK197" s="180"/>
      <c r="AL197" s="180"/>
      <c r="AM197" s="180"/>
      <c r="AN197" s="43"/>
      <c r="AO197" s="43"/>
      <c r="AP197" s="35">
        <f t="shared" si="23"/>
        <v>1</v>
      </c>
      <c r="AQ197" s="43">
        <f t="shared" si="24"/>
        <v>2</v>
      </c>
      <c r="AR197" s="35">
        <f t="shared" si="25"/>
        <v>1</v>
      </c>
      <c r="AS197" s="103">
        <f t="shared" si="27"/>
        <v>0</v>
      </c>
      <c r="AT197" s="37">
        <f t="shared" si="26"/>
        <v>4</v>
      </c>
      <c r="AU197" s="43" t="s">
        <v>336</v>
      </c>
    </row>
    <row r="198" s="20" customFormat="1" ht="19.5" customHeight="1" spans="1:49">
      <c r="A198" s="182"/>
      <c r="B198" s="159" t="s">
        <v>494</v>
      </c>
      <c r="C198" s="182" t="s">
        <v>16</v>
      </c>
      <c r="D198" s="182" t="s">
        <v>178</v>
      </c>
      <c r="E198" s="183"/>
      <c r="F198" s="183"/>
      <c r="G198" s="180"/>
      <c r="H198" s="180"/>
      <c r="I198" s="183"/>
      <c r="J198" s="183"/>
      <c r="K198" s="183"/>
      <c r="L198" s="183"/>
      <c r="M198" s="183"/>
      <c r="N198" s="183"/>
      <c r="O198" s="241"/>
      <c r="P198" s="183"/>
      <c r="Q198" s="183"/>
      <c r="R198" s="183"/>
      <c r="S198" s="183"/>
      <c r="T198" s="183"/>
      <c r="U198" s="183"/>
      <c r="V198" s="183"/>
      <c r="W198" s="183"/>
      <c r="X198" s="241"/>
      <c r="Y198" s="183"/>
      <c r="Z198" s="180"/>
      <c r="AA198" s="180"/>
      <c r="AB198" s="180"/>
      <c r="AC198" s="180"/>
      <c r="AD198" s="180"/>
      <c r="AE198" s="180"/>
      <c r="AF198" s="180" t="s">
        <v>11</v>
      </c>
      <c r="AG198" s="180"/>
      <c r="AH198" s="180"/>
      <c r="AI198" s="180"/>
      <c r="AJ198" s="180"/>
      <c r="AK198" s="180"/>
      <c r="AL198" s="180"/>
      <c r="AM198" s="180"/>
      <c r="AN198" s="43"/>
      <c r="AO198" s="43"/>
      <c r="AP198" s="35">
        <f t="shared" si="23"/>
        <v>1</v>
      </c>
      <c r="AQ198" s="43">
        <f t="shared" si="24"/>
        <v>0</v>
      </c>
      <c r="AR198" s="35">
        <f t="shared" si="25"/>
        <v>0</v>
      </c>
      <c r="AS198" s="36">
        <f t="shared" si="27"/>
        <v>0</v>
      </c>
      <c r="AT198" s="37">
        <f t="shared" si="26"/>
        <v>1</v>
      </c>
      <c r="AU198" s="147" t="s">
        <v>435</v>
      </c>
    </row>
    <row r="199" s="20" customFormat="1" ht="19.5" customHeight="1" spans="1:49">
      <c r="A199" s="182"/>
      <c r="B199" s="154" t="s">
        <v>375</v>
      </c>
      <c r="C199" s="182" t="s">
        <v>16</v>
      </c>
      <c r="D199" s="182" t="s">
        <v>180</v>
      </c>
      <c r="E199" s="183"/>
      <c r="F199" s="183"/>
      <c r="G199" s="183"/>
      <c r="H199" s="183"/>
      <c r="I199" s="183"/>
      <c r="J199" s="183"/>
      <c r="K199" s="96"/>
      <c r="L199" s="183"/>
      <c r="M199" s="183"/>
      <c r="N199" s="183"/>
      <c r="O199" s="183"/>
      <c r="P199" s="62"/>
      <c r="Q199" s="96"/>
      <c r="R199" s="180"/>
      <c r="S199" s="183"/>
      <c r="T199" s="183"/>
      <c r="U199" s="183"/>
      <c r="V199" s="183"/>
      <c r="W199" s="183"/>
      <c r="X199" s="62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80"/>
      <c r="AI199" s="180"/>
      <c r="AJ199" s="180"/>
      <c r="AK199" s="180"/>
      <c r="AL199" s="180"/>
      <c r="AM199" s="180"/>
      <c r="AN199" s="43"/>
      <c r="AO199" s="43"/>
      <c r="AP199" s="35">
        <f t="shared" si="23"/>
        <v>0</v>
      </c>
      <c r="AQ199" s="43">
        <f t="shared" si="24"/>
        <v>0</v>
      </c>
      <c r="AR199" s="35">
        <f t="shared" si="25"/>
        <v>0</v>
      </c>
      <c r="AS199" s="36">
        <f t="shared" si="27"/>
        <v>0</v>
      </c>
      <c r="AT199" s="37">
        <f t="shared" si="26"/>
        <v>0</v>
      </c>
      <c r="AU199" s="43"/>
    </row>
    <row r="200" s="116" customFormat="1" spans="1:49">
      <c r="A200" s="182"/>
      <c r="B200" s="154" t="s">
        <v>495</v>
      </c>
      <c r="C200" s="190" t="s">
        <v>339</v>
      </c>
      <c r="D200" s="190" t="s">
        <v>112</v>
      </c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1"/>
      <c r="T200" s="242"/>
      <c r="U200" s="242"/>
      <c r="V200" s="242"/>
      <c r="W200" s="242"/>
      <c r="X200" s="242"/>
      <c r="Y200" s="242"/>
      <c r="Z200" s="191"/>
      <c r="AA200" s="191"/>
      <c r="AB200" s="191"/>
      <c r="AC200" s="191"/>
      <c r="AD200" s="191"/>
      <c r="AE200" s="191"/>
      <c r="AF200" s="191"/>
      <c r="AG200" s="191"/>
      <c r="AH200" s="191" t="s">
        <v>11</v>
      </c>
      <c r="AI200" s="191"/>
      <c r="AJ200" s="191"/>
      <c r="AK200" s="191"/>
      <c r="AL200" s="191"/>
      <c r="AM200" s="191"/>
      <c r="AN200" s="187"/>
      <c r="AO200" s="187"/>
      <c r="AP200" s="192">
        <f t="shared" si="23"/>
        <v>1</v>
      </c>
      <c r="AQ200" s="187">
        <f t="shared" si="24"/>
        <v>0</v>
      </c>
      <c r="AR200" s="192">
        <f t="shared" si="25"/>
        <v>0</v>
      </c>
      <c r="AS200" s="193">
        <f t="shared" si="27"/>
        <v>0</v>
      </c>
      <c r="AT200" s="145">
        <f t="shared" si="26"/>
        <v>1</v>
      </c>
      <c r="AU200" s="187"/>
    </row>
    <row r="201" spans="1:49">
      <c r="B201" s="154" t="s">
        <v>377</v>
      </c>
      <c r="C201" s="194"/>
      <c r="D201" s="194"/>
      <c r="E201" s="194"/>
      <c r="F201" s="194"/>
      <c r="G201" s="96"/>
      <c r="H201" s="194"/>
      <c r="I201" s="194"/>
      <c r="J201" s="194"/>
      <c r="K201" s="194"/>
      <c r="L201" s="194"/>
      <c r="M201" s="194"/>
      <c r="N201" s="194"/>
      <c r="O201" s="194"/>
      <c r="P201" s="241"/>
      <c r="Q201" s="194"/>
      <c r="R201" s="194"/>
      <c r="S201" s="194"/>
      <c r="T201" s="194"/>
      <c r="U201" s="194"/>
      <c r="V201" s="194"/>
      <c r="W201" s="37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4"/>
      <c r="AM201" s="194"/>
      <c r="AP201" s="35">
        <f t="shared" si="23"/>
        <v>0</v>
      </c>
      <c r="AQ201" s="43">
        <f t="shared" si="24"/>
        <v>0</v>
      </c>
      <c r="AR201" s="35">
        <f t="shared" si="25"/>
        <v>0</v>
      </c>
      <c r="AS201" s="36">
        <f t="shared" si="27"/>
        <v>0</v>
      </c>
      <c r="AT201" s="37">
        <f t="shared" si="26"/>
        <v>0</v>
      </c>
      <c r="AU201" s="117"/>
    </row>
    <row r="202" spans="1:49">
      <c r="B202" s="195" t="s">
        <v>405</v>
      </c>
      <c r="C202" s="198"/>
      <c r="D202" s="196" t="s">
        <v>250</v>
      </c>
      <c r="E202" s="194"/>
      <c r="F202" s="194"/>
      <c r="G202" s="96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4"/>
      <c r="AM202" s="194"/>
      <c r="AP202" s="35">
        <f t="shared" si="23"/>
        <v>0</v>
      </c>
      <c r="AQ202" s="43">
        <f t="shared" si="24"/>
        <v>0</v>
      </c>
      <c r="AR202" s="35">
        <f t="shared" si="25"/>
        <v>0</v>
      </c>
      <c r="AS202" s="36">
        <f t="shared" si="27"/>
        <v>0</v>
      </c>
      <c r="AT202" s="37">
        <f t="shared" si="26"/>
        <v>0</v>
      </c>
      <c r="AU202" s="189" t="s">
        <v>406</v>
      </c>
    </row>
    <row r="203" spans="1:49">
      <c r="B203" s="154" t="s">
        <v>407</v>
      </c>
      <c r="C203" s="154" t="s">
        <v>16</v>
      </c>
      <c r="D203" s="154" t="s">
        <v>180</v>
      </c>
      <c r="E203" s="194"/>
      <c r="F203" s="194"/>
      <c r="G203" s="96" t="s">
        <v>11</v>
      </c>
      <c r="H203" s="180"/>
      <c r="I203" s="194"/>
      <c r="J203" s="96" t="s">
        <v>11</v>
      </c>
      <c r="K203" s="194"/>
      <c r="L203" s="194"/>
      <c r="M203" s="241"/>
      <c r="N203" s="194"/>
      <c r="O203" s="241"/>
      <c r="P203" s="194"/>
      <c r="Q203" s="180" t="s">
        <v>11</v>
      </c>
      <c r="R203" s="194"/>
      <c r="S203" s="194"/>
      <c r="T203" s="180"/>
      <c r="U203" s="180"/>
      <c r="V203" s="37"/>
      <c r="W203" s="37"/>
      <c r="X203" s="180"/>
      <c r="Y203" s="194"/>
      <c r="Z203" s="194"/>
      <c r="AA203" s="194"/>
      <c r="AB203" s="180"/>
      <c r="AC203" s="37"/>
      <c r="AD203" s="194"/>
      <c r="AE203" s="194"/>
      <c r="AF203" s="194"/>
      <c r="AG203" s="194"/>
      <c r="AH203" s="194"/>
      <c r="AI203" s="194"/>
      <c r="AJ203" s="194"/>
      <c r="AK203" s="194"/>
      <c r="AL203" s="194"/>
      <c r="AM203" s="194"/>
      <c r="AP203" s="35">
        <f t="shared" si="23"/>
        <v>3</v>
      </c>
      <c r="AQ203" s="43">
        <f t="shared" si="24"/>
        <v>0</v>
      </c>
      <c r="AR203" s="35">
        <f t="shared" si="25"/>
        <v>0</v>
      </c>
      <c r="AS203" s="36">
        <f t="shared" si="27"/>
        <v>0</v>
      </c>
      <c r="AT203" s="37">
        <f t="shared" si="26"/>
        <v>3</v>
      </c>
      <c r="AU203" s="43" t="s">
        <v>447</v>
      </c>
    </row>
    <row r="204" spans="1:49">
      <c r="B204" s="197" t="s">
        <v>408</v>
      </c>
      <c r="C204" s="182" t="s">
        <v>448</v>
      </c>
      <c r="D204" s="182" t="s">
        <v>180</v>
      </c>
      <c r="E204" s="180"/>
      <c r="F204" s="198"/>
      <c r="G204" s="198"/>
      <c r="H204" s="198"/>
      <c r="I204" s="198"/>
      <c r="J204" s="198"/>
      <c r="K204" s="243"/>
      <c r="L204" s="112"/>
      <c r="M204" s="244"/>
      <c r="N204" s="198"/>
      <c r="O204" s="198"/>
      <c r="P204" s="198"/>
      <c r="Q204" s="198"/>
      <c r="R204" s="198"/>
      <c r="S204" s="198"/>
      <c r="T204" s="198"/>
      <c r="U204" s="37"/>
      <c r="V204" s="198"/>
      <c r="W204" s="198"/>
      <c r="X204" s="198"/>
      <c r="Y204" s="198"/>
      <c r="Z204" s="198"/>
      <c r="AA204" s="198"/>
      <c r="AB204" s="180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P204" s="35">
        <f t="shared" si="23"/>
        <v>0</v>
      </c>
      <c r="AQ204" s="43">
        <f t="shared" si="24"/>
        <v>0</v>
      </c>
      <c r="AR204" s="35">
        <f t="shared" si="25"/>
        <v>0</v>
      </c>
      <c r="AS204" s="103">
        <f t="shared" si="27"/>
        <v>0</v>
      </c>
      <c r="AT204" s="37">
        <f t="shared" si="26"/>
        <v>0</v>
      </c>
      <c r="AU204" s="147" t="s">
        <v>449</v>
      </c>
    </row>
    <row r="205" spans="1:49">
      <c r="B205" s="200" t="s">
        <v>409</v>
      </c>
      <c r="C205" s="201" t="s">
        <v>16</v>
      </c>
      <c r="D205" s="201" t="s">
        <v>178</v>
      </c>
      <c r="E205" s="202"/>
      <c r="F205" s="202"/>
      <c r="G205" s="215"/>
      <c r="H205" s="215"/>
      <c r="I205" s="241"/>
      <c r="J205" s="202"/>
      <c r="K205" s="241"/>
      <c r="L205" s="180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180" t="s">
        <v>11</v>
      </c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P205" s="131">
        <f t="shared" si="23"/>
        <v>1</v>
      </c>
      <c r="AQ205" s="189">
        <f t="shared" si="24"/>
        <v>0</v>
      </c>
      <c r="AR205" s="131">
        <f t="shared" si="25"/>
        <v>0</v>
      </c>
      <c r="AS205" s="103">
        <f t="shared" si="27"/>
        <v>0</v>
      </c>
      <c r="AT205" s="128">
        <f t="shared" si="26"/>
        <v>1</v>
      </c>
      <c r="AU205" s="43" t="s">
        <v>336</v>
      </c>
    </row>
    <row r="206" spans="1:49">
      <c r="B206" s="154" t="s">
        <v>410</v>
      </c>
      <c r="C206" s="154" t="s">
        <v>59</v>
      </c>
      <c r="D206" s="154" t="s">
        <v>350</v>
      </c>
      <c r="G206" s="241"/>
      <c r="H206" s="241"/>
      <c r="I206" s="241"/>
      <c r="J206" s="202"/>
      <c r="K206" s="202"/>
      <c r="L206" s="202"/>
      <c r="M206" s="202"/>
      <c r="N206" s="202"/>
      <c r="O206" s="202"/>
      <c r="P206" s="202"/>
      <c r="Q206" s="202"/>
      <c r="R206" s="202"/>
      <c r="S206" s="37"/>
      <c r="T206" s="202"/>
      <c r="U206" s="202"/>
      <c r="V206" s="202"/>
      <c r="W206" s="180" t="s">
        <v>11</v>
      </c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P206" s="35">
        <f t="shared" si="23"/>
        <v>1</v>
      </c>
      <c r="AQ206" s="43">
        <f t="shared" si="24"/>
        <v>0</v>
      </c>
      <c r="AR206" s="35">
        <f t="shared" si="25"/>
        <v>0</v>
      </c>
      <c r="AS206" s="36">
        <f t="shared" si="27"/>
        <v>0</v>
      </c>
      <c r="AT206" s="37">
        <f t="shared" si="26"/>
        <v>1</v>
      </c>
      <c r="AU206" s="43" t="s">
        <v>315</v>
      </c>
    </row>
    <row r="207" spans="1:49">
      <c r="B207" s="154" t="s">
        <v>104</v>
      </c>
      <c r="C207" s="182" t="s">
        <v>16</v>
      </c>
      <c r="D207" s="152" t="s">
        <v>411</v>
      </c>
      <c r="E207" s="194"/>
      <c r="F207" s="194"/>
      <c r="G207" s="194"/>
      <c r="H207" s="194"/>
      <c r="I207" s="194"/>
      <c r="J207" s="198"/>
      <c r="K207" s="241"/>
      <c r="L207" s="198"/>
      <c r="M207" s="194"/>
      <c r="N207" s="194"/>
      <c r="O207" s="194"/>
      <c r="P207" s="194"/>
      <c r="Q207" s="180"/>
      <c r="R207" s="194"/>
      <c r="S207" s="194"/>
      <c r="T207" s="194"/>
      <c r="U207" s="194"/>
      <c r="V207" s="194"/>
      <c r="W207" s="194"/>
      <c r="X207" s="194"/>
      <c r="Y207" s="194"/>
      <c r="Z207" s="180" t="s">
        <v>11</v>
      </c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P207" s="35">
        <f t="shared" si="23"/>
        <v>1</v>
      </c>
      <c r="AQ207" s="43">
        <f t="shared" si="24"/>
        <v>0</v>
      </c>
      <c r="AR207" s="35">
        <f t="shared" si="25"/>
        <v>0</v>
      </c>
      <c r="AS207" s="36">
        <f t="shared" si="27"/>
        <v>0</v>
      </c>
      <c r="AT207" s="37">
        <f t="shared" si="26"/>
        <v>1</v>
      </c>
      <c r="AU207" s="43" t="s">
        <v>193</v>
      </c>
    </row>
    <row r="208" spans="1:49">
      <c r="B208" s="154" t="s">
        <v>412</v>
      </c>
      <c r="C208" s="182" t="s">
        <v>413</v>
      </c>
      <c r="D208" s="204" t="s">
        <v>414</v>
      </c>
      <c r="E208" s="97"/>
      <c r="F208" s="97"/>
      <c r="G208" s="97"/>
      <c r="H208" s="97"/>
      <c r="I208" s="241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97"/>
      <c r="AD208" s="97"/>
      <c r="AE208" s="97"/>
      <c r="AF208" s="97"/>
      <c r="AG208" s="97"/>
      <c r="AH208" s="97"/>
      <c r="AI208" s="97"/>
      <c r="AJ208" s="97"/>
      <c r="AK208" s="97"/>
      <c r="AL208" s="97"/>
      <c r="AM208" s="97"/>
      <c r="AP208" s="43">
        <f t="shared" si="23"/>
        <v>0</v>
      </c>
      <c r="AQ208" s="43">
        <f t="shared" si="24"/>
        <v>0</v>
      </c>
      <c r="AR208" s="43">
        <f t="shared" si="25"/>
        <v>0</v>
      </c>
      <c r="AS208" s="66">
        <f t="shared" si="27"/>
        <v>0</v>
      </c>
      <c r="AT208" s="43">
        <f t="shared" si="26"/>
        <v>0</v>
      </c>
      <c r="AU208" s="43" t="s">
        <v>336</v>
      </c>
    </row>
    <row r="209" spans="2:47">
      <c r="B209" s="154" t="s">
        <v>415</v>
      </c>
      <c r="C209" s="182" t="s">
        <v>16</v>
      </c>
      <c r="D209" s="201" t="s">
        <v>178</v>
      </c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180"/>
      <c r="P209" s="97"/>
      <c r="Q209" s="97"/>
      <c r="R209" s="97"/>
      <c r="S209" s="37"/>
      <c r="T209" s="97"/>
      <c r="U209" s="97"/>
      <c r="V209" s="97"/>
      <c r="W209" s="97"/>
      <c r="X209" s="97"/>
      <c r="Y209" s="97"/>
      <c r="Z209" s="97"/>
      <c r="AA209" s="97"/>
      <c r="AB209" s="97"/>
      <c r="AC209" s="97"/>
      <c r="AD209" s="180" t="s">
        <v>11</v>
      </c>
      <c r="AE209" s="180" t="s">
        <v>11</v>
      </c>
      <c r="AF209" s="97"/>
      <c r="AG209" s="97"/>
      <c r="AH209" s="97"/>
      <c r="AI209" s="97"/>
      <c r="AJ209" s="97"/>
      <c r="AK209" s="97"/>
      <c r="AL209" s="97"/>
      <c r="AM209" s="97"/>
      <c r="AP209" s="35">
        <f t="shared" si="23"/>
        <v>2</v>
      </c>
      <c r="AQ209" s="43">
        <f t="shared" si="24"/>
        <v>0</v>
      </c>
      <c r="AR209" s="35">
        <f t="shared" si="25"/>
        <v>0</v>
      </c>
      <c r="AS209" s="103">
        <f t="shared" si="27"/>
        <v>0</v>
      </c>
      <c r="AT209" s="37">
        <f t="shared" si="26"/>
        <v>2</v>
      </c>
      <c r="AU209" s="43" t="s">
        <v>193</v>
      </c>
    </row>
    <row r="210" spans="2:47">
      <c r="B210" s="195" t="s">
        <v>416</v>
      </c>
      <c r="C210" s="195" t="s">
        <v>16</v>
      </c>
      <c r="D210" s="162" t="s">
        <v>178</v>
      </c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28"/>
      <c r="T210" s="162"/>
      <c r="U210" s="128"/>
      <c r="V210" s="162"/>
      <c r="W210" s="128"/>
      <c r="X210" s="162"/>
      <c r="Y210" s="162"/>
      <c r="Z210" s="162"/>
      <c r="AA210" s="162"/>
      <c r="AB210" s="162"/>
      <c r="AC210" s="162"/>
      <c r="AD210" s="162"/>
      <c r="AE210" s="162"/>
      <c r="AF210" s="162"/>
      <c r="AG210" s="162"/>
      <c r="AH210" s="162"/>
      <c r="AI210" s="162"/>
      <c r="AJ210" s="162"/>
      <c r="AK210" s="162"/>
      <c r="AL210" s="162"/>
      <c r="AM210" s="162"/>
      <c r="AP210" s="131">
        <f t="shared" si="23"/>
        <v>0</v>
      </c>
      <c r="AQ210" s="189">
        <f t="shared" si="24"/>
        <v>0</v>
      </c>
      <c r="AR210" s="207">
        <f t="shared" si="25"/>
        <v>0</v>
      </c>
      <c r="AS210" s="101">
        <f t="shared" si="27"/>
        <v>0</v>
      </c>
      <c r="AT210" s="208">
        <f t="shared" si="26"/>
        <v>0</v>
      </c>
      <c r="AU210" s="209" t="s">
        <v>417</v>
      </c>
    </row>
    <row r="211" spans="2:47">
      <c r="B211" s="197" t="s">
        <v>418</v>
      </c>
      <c r="C211" s="154" t="s">
        <v>16</v>
      </c>
      <c r="D211" s="162" t="s">
        <v>180</v>
      </c>
      <c r="E211" s="97"/>
      <c r="F211" s="97"/>
      <c r="G211" s="97"/>
      <c r="H211" s="180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6" t="s">
        <v>11</v>
      </c>
      <c r="U211" s="97"/>
      <c r="V211" s="97"/>
      <c r="W211" s="97"/>
      <c r="X211" s="97"/>
      <c r="Y211" s="97"/>
      <c r="Z211" s="97"/>
      <c r="AA211" s="97"/>
      <c r="AB211" s="37"/>
      <c r="AC211" s="97"/>
      <c r="AD211" s="97"/>
      <c r="AE211" s="97"/>
      <c r="AF211" s="97"/>
      <c r="AG211" s="97"/>
      <c r="AH211" s="97"/>
      <c r="AI211" s="97"/>
      <c r="AJ211" s="97"/>
      <c r="AK211" s="97"/>
      <c r="AL211" s="191" t="s">
        <v>11</v>
      </c>
      <c r="AM211" s="191"/>
      <c r="AN211" s="210"/>
      <c r="AO211" s="97"/>
      <c r="AP211" s="35">
        <f t="shared" si="23"/>
        <v>2</v>
      </c>
      <c r="AQ211" s="43">
        <f t="shared" si="24"/>
        <v>0</v>
      </c>
      <c r="AR211" s="35">
        <f t="shared" si="25"/>
        <v>0</v>
      </c>
      <c r="AS211" s="36">
        <f t="shared" si="27"/>
        <v>0</v>
      </c>
      <c r="AT211" s="37">
        <f t="shared" si="26"/>
        <v>2</v>
      </c>
      <c r="AU211" s="43" t="s">
        <v>382</v>
      </c>
    </row>
    <row r="212" spans="2:47">
      <c r="B212" s="197" t="s">
        <v>496</v>
      </c>
      <c r="C212" s="177" t="s">
        <v>165</v>
      </c>
      <c r="D212" s="182" t="s">
        <v>178</v>
      </c>
      <c r="E212" s="180"/>
      <c r="F212" s="97"/>
      <c r="G212" s="97"/>
      <c r="H212" s="97"/>
      <c r="I212" s="97"/>
      <c r="J212" s="180"/>
      <c r="K212" s="180"/>
      <c r="L212" s="180"/>
      <c r="M212" s="97"/>
      <c r="N212" s="97"/>
      <c r="O212" s="97"/>
      <c r="P212" s="97"/>
      <c r="Q212" s="97"/>
      <c r="R212" s="96" t="s">
        <v>11</v>
      </c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97"/>
      <c r="AD212" s="97"/>
      <c r="AE212" s="97"/>
      <c r="AF212" s="97"/>
      <c r="AG212" s="97"/>
      <c r="AH212" s="97"/>
      <c r="AI212" s="97"/>
      <c r="AJ212" s="97"/>
      <c r="AK212" s="97"/>
      <c r="AL212" s="97"/>
      <c r="AM212" s="97"/>
      <c r="AP212" s="35">
        <f t="shared" si="23"/>
        <v>1</v>
      </c>
      <c r="AQ212" s="43">
        <f t="shared" si="24"/>
        <v>0</v>
      </c>
      <c r="AR212" s="35">
        <f t="shared" si="25"/>
        <v>0</v>
      </c>
      <c r="AS212" s="103">
        <f t="shared" si="27"/>
        <v>0</v>
      </c>
      <c r="AT212" s="37">
        <f t="shared" si="26"/>
        <v>1</v>
      </c>
      <c r="AU212" s="147" t="s">
        <v>382</v>
      </c>
    </row>
    <row r="213" spans="2:47">
      <c r="B213" s="197" t="s">
        <v>451</v>
      </c>
      <c r="C213" s="197" t="s">
        <v>16</v>
      </c>
      <c r="D213" s="182" t="s">
        <v>180</v>
      </c>
      <c r="E213" s="97"/>
      <c r="F213" s="97"/>
      <c r="G213" s="180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180"/>
      <c r="U213" s="97"/>
      <c r="V213" s="97"/>
      <c r="W213" s="97"/>
      <c r="X213" s="97"/>
      <c r="Y213" s="97"/>
      <c r="Z213" s="97"/>
      <c r="AA213" s="97"/>
      <c r="AB213" s="97"/>
      <c r="AC213" s="97"/>
      <c r="AD213" s="97"/>
      <c r="AE213" s="97"/>
      <c r="AF213" s="97"/>
      <c r="AG213" s="97"/>
      <c r="AH213" s="97"/>
      <c r="AI213" s="97"/>
      <c r="AJ213" s="97"/>
      <c r="AK213" s="180" t="s">
        <v>12</v>
      </c>
      <c r="AL213" s="180"/>
      <c r="AM213" s="180"/>
      <c r="AP213" s="35">
        <f t="shared" si="23"/>
        <v>0</v>
      </c>
      <c r="AQ213" s="43">
        <f t="shared" si="24"/>
        <v>1</v>
      </c>
      <c r="AR213" s="35">
        <f t="shared" si="25"/>
        <v>0</v>
      </c>
      <c r="AS213" s="103">
        <f t="shared" si="27"/>
        <v>0</v>
      </c>
      <c r="AT213" s="37">
        <f t="shared" si="26"/>
        <v>1</v>
      </c>
      <c r="AU213" s="97"/>
    </row>
    <row r="214" spans="2:47">
      <c r="B214" s="197" t="s">
        <v>452</v>
      </c>
      <c r="C214" s="197" t="s">
        <v>59</v>
      </c>
      <c r="D214" s="182" t="s">
        <v>178</v>
      </c>
      <c r="E214" s="97"/>
      <c r="F214" s="97"/>
      <c r="G214" s="97"/>
      <c r="H214" s="97"/>
      <c r="I214" s="180"/>
      <c r="J214" s="180"/>
      <c r="K214" s="180"/>
      <c r="L214" s="97"/>
      <c r="M214" s="97"/>
      <c r="N214" s="97"/>
      <c r="O214" s="97"/>
      <c r="P214" s="97"/>
      <c r="Q214" s="96" t="s">
        <v>12</v>
      </c>
      <c r="R214" s="96" t="s">
        <v>13</v>
      </c>
      <c r="S214" s="180"/>
      <c r="T214" s="180"/>
      <c r="U214" s="97"/>
      <c r="V214" s="180"/>
      <c r="W214" s="180" t="s">
        <v>103</v>
      </c>
      <c r="X214" s="180" t="s">
        <v>12</v>
      </c>
      <c r="Y214" s="180"/>
      <c r="Z214" s="97"/>
      <c r="AA214" s="180" t="s">
        <v>11</v>
      </c>
      <c r="AB214" s="97"/>
      <c r="AC214" s="180" t="s">
        <v>11</v>
      </c>
      <c r="AD214" s="180" t="s">
        <v>11</v>
      </c>
      <c r="AE214" s="180" t="s">
        <v>11</v>
      </c>
      <c r="AF214" s="97"/>
      <c r="AG214" s="97"/>
      <c r="AH214" s="97"/>
      <c r="AI214" s="97"/>
      <c r="AJ214" s="97"/>
      <c r="AK214" s="97"/>
      <c r="AL214" s="97"/>
      <c r="AM214" s="97"/>
      <c r="AP214" s="35">
        <f t="shared" si="23"/>
        <v>4</v>
      </c>
      <c r="AQ214" s="43">
        <f t="shared" si="24"/>
        <v>3</v>
      </c>
      <c r="AR214" s="35">
        <f t="shared" si="25"/>
        <v>1</v>
      </c>
      <c r="AS214" s="103">
        <f t="shared" si="27"/>
        <v>0</v>
      </c>
      <c r="AT214" s="37">
        <f t="shared" si="26"/>
        <v>8</v>
      </c>
      <c r="AU214" s="43" t="s">
        <v>497</v>
      </c>
    </row>
    <row r="215" spans="2:47">
      <c r="B215" s="197" t="s">
        <v>453</v>
      </c>
      <c r="C215" s="197" t="s">
        <v>16</v>
      </c>
      <c r="D215" s="182" t="s">
        <v>180</v>
      </c>
      <c r="E215" s="97"/>
      <c r="F215" s="97"/>
      <c r="G215" s="97"/>
      <c r="H215" s="97"/>
      <c r="I215" s="97"/>
      <c r="J215" s="97"/>
      <c r="K215" s="97"/>
      <c r="L215" s="180"/>
      <c r="M215" s="97" t="s">
        <v>11</v>
      </c>
      <c r="N215" s="97"/>
      <c r="O215" s="97"/>
      <c r="P215" s="97"/>
      <c r="Q215" s="97"/>
      <c r="R215" s="97"/>
      <c r="S215" s="97"/>
      <c r="T215" s="180"/>
      <c r="U215" s="97"/>
      <c r="V215" s="97"/>
      <c r="W215" s="97"/>
      <c r="X215" s="97"/>
      <c r="Y215" s="97"/>
      <c r="Z215" s="97"/>
      <c r="AA215" s="97"/>
      <c r="AB215" s="97"/>
      <c r="AC215" s="97"/>
      <c r="AD215" s="97"/>
      <c r="AE215" s="97"/>
      <c r="AF215" s="97"/>
      <c r="AG215" s="97"/>
      <c r="AH215" s="97"/>
      <c r="AI215" s="97"/>
      <c r="AJ215" s="97"/>
      <c r="AK215" s="180" t="s">
        <v>11</v>
      </c>
      <c r="AL215" s="180"/>
      <c r="AM215" s="180"/>
      <c r="AO215" s="116"/>
      <c r="AP215" s="35">
        <f t="shared" si="23"/>
        <v>2</v>
      </c>
      <c r="AQ215" s="43">
        <f t="shared" si="24"/>
        <v>0</v>
      </c>
      <c r="AR215" s="35">
        <f t="shared" si="25"/>
        <v>0</v>
      </c>
      <c r="AS215" s="103">
        <f t="shared" si="27"/>
        <v>0</v>
      </c>
      <c r="AT215" s="37">
        <f t="shared" si="26"/>
        <v>2</v>
      </c>
      <c r="AU215" s="147" t="s">
        <v>382</v>
      </c>
    </row>
    <row r="216" spans="2:47">
      <c r="B216" s="197" t="s">
        <v>454</v>
      </c>
      <c r="C216" s="197" t="s">
        <v>165</v>
      </c>
      <c r="D216" s="182" t="s">
        <v>178</v>
      </c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80"/>
      <c r="R216" s="180"/>
      <c r="S216" s="96" t="s">
        <v>11</v>
      </c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80" t="s">
        <v>11</v>
      </c>
      <c r="AE216" s="180"/>
      <c r="AF216" s="180"/>
      <c r="AG216" s="180"/>
      <c r="AH216" s="197"/>
      <c r="AI216" s="197"/>
      <c r="AJ216" s="197"/>
      <c r="AK216" s="197"/>
      <c r="AL216" s="197"/>
      <c r="AM216" s="197"/>
      <c r="AO216" s="116"/>
      <c r="AP216" s="43">
        <f t="shared" si="23"/>
        <v>2</v>
      </c>
      <c r="AQ216" s="43">
        <f t="shared" si="24"/>
        <v>0</v>
      </c>
      <c r="AR216" s="176">
        <f t="shared" si="25"/>
        <v>0</v>
      </c>
      <c r="AS216" s="66">
        <f t="shared" si="27"/>
        <v>0</v>
      </c>
      <c r="AT216" s="43">
        <f t="shared" si="26"/>
        <v>2</v>
      </c>
      <c r="AU216" s="43"/>
    </row>
    <row r="217" spans="2:47">
      <c r="B217" s="197" t="s">
        <v>455</v>
      </c>
      <c r="C217" s="197" t="s">
        <v>16</v>
      </c>
      <c r="D217" s="182" t="s">
        <v>178</v>
      </c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80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80" t="s">
        <v>11</v>
      </c>
      <c r="AK217" s="180"/>
      <c r="AL217" s="197"/>
      <c r="AM217" s="197"/>
      <c r="AP217" s="131">
        <f t="shared" si="23"/>
        <v>1</v>
      </c>
      <c r="AQ217" s="189">
        <f t="shared" si="24"/>
        <v>0</v>
      </c>
      <c r="AR217" s="131">
        <f t="shared" si="25"/>
        <v>0</v>
      </c>
      <c r="AS217" s="103">
        <f t="shared" si="27"/>
        <v>0</v>
      </c>
      <c r="AT217" s="128">
        <f t="shared" si="26"/>
        <v>1</v>
      </c>
      <c r="AU217" s="189" t="s">
        <v>193</v>
      </c>
    </row>
    <row r="218" spans="2:47">
      <c r="B218" s="212" t="s">
        <v>498</v>
      </c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45" t="s">
        <v>11</v>
      </c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P218" s="131">
        <f t="shared" si="23"/>
        <v>1</v>
      </c>
      <c r="AQ218" s="189">
        <f t="shared" si="24"/>
        <v>0</v>
      </c>
      <c r="AR218" s="131">
        <f t="shared" si="25"/>
        <v>0</v>
      </c>
      <c r="AS218" s="103">
        <f t="shared" si="27"/>
        <v>0</v>
      </c>
      <c r="AT218" s="128">
        <f t="shared" si="26"/>
        <v>1</v>
      </c>
      <c r="AU218" s="97"/>
    </row>
    <row r="219" spans="2:47">
      <c r="B219" s="213" t="s">
        <v>499</v>
      </c>
      <c r="C219" s="150" t="s">
        <v>16</v>
      </c>
      <c r="D219" s="152" t="s">
        <v>112</v>
      </c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45" t="s">
        <v>12</v>
      </c>
      <c r="Z219" s="202"/>
      <c r="AA219" s="202"/>
      <c r="AB219" s="202"/>
      <c r="AC219" s="202"/>
      <c r="AD219" s="180" t="s">
        <v>12</v>
      </c>
      <c r="AE219" s="202"/>
      <c r="AF219" s="202"/>
      <c r="AG219" s="202"/>
      <c r="AH219" s="202"/>
      <c r="AI219" s="202"/>
      <c r="AJ219" s="202"/>
      <c r="AK219" s="202"/>
      <c r="AL219" s="202"/>
      <c r="AM219" s="202"/>
      <c r="AP219" s="131">
        <f t="shared" si="23"/>
        <v>0</v>
      </c>
      <c r="AQ219" s="189">
        <f t="shared" si="24"/>
        <v>2</v>
      </c>
      <c r="AR219" s="131">
        <f t="shared" si="25"/>
        <v>0</v>
      </c>
      <c r="AS219" s="103">
        <f t="shared" si="27"/>
        <v>0</v>
      </c>
      <c r="AT219" s="128">
        <f t="shared" si="26"/>
        <v>2</v>
      </c>
      <c r="AU219" s="209" t="s">
        <v>500</v>
      </c>
    </row>
    <row r="220" spans="2:47">
      <c r="B220" s="214" t="s">
        <v>501</v>
      </c>
      <c r="C220" s="215" t="s">
        <v>59</v>
      </c>
      <c r="D220" s="171" t="s">
        <v>112</v>
      </c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46" t="s">
        <v>11</v>
      </c>
      <c r="Z220" s="215"/>
      <c r="AA220" s="215"/>
      <c r="AB220" s="215"/>
      <c r="AC220" s="215"/>
      <c r="AD220" s="215"/>
      <c r="AE220" s="215"/>
      <c r="AF220" s="215"/>
      <c r="AG220" s="215"/>
      <c r="AH220" s="215"/>
      <c r="AI220" s="215"/>
      <c r="AJ220" s="215"/>
      <c r="AK220" s="215"/>
      <c r="AL220" s="215"/>
      <c r="AM220" s="215"/>
      <c r="AP220" s="216">
        <f t="shared" si="23"/>
        <v>1</v>
      </c>
      <c r="AQ220" s="43">
        <f t="shared" si="24"/>
        <v>0</v>
      </c>
      <c r="AR220" s="217">
        <f t="shared" si="25"/>
        <v>0</v>
      </c>
      <c r="AS220" s="218">
        <f t="shared" si="27"/>
        <v>0</v>
      </c>
      <c r="AT220" s="217">
        <f t="shared" si="26"/>
        <v>1</v>
      </c>
      <c r="AU220" s="43" t="s">
        <v>193</v>
      </c>
    </row>
    <row r="221" spans="2:47">
      <c r="B221" s="194" t="s">
        <v>502</v>
      </c>
      <c r="C221" s="194" t="s">
        <v>357</v>
      </c>
      <c r="D221" s="219" t="s">
        <v>178</v>
      </c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62" t="s">
        <v>11</v>
      </c>
      <c r="AJ221" s="194"/>
      <c r="AK221" s="194"/>
      <c r="AL221" s="194"/>
      <c r="AM221" s="194"/>
      <c r="AP221" s="216">
        <f t="shared" si="23"/>
        <v>1</v>
      </c>
      <c r="AQ221" s="43">
        <f t="shared" si="24"/>
        <v>0</v>
      </c>
      <c r="AR221" s="217">
        <f t="shared" si="25"/>
        <v>0</v>
      </c>
      <c r="AS221" s="218">
        <f t="shared" si="27"/>
        <v>0</v>
      </c>
      <c r="AT221" s="217">
        <f t="shared" si="26"/>
        <v>1</v>
      </c>
      <c r="AU221" s="220"/>
    </row>
  </sheetData>
  <autoFilter xmlns:etc="http://www.wps.cn/officeDocument/2017/etCustomData" ref="A11:AW221" etc:filterBottomFollowUsedRange="0">
    <extLst/>
  </autoFilter>
  <mergeCells count="13">
    <mergeCell ref="E10:AM10"/>
    <mergeCell ref="AP10:AS10"/>
    <mergeCell ref="A10:A11"/>
    <mergeCell ref="B10:B11"/>
    <mergeCell ref="C10:C11"/>
    <mergeCell ref="D10:D11"/>
    <mergeCell ref="AO10:AO11"/>
    <mergeCell ref="AT10:AT11"/>
    <mergeCell ref="AU10:AU11"/>
    <mergeCell ref="AV10:AV11"/>
    <mergeCell ref="AW10:AW11"/>
    <mergeCell ref="E4:AM6"/>
    <mergeCell ref="E7:AM8"/>
  </mergeCells>
  <conditionalFormatting sqref="F52">
    <cfRule type="containsText" dxfId="6" priority="664" operator="between" text="I">
      <formula>NOT(ISERROR(SEARCH("I",F52)))</formula>
    </cfRule>
    <cfRule type="containsText" dxfId="7" priority="665" operator="between" text="A">
      <formula>NOT(ISERROR(SEARCH("A",F52)))</formula>
    </cfRule>
    <cfRule type="containsText" dxfId="8" priority="666" operator="between" text="L">
      <formula>NOT(ISERROR(SEARCH("L",F52)))</formula>
    </cfRule>
    <cfRule type="containsText" dxfId="6" priority="667" operator="between" text="A">
      <formula>NOT(ISERROR(SEARCH("A",F52)))</formula>
    </cfRule>
    <cfRule type="containsText" dxfId="7" priority="668" operator="between" text="S">
      <formula>NOT(ISERROR(SEARCH("S",F52)))</formula>
    </cfRule>
    <cfRule type="containsText" dxfId="5" priority="669" operator="between" text="OFF">
      <formula>NOT(ISERROR(SEARCH("OFF",F52)))</formula>
    </cfRule>
    <cfRule type="containsText" dxfId="7" priority="670" operator="between" text="OFF">
      <formula>NOT(ISERROR(SEARCH("OFF",F52)))</formula>
    </cfRule>
  </conditionalFormatting>
  <conditionalFormatting sqref="J93:M93">
    <cfRule type="containsText" dxfId="6" priority="2604" operator="between" text="I">
      <formula>NOT(ISERROR(SEARCH("I",J93)))</formula>
    </cfRule>
    <cfRule type="containsText" dxfId="7" priority="2605" operator="between" text="A">
      <formula>NOT(ISERROR(SEARCH("A",J93)))</formula>
    </cfRule>
    <cfRule type="containsText" dxfId="8" priority="2606" operator="between" text="L">
      <formula>NOT(ISERROR(SEARCH("L",J93)))</formula>
    </cfRule>
    <cfRule type="containsText" dxfId="6" priority="2607" operator="between" text="A">
      <formula>NOT(ISERROR(SEARCH("A",J93)))</formula>
    </cfRule>
    <cfRule type="containsText" dxfId="7" priority="2608" operator="between" text="S">
      <formula>NOT(ISERROR(SEARCH("S",J93)))</formula>
    </cfRule>
    <cfRule type="containsText" dxfId="5" priority="2609" operator="between" text="OFF">
      <formula>NOT(ISERROR(SEARCH("OFF",J93)))</formula>
    </cfRule>
    <cfRule type="containsText" dxfId="7" priority="2610" operator="between" text="OFF">
      <formula>NOT(ISERROR(SEARCH("OFF",J93)))</formula>
    </cfRule>
  </conditionalFormatting>
  <conditionalFormatting sqref="E138">
    <cfRule type="containsText" dxfId="6" priority="674" operator="between" text="I">
      <formula>NOT(ISERROR(SEARCH("I",E138)))</formula>
    </cfRule>
    <cfRule type="containsText" dxfId="7" priority="675" operator="between" text="A">
      <formula>NOT(ISERROR(SEARCH("A",E138)))</formula>
    </cfRule>
    <cfRule type="containsText" dxfId="8" priority="676" operator="between" text="L">
      <formula>NOT(ISERROR(SEARCH("L",E138)))</formula>
    </cfRule>
    <cfRule type="containsText" dxfId="6" priority="677" operator="between" text="A">
      <formula>NOT(ISERROR(SEARCH("A",E138)))</formula>
    </cfRule>
    <cfRule type="containsText" dxfId="7" priority="678" operator="between" text="S">
      <formula>NOT(ISERROR(SEARCH("S",E138)))</formula>
    </cfRule>
    <cfRule type="containsText" dxfId="5" priority="679" operator="between" text="OFF">
      <formula>NOT(ISERROR(SEARCH("OFF",E138)))</formula>
    </cfRule>
    <cfRule type="containsText" dxfId="7" priority="680" operator="between" text="OFF">
      <formula>NOT(ISERROR(SEARCH("OFF",E138)))</formula>
    </cfRule>
  </conditionalFormatting>
  <conditionalFormatting sqref="O160">
    <cfRule type="containsText" dxfId="6" priority="2724" operator="between" text="I">
      <formula>NOT(ISERROR(SEARCH("I",O160)))</formula>
    </cfRule>
    <cfRule type="containsText" dxfId="7" priority="2725" operator="between" text="A">
      <formula>NOT(ISERROR(SEARCH("A",O160)))</formula>
    </cfRule>
    <cfRule type="containsText" dxfId="8" priority="2726" operator="between" text="L">
      <formula>NOT(ISERROR(SEARCH("L",O160)))</formula>
    </cfRule>
    <cfRule type="containsText" dxfId="6" priority="2727" operator="between" text="A">
      <formula>NOT(ISERROR(SEARCH("A",O160)))</formula>
    </cfRule>
    <cfRule type="containsText" dxfId="7" priority="2728" operator="between" text="S">
      <formula>NOT(ISERROR(SEARCH("S",O160)))</formula>
    </cfRule>
    <cfRule type="containsText" dxfId="5" priority="2729" operator="between" text="OFF">
      <formula>NOT(ISERROR(SEARCH("OFF",O160)))</formula>
    </cfRule>
    <cfRule type="containsText" dxfId="7" priority="2730" operator="between" text="OFF">
      <formula>NOT(ISERROR(SEARCH("OFF",O160)))</formula>
    </cfRule>
  </conditionalFormatting>
  <conditionalFormatting sqref="E164">
    <cfRule type="containsText" dxfId="3" priority="2541" operator="between" text="OFF">
      <formula>NOT(ISERROR(SEARCH("OFF",E164)))</formula>
    </cfRule>
    <cfRule type="containsText" dxfId="4" priority="2542" operator="between" text="OFF">
      <formula>NOT(ISERROR(SEARCH("OFF",E164)))</formula>
    </cfRule>
    <cfRule type="containsText" dxfId="5" priority="2543" operator="between" text="S">
      <formula>NOT(ISERROR(SEARCH("S",E164)))</formula>
    </cfRule>
    <cfRule type="containsText" dxfId="6" priority="2544" operator="between" text="I">
      <formula>NOT(ISERROR(SEARCH("I",E164)))</formula>
    </cfRule>
    <cfRule type="containsText" dxfId="7" priority="2545" operator="between" text="A">
      <formula>NOT(ISERROR(SEARCH("A",E164)))</formula>
    </cfRule>
    <cfRule type="containsText" dxfId="8" priority="2546" operator="between" text="L">
      <formula>NOT(ISERROR(SEARCH("L",E164)))</formula>
    </cfRule>
    <cfRule type="containsText" dxfId="6" priority="2547" operator="between" text="A">
      <formula>NOT(ISERROR(SEARCH("A",E164)))</formula>
    </cfRule>
    <cfRule type="containsText" dxfId="7" priority="2548" operator="between" text="S">
      <formula>NOT(ISERROR(SEARCH("S",E164)))</formula>
    </cfRule>
    <cfRule type="containsText" dxfId="5" priority="2549" operator="between" text="OFF">
      <formula>NOT(ISERROR(SEARCH("OFF",E164)))</formula>
    </cfRule>
    <cfRule type="containsText" dxfId="7" priority="2550" operator="between" text="OFF">
      <formula>NOT(ISERROR(SEARCH("OFF",E164)))</formula>
    </cfRule>
  </conditionalFormatting>
  <conditionalFormatting sqref="R164">
    <cfRule type="containsText" dxfId="3" priority="1191" operator="between" text="OFF">
      <formula>NOT(ISERROR(SEARCH("OFF",R164)))</formula>
    </cfRule>
    <cfRule type="containsText" dxfId="4" priority="1192" operator="between" text="OFF">
      <formula>NOT(ISERROR(SEARCH("OFF",R164)))</formula>
    </cfRule>
    <cfRule type="containsText" dxfId="5" priority="1193" operator="between" text="S">
      <formula>NOT(ISERROR(SEARCH("S",R164)))</formula>
    </cfRule>
    <cfRule type="containsText" dxfId="6" priority="1194" operator="between" text="I">
      <formula>NOT(ISERROR(SEARCH("I",R164)))</formula>
    </cfRule>
    <cfRule type="containsText" dxfId="7" priority="1195" operator="between" text="A">
      <formula>NOT(ISERROR(SEARCH("A",R164)))</formula>
    </cfRule>
    <cfRule type="containsText" dxfId="8" priority="1196" operator="between" text="L">
      <formula>NOT(ISERROR(SEARCH("L",R164)))</formula>
    </cfRule>
    <cfRule type="containsText" dxfId="6" priority="1197" operator="between" text="A">
      <formula>NOT(ISERROR(SEARCH("A",R164)))</formula>
    </cfRule>
    <cfRule type="containsText" dxfId="7" priority="1198" operator="between" text="S">
      <formula>NOT(ISERROR(SEARCH("S",R164)))</formula>
    </cfRule>
    <cfRule type="containsText" dxfId="5" priority="1199" operator="between" text="OFF">
      <formula>NOT(ISERROR(SEARCH("OFF",R164)))</formula>
    </cfRule>
    <cfRule type="containsText" dxfId="7" priority="1200" operator="between" text="OFF">
      <formula>NOT(ISERROR(SEARCH("OFF",R164)))</formula>
    </cfRule>
  </conditionalFormatting>
  <conditionalFormatting sqref="T164:U164">
    <cfRule type="containsText" dxfId="3" priority="431" operator="between" text="OFF">
      <formula>NOT(ISERROR(SEARCH("OFF",T164)))</formula>
    </cfRule>
    <cfRule type="containsText" dxfId="4" priority="432" operator="between" text="OFF">
      <formula>NOT(ISERROR(SEARCH("OFF",T164)))</formula>
    </cfRule>
    <cfRule type="containsText" dxfId="5" priority="433" operator="between" text="S">
      <formula>NOT(ISERROR(SEARCH("S",T164)))</formula>
    </cfRule>
    <cfRule type="containsText" dxfId="6" priority="434" operator="between" text="I">
      <formula>NOT(ISERROR(SEARCH("I",T164)))</formula>
    </cfRule>
    <cfRule type="containsText" dxfId="7" priority="435" operator="between" text="A">
      <formula>NOT(ISERROR(SEARCH("A",T164)))</formula>
    </cfRule>
    <cfRule type="containsText" dxfId="8" priority="436" operator="between" text="L">
      <formula>NOT(ISERROR(SEARCH("L",T164)))</formula>
    </cfRule>
    <cfRule type="containsText" dxfId="6" priority="437" operator="between" text="A">
      <formula>NOT(ISERROR(SEARCH("A",T164)))</formula>
    </cfRule>
    <cfRule type="containsText" dxfId="7" priority="438" operator="between" text="S">
      <formula>NOT(ISERROR(SEARCH("S",T164)))</formula>
    </cfRule>
    <cfRule type="containsText" dxfId="5" priority="439" operator="between" text="OFF">
      <formula>NOT(ISERROR(SEARCH("OFF",T164)))</formula>
    </cfRule>
    <cfRule type="containsText" dxfId="7" priority="440" operator="between" text="OFF">
      <formula>NOT(ISERROR(SEARCH("OFF",T164)))</formula>
    </cfRule>
  </conditionalFormatting>
  <conditionalFormatting sqref="W164">
    <cfRule type="containsText" dxfId="3" priority="2591" operator="between" text="OFF">
      <formula>NOT(ISERROR(SEARCH("OFF",W164)))</formula>
    </cfRule>
    <cfRule type="containsText" dxfId="4" priority="2592" operator="between" text="OFF">
      <formula>NOT(ISERROR(SEARCH("OFF",W164)))</formula>
    </cfRule>
    <cfRule type="containsText" dxfId="5" priority="2593" operator="between" text="S">
      <formula>NOT(ISERROR(SEARCH("S",W164)))</formula>
    </cfRule>
    <cfRule type="containsText" dxfId="6" priority="2594" operator="between" text="I">
      <formula>NOT(ISERROR(SEARCH("I",W164)))</formula>
    </cfRule>
    <cfRule type="containsText" dxfId="7" priority="2595" operator="between" text="A">
      <formula>NOT(ISERROR(SEARCH("A",W164)))</formula>
    </cfRule>
    <cfRule type="containsText" dxfId="8" priority="2596" operator="between" text="L">
      <formula>NOT(ISERROR(SEARCH("L",W164)))</formula>
    </cfRule>
    <cfRule type="containsText" dxfId="6" priority="2597" operator="between" text="A">
      <formula>NOT(ISERROR(SEARCH("A",W164)))</formula>
    </cfRule>
    <cfRule type="containsText" dxfId="7" priority="2598" operator="between" text="S">
      <formula>NOT(ISERROR(SEARCH("S",W164)))</formula>
    </cfRule>
    <cfRule type="containsText" dxfId="5" priority="2599" operator="between" text="OFF">
      <formula>NOT(ISERROR(SEARCH("OFF",W164)))</formula>
    </cfRule>
    <cfRule type="containsText" dxfId="7" priority="2600" operator="between" text="OFF">
      <formula>NOT(ISERROR(SEARCH("OFF",W164)))</formula>
    </cfRule>
  </conditionalFormatting>
  <conditionalFormatting sqref="AE164:AG164">
    <cfRule type="containsText" dxfId="3" priority="1051" operator="between" text="OFF">
      <formula>NOT(ISERROR(SEARCH("OFF",AE164)))</formula>
    </cfRule>
    <cfRule type="containsText" dxfId="4" priority="1052" operator="between" text="OFF">
      <formula>NOT(ISERROR(SEARCH("OFF",AE164)))</formula>
    </cfRule>
    <cfRule type="containsText" dxfId="5" priority="1053" operator="between" text="S">
      <formula>NOT(ISERROR(SEARCH("S",AE164)))</formula>
    </cfRule>
    <cfRule type="containsText" dxfId="6" priority="1054" operator="between" text="I">
      <formula>NOT(ISERROR(SEARCH("I",AE164)))</formula>
    </cfRule>
    <cfRule type="containsText" dxfId="7" priority="1055" operator="between" text="A">
      <formula>NOT(ISERROR(SEARCH("A",AE164)))</formula>
    </cfRule>
    <cfRule type="containsText" dxfId="8" priority="1056" operator="between" text="L">
      <formula>NOT(ISERROR(SEARCH("L",AE164)))</formula>
    </cfRule>
    <cfRule type="containsText" dxfId="6" priority="1057" operator="between" text="A">
      <formula>NOT(ISERROR(SEARCH("A",AE164)))</formula>
    </cfRule>
    <cfRule type="containsText" dxfId="7" priority="1058" operator="between" text="S">
      <formula>NOT(ISERROR(SEARCH("S",AE164)))</formula>
    </cfRule>
    <cfRule type="containsText" dxfId="5" priority="1059" operator="between" text="OFF">
      <formula>NOT(ISERROR(SEARCH("OFF",AE164)))</formula>
    </cfRule>
    <cfRule type="containsText" dxfId="7" priority="1060" operator="between" text="OFF">
      <formula>NOT(ISERROR(SEARCH("OFF",AE164)))</formula>
    </cfRule>
  </conditionalFormatting>
  <conditionalFormatting sqref="F165:G165">
    <cfRule type="containsText" dxfId="3" priority="2551" operator="between" text="OFF">
      <formula>NOT(ISERROR(SEARCH("OFF",F165)))</formula>
    </cfRule>
    <cfRule type="containsText" dxfId="4" priority="2552" operator="between" text="OFF">
      <formula>NOT(ISERROR(SEARCH("OFF",F165)))</formula>
    </cfRule>
    <cfRule type="containsText" dxfId="5" priority="2553" operator="between" text="S">
      <formula>NOT(ISERROR(SEARCH("S",F165)))</formula>
    </cfRule>
    <cfRule type="containsText" dxfId="6" priority="2554" operator="between" text="I">
      <formula>NOT(ISERROR(SEARCH("I",F165)))</formula>
    </cfRule>
    <cfRule type="containsText" dxfId="7" priority="2555" operator="between" text="A">
      <formula>NOT(ISERROR(SEARCH("A",F165)))</formula>
    </cfRule>
    <cfRule type="containsText" dxfId="8" priority="2556" operator="between" text="L">
      <formula>NOT(ISERROR(SEARCH("L",F165)))</formula>
    </cfRule>
    <cfRule type="containsText" dxfId="6" priority="2557" operator="between" text="A">
      <formula>NOT(ISERROR(SEARCH("A",F165)))</formula>
    </cfRule>
    <cfRule type="containsText" dxfId="7" priority="2558" operator="between" text="S">
      <formula>NOT(ISERROR(SEARCH("S",F165)))</formula>
    </cfRule>
    <cfRule type="containsText" dxfId="5" priority="2559" operator="between" text="OFF">
      <formula>NOT(ISERROR(SEARCH("OFF",F165)))</formula>
    </cfRule>
    <cfRule type="containsText" dxfId="7" priority="2560" operator="between" text="OFF">
      <formula>NOT(ISERROR(SEARCH("OFF",F165)))</formula>
    </cfRule>
  </conditionalFormatting>
  <conditionalFormatting sqref="N165:O165">
    <cfRule type="containsText" dxfId="3" priority="1261" operator="between" text="OFF">
      <formula>NOT(ISERROR(SEARCH("OFF",N165)))</formula>
    </cfRule>
    <cfRule type="containsText" dxfId="4" priority="1262" operator="between" text="OFF">
      <formula>NOT(ISERROR(SEARCH("OFF",N165)))</formula>
    </cfRule>
    <cfRule type="containsText" dxfId="5" priority="1263" operator="between" text="S">
      <formula>NOT(ISERROR(SEARCH("S",N165)))</formula>
    </cfRule>
    <cfRule type="containsText" dxfId="6" priority="1264" operator="between" text="I">
      <formula>NOT(ISERROR(SEARCH("I",N165)))</formula>
    </cfRule>
    <cfRule type="containsText" dxfId="7" priority="1265" operator="between" text="A">
      <formula>NOT(ISERROR(SEARCH("A",N165)))</formula>
    </cfRule>
    <cfRule type="containsText" dxfId="8" priority="1266" operator="between" text="L">
      <formula>NOT(ISERROR(SEARCH("L",N165)))</formula>
    </cfRule>
    <cfRule type="containsText" dxfId="6" priority="1267" operator="between" text="A">
      <formula>NOT(ISERROR(SEARCH("A",N165)))</formula>
    </cfRule>
    <cfRule type="containsText" dxfId="7" priority="1268" operator="between" text="S">
      <formula>NOT(ISERROR(SEARCH("S",N165)))</formula>
    </cfRule>
    <cfRule type="containsText" dxfId="5" priority="1269" operator="between" text="OFF">
      <formula>NOT(ISERROR(SEARCH("OFF",N165)))</formula>
    </cfRule>
    <cfRule type="containsText" dxfId="7" priority="1270" operator="between" text="OFF">
      <formula>NOT(ISERROR(SEARCH("OFF",N165)))</formula>
    </cfRule>
  </conditionalFormatting>
  <conditionalFormatting sqref="Q165">
    <cfRule type="containsText" dxfId="3" priority="2111" operator="between" text="OFF">
      <formula>NOT(ISERROR(SEARCH("OFF",Q165)))</formula>
    </cfRule>
    <cfRule type="containsText" dxfId="4" priority="2112" operator="between" text="OFF">
      <formula>NOT(ISERROR(SEARCH("OFF",Q165)))</formula>
    </cfRule>
    <cfRule type="containsText" dxfId="5" priority="2113" operator="between" text="S">
      <formula>NOT(ISERROR(SEARCH("S",Q165)))</formula>
    </cfRule>
    <cfRule type="containsText" dxfId="6" priority="2114" operator="between" text="I">
      <formula>NOT(ISERROR(SEARCH("I",Q165)))</formula>
    </cfRule>
    <cfRule type="containsText" dxfId="7" priority="2115" operator="between" text="A">
      <formula>NOT(ISERROR(SEARCH("A",Q165)))</formula>
    </cfRule>
    <cfRule type="containsText" dxfId="8" priority="2116" operator="between" text="L">
      <formula>NOT(ISERROR(SEARCH("L",Q165)))</formula>
    </cfRule>
    <cfRule type="containsText" dxfId="6" priority="2117" operator="between" text="A">
      <formula>NOT(ISERROR(SEARCH("A",Q165)))</formula>
    </cfRule>
    <cfRule type="containsText" dxfId="7" priority="2118" operator="between" text="S">
      <formula>NOT(ISERROR(SEARCH("S",Q165)))</formula>
    </cfRule>
    <cfRule type="containsText" dxfId="5" priority="2119" operator="between" text="OFF">
      <formula>NOT(ISERROR(SEARCH("OFF",Q165)))</formula>
    </cfRule>
    <cfRule type="containsText" dxfId="7" priority="2120" operator="between" text="OFF">
      <formula>NOT(ISERROR(SEARCH("OFF",Q165)))</formula>
    </cfRule>
  </conditionalFormatting>
  <conditionalFormatting sqref="Z165:AA165">
    <cfRule type="containsText" dxfId="3" priority="171" operator="between" text="OFF">
      <formula>NOT(ISERROR(SEARCH("OFF",Z165)))</formula>
    </cfRule>
    <cfRule type="containsText" dxfId="4" priority="172" operator="between" text="OFF">
      <formula>NOT(ISERROR(SEARCH("OFF",Z165)))</formula>
    </cfRule>
    <cfRule type="containsText" dxfId="5" priority="173" operator="between" text="S">
      <formula>NOT(ISERROR(SEARCH("S",Z165)))</formula>
    </cfRule>
    <cfRule type="containsText" dxfId="6" priority="174" operator="between" text="I">
      <formula>NOT(ISERROR(SEARCH("I",Z165)))</formula>
    </cfRule>
    <cfRule type="containsText" dxfId="7" priority="175" operator="between" text="A">
      <formula>NOT(ISERROR(SEARCH("A",Z165)))</formula>
    </cfRule>
    <cfRule type="containsText" dxfId="8" priority="176" operator="between" text="L">
      <formula>NOT(ISERROR(SEARCH("L",Z165)))</formula>
    </cfRule>
    <cfRule type="containsText" dxfId="6" priority="177" operator="between" text="A">
      <formula>NOT(ISERROR(SEARCH("A",Z165)))</formula>
    </cfRule>
    <cfRule type="containsText" dxfId="7" priority="178" operator="between" text="S">
      <formula>NOT(ISERROR(SEARCH("S",Z165)))</formula>
    </cfRule>
    <cfRule type="containsText" dxfId="5" priority="179" operator="between" text="OFF">
      <formula>NOT(ISERROR(SEARCH("OFF",Z165)))</formula>
    </cfRule>
    <cfRule type="containsText" dxfId="7" priority="180" operator="between" text="OFF">
      <formula>NOT(ISERROR(SEARCH("OFF",Z165)))</formula>
    </cfRule>
  </conditionalFormatting>
  <conditionalFormatting sqref="AC165:AF165">
    <cfRule type="containsText" dxfId="3" priority="181" operator="between" text="OFF">
      <formula>NOT(ISERROR(SEARCH("OFF",AC165)))</formula>
    </cfRule>
    <cfRule type="containsText" dxfId="4" priority="182" operator="between" text="OFF">
      <formula>NOT(ISERROR(SEARCH("OFF",AC165)))</formula>
    </cfRule>
    <cfRule type="containsText" dxfId="5" priority="183" operator="between" text="S">
      <formula>NOT(ISERROR(SEARCH("S",AC165)))</formula>
    </cfRule>
    <cfRule type="containsText" dxfId="6" priority="184" operator="between" text="I">
      <formula>NOT(ISERROR(SEARCH("I",AC165)))</formula>
    </cfRule>
    <cfRule type="containsText" dxfId="7" priority="185" operator="between" text="A">
      <formula>NOT(ISERROR(SEARCH("A",AC165)))</formula>
    </cfRule>
    <cfRule type="containsText" dxfId="8" priority="186" operator="between" text="L">
      <formula>NOT(ISERROR(SEARCH("L",AC165)))</formula>
    </cfRule>
    <cfRule type="containsText" dxfId="6" priority="187" operator="between" text="A">
      <formula>NOT(ISERROR(SEARCH("A",AC165)))</formula>
    </cfRule>
    <cfRule type="containsText" dxfId="7" priority="188" operator="between" text="S">
      <formula>NOT(ISERROR(SEARCH("S",AC165)))</formula>
    </cfRule>
    <cfRule type="containsText" dxfId="5" priority="189" operator="between" text="OFF">
      <formula>NOT(ISERROR(SEARCH("OFF",AC165)))</formula>
    </cfRule>
    <cfRule type="containsText" dxfId="7" priority="190" operator="between" text="OFF">
      <formula>NOT(ISERROR(SEARCH("OFF",AC165)))</formula>
    </cfRule>
  </conditionalFormatting>
  <conditionalFormatting sqref="AH165:AL165">
    <cfRule type="containsText" dxfId="3" priority="51" operator="between" text="OFF">
      <formula>NOT(ISERROR(SEARCH("OFF",AH165)))</formula>
    </cfRule>
    <cfRule type="containsText" dxfId="4" priority="52" operator="between" text="OFF">
      <formula>NOT(ISERROR(SEARCH("OFF",AH165)))</formula>
    </cfRule>
    <cfRule type="containsText" dxfId="5" priority="53" operator="between" text="S">
      <formula>NOT(ISERROR(SEARCH("S",AH165)))</formula>
    </cfRule>
    <cfRule type="containsText" dxfId="6" priority="54" operator="between" text="I">
      <formula>NOT(ISERROR(SEARCH("I",AH165)))</formula>
    </cfRule>
    <cfRule type="containsText" dxfId="7" priority="55" operator="between" text="A">
      <formula>NOT(ISERROR(SEARCH("A",AH165)))</formula>
    </cfRule>
    <cfRule type="containsText" dxfId="8" priority="56" operator="between" text="L">
      <formula>NOT(ISERROR(SEARCH("L",AH165)))</formula>
    </cfRule>
    <cfRule type="containsText" dxfId="6" priority="57" operator="between" text="A">
      <formula>NOT(ISERROR(SEARCH("A",AH165)))</formula>
    </cfRule>
    <cfRule type="containsText" dxfId="7" priority="58" operator="between" text="S">
      <formula>NOT(ISERROR(SEARCH("S",AH165)))</formula>
    </cfRule>
    <cfRule type="containsText" dxfId="5" priority="59" operator="between" text="OFF">
      <formula>NOT(ISERROR(SEARCH("OFF",AH165)))</formula>
    </cfRule>
  </conditionalFormatting>
  <conditionalFormatting sqref="AL165">
    <cfRule type="containsText" dxfId="7" priority="60" operator="between" text="OFF">
      <formula>NOT(ISERROR(SEARCH("OFF",AL165)))</formula>
    </cfRule>
  </conditionalFormatting>
  <conditionalFormatting sqref="AM165">
    <cfRule type="containsText" dxfId="6" priority="2584" operator="between" text="I">
      <formula>NOT(ISERROR(SEARCH("I",AM165)))</formula>
    </cfRule>
    <cfRule type="containsText" dxfId="7" priority="2585" operator="between" text="A">
      <formula>NOT(ISERROR(SEARCH("A",AM165)))</formula>
    </cfRule>
    <cfRule type="containsText" dxfId="8" priority="2586" operator="between" text="L">
      <formula>NOT(ISERROR(SEARCH("L",AM165)))</formula>
    </cfRule>
    <cfRule type="containsText" dxfId="6" priority="2587" operator="between" text="A">
      <formula>NOT(ISERROR(SEARCH("A",AM165)))</formula>
    </cfRule>
    <cfRule type="containsText" dxfId="7" priority="2588" operator="between" text="S">
      <formula>NOT(ISERROR(SEARCH("S",AM165)))</formula>
    </cfRule>
    <cfRule type="containsText" dxfId="5" priority="2589" operator="between" text="OFF">
      <formula>NOT(ISERROR(SEARCH("OFF",AM165)))</formula>
    </cfRule>
  </conditionalFormatting>
  <conditionalFormatting sqref="O168">
    <cfRule type="containsText" dxfId="7" priority="2618" operator="between" text="S">
      <formula>NOT(ISERROR(SEARCH("S",O168)))</formula>
    </cfRule>
    <cfRule type="containsText" dxfId="5" priority="2619" operator="between" text="OFF">
      <formula>NOT(ISERROR(SEARCH("OFF",O168)))</formula>
    </cfRule>
    <cfRule type="containsText" dxfId="7" priority="2620" operator="between" text="OFF">
      <formula>NOT(ISERROR(SEARCH("OFF",O168)))</formula>
    </cfRule>
  </conditionalFormatting>
  <conditionalFormatting sqref="F169">
    <cfRule type="containsText" dxfId="7" priority="2398" operator="between" text="S">
      <formula>NOT(ISERROR(SEARCH("S",F169)))</formula>
    </cfRule>
    <cfRule type="containsText" dxfId="5" priority="2399" operator="between" text="OFF">
      <formula>NOT(ISERROR(SEARCH("OFF",F169)))</formula>
    </cfRule>
    <cfRule type="containsText" dxfId="7" priority="2400" operator="between" text="OFF">
      <formula>NOT(ISERROR(SEARCH("OFF",F169)))</formula>
    </cfRule>
  </conditionalFormatting>
  <conditionalFormatting sqref="G180">
    <cfRule type="containsText" dxfId="3" priority="2301" operator="between" text="OFF">
      <formula>NOT(ISERROR(SEARCH("OFF",G180)))</formula>
    </cfRule>
    <cfRule type="containsText" dxfId="4" priority="2302" operator="between" text="OFF">
      <formula>NOT(ISERROR(SEARCH("OFF",G180)))</formula>
    </cfRule>
    <cfRule type="containsText" dxfId="5" priority="2303" operator="between" text="S">
      <formula>NOT(ISERROR(SEARCH("S",G180)))</formula>
    </cfRule>
    <cfRule type="containsText" dxfId="6" priority="2304" operator="between" text="I">
      <formula>NOT(ISERROR(SEARCH("I",G180)))</formula>
    </cfRule>
    <cfRule type="containsText" dxfId="7" priority="2305" operator="between" text="A">
      <formula>NOT(ISERROR(SEARCH("A",G180)))</formula>
    </cfRule>
    <cfRule type="containsText" dxfId="8" priority="2306" operator="between" text="L">
      <formula>NOT(ISERROR(SEARCH("L",G180)))</formula>
    </cfRule>
    <cfRule type="containsText" dxfId="6" priority="2307" operator="between" text="A">
      <formula>NOT(ISERROR(SEARCH("A",G180)))</formula>
    </cfRule>
    <cfRule type="containsText" dxfId="7" priority="2308" operator="between" text="S">
      <formula>NOT(ISERROR(SEARCH("S",G180)))</formula>
    </cfRule>
    <cfRule type="containsText" dxfId="5" priority="2309" operator="between" text="OFF">
      <formula>NOT(ISERROR(SEARCH("OFF",G180)))</formula>
    </cfRule>
    <cfRule type="containsText" dxfId="7" priority="2310" operator="between" text="OFF">
      <formula>NOT(ISERROR(SEARCH("OFF",G180)))</formula>
    </cfRule>
  </conditionalFormatting>
  <conditionalFormatting sqref="M180">
    <cfRule type="containsText" dxfId="3" priority="491" operator="between" text="OFF">
      <formula>NOT(ISERROR(SEARCH("OFF",M180)))</formula>
    </cfRule>
    <cfRule type="containsText" dxfId="4" priority="492" operator="between" text="OFF">
      <formula>NOT(ISERROR(SEARCH("OFF",M180)))</formula>
    </cfRule>
    <cfRule type="containsText" dxfId="5" priority="493" operator="between" text="S">
      <formula>NOT(ISERROR(SEARCH("S",M180)))</formula>
    </cfRule>
    <cfRule type="containsText" dxfId="6" priority="494" operator="between" text="I">
      <formula>NOT(ISERROR(SEARCH("I",M180)))</formula>
    </cfRule>
    <cfRule type="containsText" dxfId="7" priority="495" operator="between" text="A">
      <formula>NOT(ISERROR(SEARCH("A",M180)))</formula>
    </cfRule>
    <cfRule type="containsText" dxfId="8" priority="496" operator="between" text="L">
      <formula>NOT(ISERROR(SEARCH("L",M180)))</formula>
    </cfRule>
    <cfRule type="containsText" dxfId="6" priority="497" operator="between" text="A">
      <formula>NOT(ISERROR(SEARCH("A",M180)))</formula>
    </cfRule>
    <cfRule type="containsText" dxfId="7" priority="498" operator="between" text="S">
      <formula>NOT(ISERROR(SEARCH("S",M180)))</formula>
    </cfRule>
    <cfRule type="containsText" dxfId="5" priority="499" operator="between" text="OFF">
      <formula>NOT(ISERROR(SEARCH("OFF",M180)))</formula>
    </cfRule>
    <cfRule type="containsText" dxfId="7" priority="500" operator="between" text="OFF">
      <formula>NOT(ISERROR(SEARCH("OFF",M180)))</formula>
    </cfRule>
  </conditionalFormatting>
  <conditionalFormatting sqref="W180">
    <cfRule type="containsText" dxfId="3" priority="1891" operator="between" text="OFF">
      <formula>NOT(ISERROR(SEARCH("OFF",W180)))</formula>
    </cfRule>
    <cfRule type="containsText" dxfId="4" priority="1892" operator="between" text="OFF">
      <formula>NOT(ISERROR(SEARCH("OFF",W180)))</formula>
    </cfRule>
    <cfRule type="containsText" dxfId="5" priority="1893" operator="between" text="S">
      <formula>NOT(ISERROR(SEARCH("S",W180)))</formula>
    </cfRule>
    <cfRule type="containsText" dxfId="6" priority="1894" operator="between" text="I">
      <formula>NOT(ISERROR(SEARCH("I",W180)))</formula>
    </cfRule>
    <cfRule type="containsText" dxfId="7" priority="1895" operator="between" text="A">
      <formula>NOT(ISERROR(SEARCH("A",W180)))</formula>
    </cfRule>
    <cfRule type="containsText" dxfId="8" priority="1896" operator="between" text="L">
      <formula>NOT(ISERROR(SEARCH("L",W180)))</formula>
    </cfRule>
    <cfRule type="containsText" dxfId="6" priority="1897" operator="between" text="A">
      <formula>NOT(ISERROR(SEARCH("A",W180)))</formula>
    </cfRule>
    <cfRule type="containsText" dxfId="7" priority="1898" operator="between" text="S">
      <formula>NOT(ISERROR(SEARCH("S",W180)))</formula>
    </cfRule>
    <cfRule type="containsText" dxfId="5" priority="1899" operator="between" text="OFF">
      <formula>NOT(ISERROR(SEARCH("OFF",W180)))</formula>
    </cfRule>
    <cfRule type="containsText" dxfId="7" priority="1900" operator="between" text="OFF">
      <formula>NOT(ISERROR(SEARCH("OFF",W180)))</formula>
    </cfRule>
  </conditionalFormatting>
  <conditionalFormatting sqref="Y180">
    <cfRule type="containsText" dxfId="3" priority="2511" operator="between" text="OFF">
      <formula>NOT(ISERROR(SEARCH("OFF",Y180)))</formula>
    </cfRule>
    <cfRule type="containsText" dxfId="4" priority="2512" operator="between" text="OFF">
      <formula>NOT(ISERROR(SEARCH("OFF",Y180)))</formula>
    </cfRule>
    <cfRule type="containsText" dxfId="5" priority="2513" operator="between" text="S">
      <formula>NOT(ISERROR(SEARCH("S",Y180)))</formula>
    </cfRule>
    <cfRule type="containsText" dxfId="6" priority="2514" operator="between" text="I">
      <formula>NOT(ISERROR(SEARCH("I",Y180)))</formula>
    </cfRule>
    <cfRule type="containsText" dxfId="7" priority="2515" operator="between" text="A">
      <formula>NOT(ISERROR(SEARCH("A",Y180)))</formula>
    </cfRule>
    <cfRule type="containsText" dxfId="8" priority="2516" operator="between" text="L">
      <formula>NOT(ISERROR(SEARCH("L",Y180)))</formula>
    </cfRule>
    <cfRule type="containsText" dxfId="6" priority="2517" operator="between" text="A">
      <formula>NOT(ISERROR(SEARCH("A",Y180)))</formula>
    </cfRule>
    <cfRule type="containsText" dxfId="7" priority="2518" operator="between" text="S">
      <formula>NOT(ISERROR(SEARCH("S",Y180)))</formula>
    </cfRule>
    <cfRule type="containsText" dxfId="5" priority="2519" operator="between" text="OFF">
      <formula>NOT(ISERROR(SEARCH("OFF",Y180)))</formula>
    </cfRule>
    <cfRule type="containsText" dxfId="7" priority="2520" operator="between" text="OFF">
      <formula>NOT(ISERROR(SEARCH("OFF",Y180)))</formula>
    </cfRule>
  </conditionalFormatting>
  <conditionalFormatting sqref="P181">
    <cfRule type="containsText" dxfId="3" priority="1311" operator="between" text="OFF">
      <formula>NOT(ISERROR(SEARCH("OFF",P181)))</formula>
    </cfRule>
    <cfRule type="containsText" dxfId="4" priority="1312" operator="between" text="OFF">
      <formula>NOT(ISERROR(SEARCH("OFF",P181)))</formula>
    </cfRule>
    <cfRule type="containsText" dxfId="5" priority="1313" operator="between" text="S">
      <formula>NOT(ISERROR(SEARCH("S",P181)))</formula>
    </cfRule>
    <cfRule type="containsText" dxfId="6" priority="1314" operator="between" text="I">
      <formula>NOT(ISERROR(SEARCH("I",P181)))</formula>
    </cfRule>
    <cfRule type="containsText" dxfId="7" priority="1315" operator="between" text="A">
      <formula>NOT(ISERROR(SEARCH("A",P181)))</formula>
    </cfRule>
    <cfRule type="containsText" dxfId="8" priority="1316" operator="between" text="L">
      <formula>NOT(ISERROR(SEARCH("L",P181)))</formula>
    </cfRule>
    <cfRule type="containsText" dxfId="6" priority="1317" operator="between" text="A">
      <formula>NOT(ISERROR(SEARCH("A",P181)))</formula>
    </cfRule>
    <cfRule type="containsText" dxfId="7" priority="1318" operator="between" text="S">
      <formula>NOT(ISERROR(SEARCH("S",P181)))</formula>
    </cfRule>
    <cfRule type="containsText" dxfId="5" priority="1319" operator="between" text="OFF">
      <formula>NOT(ISERROR(SEARCH("OFF",P181)))</formula>
    </cfRule>
    <cfRule type="containsText" dxfId="7" priority="1320" operator="between" text="OFF">
      <formula>NOT(ISERROR(SEARCH("OFF",P181)))</formula>
    </cfRule>
  </conditionalFormatting>
  <conditionalFormatting sqref="I182">
    <cfRule type="containsText" dxfId="3" priority="911" operator="between" text="OFF">
      <formula>NOT(ISERROR(SEARCH("OFF",I182)))</formula>
    </cfRule>
    <cfRule type="containsText" dxfId="4" priority="912" operator="between" text="OFF">
      <formula>NOT(ISERROR(SEARCH("OFF",I182)))</formula>
    </cfRule>
    <cfRule type="containsText" dxfId="5" priority="913" operator="between" text="S">
      <formula>NOT(ISERROR(SEARCH("S",I182)))</formula>
    </cfRule>
    <cfRule type="containsText" dxfId="6" priority="914" operator="between" text="I">
      <formula>NOT(ISERROR(SEARCH("I",I182)))</formula>
    </cfRule>
    <cfRule type="containsText" dxfId="7" priority="915" operator="between" text="A">
      <formula>NOT(ISERROR(SEARCH("A",I182)))</formula>
    </cfRule>
    <cfRule type="containsText" dxfId="8" priority="916" operator="between" text="L">
      <formula>NOT(ISERROR(SEARCH("L",I182)))</formula>
    </cfRule>
    <cfRule type="containsText" dxfId="6" priority="917" operator="between" text="A">
      <formula>NOT(ISERROR(SEARCH("A",I182)))</formula>
    </cfRule>
    <cfRule type="containsText" dxfId="7" priority="918" operator="between" text="S">
      <formula>NOT(ISERROR(SEARCH("S",I182)))</formula>
    </cfRule>
    <cfRule type="containsText" dxfId="5" priority="919" operator="between" text="OFF">
      <formula>NOT(ISERROR(SEARCH("OFF",I182)))</formula>
    </cfRule>
    <cfRule type="containsText" dxfId="7" priority="920" operator="between" text="OFF">
      <formula>NOT(ISERROR(SEARCH("OFF",I182)))</formula>
    </cfRule>
  </conditionalFormatting>
  <conditionalFormatting sqref="K182:L182">
    <cfRule type="containsText" dxfId="3" priority="601" operator="between" text="OFF">
      <formula>NOT(ISERROR(SEARCH("OFF",K182)))</formula>
    </cfRule>
    <cfRule type="containsText" dxfId="4" priority="602" operator="between" text="OFF">
      <formula>NOT(ISERROR(SEARCH("OFF",K182)))</formula>
    </cfRule>
    <cfRule type="containsText" dxfId="5" priority="603" operator="between" text="S">
      <formula>NOT(ISERROR(SEARCH("S",K182)))</formula>
    </cfRule>
    <cfRule type="containsText" dxfId="6" priority="604" operator="between" text="I">
      <formula>NOT(ISERROR(SEARCH("I",K182)))</formula>
    </cfRule>
    <cfRule type="containsText" dxfId="7" priority="605" operator="between" text="A">
      <formula>NOT(ISERROR(SEARCH("A",K182)))</formula>
    </cfRule>
    <cfRule type="containsText" dxfId="8" priority="606" operator="between" text="L">
      <formula>NOT(ISERROR(SEARCH("L",K182)))</formula>
    </cfRule>
    <cfRule type="containsText" dxfId="6" priority="607" operator="between" text="A">
      <formula>NOT(ISERROR(SEARCH("A",K182)))</formula>
    </cfRule>
    <cfRule type="containsText" dxfId="7" priority="608" operator="between" text="S">
      <formula>NOT(ISERROR(SEARCH("S",K182)))</formula>
    </cfRule>
    <cfRule type="containsText" dxfId="5" priority="609" operator="between" text="OFF">
      <formula>NOT(ISERROR(SEARCH("OFF",K182)))</formula>
    </cfRule>
    <cfRule type="containsText" dxfId="7" priority="610" operator="between" text="OFF">
      <formula>NOT(ISERROR(SEARCH("OFF",K182)))</formula>
    </cfRule>
  </conditionalFormatting>
  <conditionalFormatting sqref="R182">
    <cfRule type="containsText" dxfId="3" priority="1331" operator="between" text="OFF">
      <formula>NOT(ISERROR(SEARCH("OFF",R182)))</formula>
    </cfRule>
    <cfRule type="containsText" dxfId="4" priority="1332" operator="between" text="OFF">
      <formula>NOT(ISERROR(SEARCH("OFF",R182)))</formula>
    </cfRule>
    <cfRule type="containsText" dxfId="5" priority="1333" operator="between" text="S">
      <formula>NOT(ISERROR(SEARCH("S",R182)))</formula>
    </cfRule>
    <cfRule type="containsText" dxfId="6" priority="1334" operator="between" text="I">
      <formula>NOT(ISERROR(SEARCH("I",R182)))</formula>
    </cfRule>
    <cfRule type="containsText" dxfId="7" priority="1335" operator="between" text="A">
      <formula>NOT(ISERROR(SEARCH("A",R182)))</formula>
    </cfRule>
    <cfRule type="containsText" dxfId="8" priority="1336" operator="between" text="L">
      <formula>NOT(ISERROR(SEARCH("L",R182)))</formula>
    </cfRule>
    <cfRule type="containsText" dxfId="6" priority="1337" operator="between" text="A">
      <formula>NOT(ISERROR(SEARCH("A",R182)))</formula>
    </cfRule>
    <cfRule type="containsText" dxfId="7" priority="1338" operator="between" text="S">
      <formula>NOT(ISERROR(SEARCH("S",R182)))</formula>
    </cfRule>
    <cfRule type="containsText" dxfId="5" priority="1339" operator="between" text="OFF">
      <formula>NOT(ISERROR(SEARCH("OFF",R182)))</formula>
    </cfRule>
    <cfRule type="containsText" dxfId="7" priority="1340" operator="between" text="OFF">
      <formula>NOT(ISERROR(SEARCH("OFF",R182)))</formula>
    </cfRule>
  </conditionalFormatting>
  <conditionalFormatting sqref="Y182">
    <cfRule type="containsText" dxfId="3" priority="1101" operator="between" text="OFF">
      <formula>NOT(ISERROR(SEARCH("OFF",Y182)))</formula>
    </cfRule>
    <cfRule type="containsText" dxfId="4" priority="1102" operator="between" text="OFF">
      <formula>NOT(ISERROR(SEARCH("OFF",Y182)))</formula>
    </cfRule>
    <cfRule type="containsText" dxfId="5" priority="1103" operator="between" text="S">
      <formula>NOT(ISERROR(SEARCH("S",Y182)))</formula>
    </cfRule>
    <cfRule type="containsText" dxfId="6" priority="1104" operator="between" text="I">
      <formula>NOT(ISERROR(SEARCH("I",Y182)))</formula>
    </cfRule>
    <cfRule type="containsText" dxfId="7" priority="1105" operator="between" text="A">
      <formula>NOT(ISERROR(SEARCH("A",Y182)))</formula>
    </cfRule>
    <cfRule type="containsText" dxfId="8" priority="1106" operator="between" text="L">
      <formula>NOT(ISERROR(SEARCH("L",Y182)))</formula>
    </cfRule>
    <cfRule type="containsText" dxfId="6" priority="1107" operator="between" text="A">
      <formula>NOT(ISERROR(SEARCH("A",Y182)))</formula>
    </cfRule>
    <cfRule type="containsText" dxfId="7" priority="1108" operator="between" text="S">
      <formula>NOT(ISERROR(SEARCH("S",Y182)))</formula>
    </cfRule>
    <cfRule type="containsText" dxfId="5" priority="1109" operator="between" text="OFF">
      <formula>NOT(ISERROR(SEARCH("OFF",Y182)))</formula>
    </cfRule>
    <cfRule type="containsText" dxfId="7" priority="1110" operator="between" text="OFF">
      <formula>NOT(ISERROR(SEARCH("OFF",Y182)))</formula>
    </cfRule>
  </conditionalFormatting>
  <conditionalFormatting sqref="E183">
    <cfRule type="containsText" dxfId="3" priority="1621" operator="between" text="OFF">
      <formula>NOT(ISERROR(SEARCH("OFF",E183)))</formula>
    </cfRule>
    <cfRule type="containsText" dxfId="4" priority="1622" operator="between" text="OFF">
      <formula>NOT(ISERROR(SEARCH("OFF",E183)))</formula>
    </cfRule>
    <cfRule type="containsText" dxfId="5" priority="1623" operator="between" text="S">
      <formula>NOT(ISERROR(SEARCH("S",E183)))</formula>
    </cfRule>
    <cfRule type="containsText" dxfId="6" priority="1624" operator="between" text="I">
      <formula>NOT(ISERROR(SEARCH("I",E183)))</formula>
    </cfRule>
    <cfRule type="containsText" dxfId="7" priority="1625" operator="between" text="A">
      <formula>NOT(ISERROR(SEARCH("A",E183)))</formula>
    </cfRule>
    <cfRule type="containsText" dxfId="8" priority="1626" operator="between" text="L">
      <formula>NOT(ISERROR(SEARCH("L",E183)))</formula>
    </cfRule>
    <cfRule type="containsText" dxfId="6" priority="1627" operator="between" text="A">
      <formula>NOT(ISERROR(SEARCH("A",E183)))</formula>
    </cfRule>
    <cfRule type="containsText" dxfId="7" priority="1628" operator="between" text="S">
      <formula>NOT(ISERROR(SEARCH("S",E183)))</formula>
    </cfRule>
    <cfRule type="containsText" dxfId="5" priority="1629" operator="between" text="OFF">
      <formula>NOT(ISERROR(SEARCH("OFF",E183)))</formula>
    </cfRule>
    <cfRule type="containsText" dxfId="7" priority="1630" operator="between" text="OFF">
      <formula>NOT(ISERROR(SEARCH("OFF",E183)))</formula>
    </cfRule>
  </conditionalFormatting>
  <conditionalFormatting sqref="G183">
    <cfRule type="containsText" dxfId="3" priority="2361" operator="between" text="OFF">
      <formula>NOT(ISERROR(SEARCH("OFF",G183)))</formula>
    </cfRule>
    <cfRule type="containsText" dxfId="4" priority="2362" operator="between" text="OFF">
      <formula>NOT(ISERROR(SEARCH("OFF",G183)))</formula>
    </cfRule>
    <cfRule type="containsText" dxfId="5" priority="2363" operator="between" text="S">
      <formula>NOT(ISERROR(SEARCH("S",G183)))</formula>
    </cfRule>
    <cfRule type="containsText" dxfId="6" priority="2364" operator="between" text="I">
      <formula>NOT(ISERROR(SEARCH("I",G183)))</formula>
    </cfRule>
    <cfRule type="containsText" dxfId="7" priority="2365" operator="between" text="A">
      <formula>NOT(ISERROR(SEARCH("A",G183)))</formula>
    </cfRule>
    <cfRule type="containsText" dxfId="8" priority="2366" operator="between" text="L">
      <formula>NOT(ISERROR(SEARCH("L",G183)))</formula>
    </cfRule>
    <cfRule type="containsText" dxfId="6" priority="2367" operator="between" text="A">
      <formula>NOT(ISERROR(SEARCH("A",G183)))</formula>
    </cfRule>
    <cfRule type="containsText" dxfId="7" priority="2368" operator="between" text="S">
      <formula>NOT(ISERROR(SEARCH("S",G183)))</formula>
    </cfRule>
    <cfRule type="containsText" dxfId="5" priority="2369" operator="between" text="OFF">
      <formula>NOT(ISERROR(SEARCH("OFF",G183)))</formula>
    </cfRule>
    <cfRule type="containsText" dxfId="7" priority="2370" operator="between" text="OFF">
      <formula>NOT(ISERROR(SEARCH("OFF",G183)))</formula>
    </cfRule>
  </conditionalFormatting>
  <conditionalFormatting sqref="V183:X183">
    <cfRule type="containsText" dxfId="3" priority="1851" operator="between" text="OFF">
      <formula>NOT(ISERROR(SEARCH("OFF",V183)))</formula>
    </cfRule>
    <cfRule type="containsText" dxfId="4" priority="1852" operator="between" text="OFF">
      <formula>NOT(ISERROR(SEARCH("OFF",V183)))</formula>
    </cfRule>
    <cfRule type="containsText" dxfId="5" priority="1853" operator="between" text="S">
      <formula>NOT(ISERROR(SEARCH("S",V183)))</formula>
    </cfRule>
    <cfRule type="containsText" dxfId="6" priority="1854" operator="between" text="I">
      <formula>NOT(ISERROR(SEARCH("I",V183)))</formula>
    </cfRule>
    <cfRule type="containsText" dxfId="7" priority="1855" operator="between" text="A">
      <formula>NOT(ISERROR(SEARCH("A",V183)))</formula>
    </cfRule>
    <cfRule type="containsText" dxfId="8" priority="1856" operator="between" text="L">
      <formula>NOT(ISERROR(SEARCH("L",V183)))</formula>
    </cfRule>
    <cfRule type="containsText" dxfId="6" priority="1857" operator="between" text="A">
      <formula>NOT(ISERROR(SEARCH("A",V183)))</formula>
    </cfRule>
    <cfRule type="containsText" dxfId="7" priority="1858" operator="between" text="S">
      <formula>NOT(ISERROR(SEARCH("S",V183)))</formula>
    </cfRule>
    <cfRule type="containsText" dxfId="5" priority="1859" operator="between" text="OFF">
      <formula>NOT(ISERROR(SEARCH("OFF",V183)))</formula>
    </cfRule>
    <cfRule type="containsText" dxfId="7" priority="1860" operator="between" text="OFF">
      <formula>NOT(ISERROR(SEARCH("OFF",V183)))</formula>
    </cfRule>
  </conditionalFormatting>
  <conditionalFormatting sqref="Z183">
    <cfRule type="containsText" dxfId="3" priority="351" operator="between" text="OFF">
      <formula>NOT(ISERROR(SEARCH("OFF",Z183)))</formula>
    </cfRule>
    <cfRule type="containsText" dxfId="4" priority="352" operator="between" text="OFF">
      <formula>NOT(ISERROR(SEARCH("OFF",Z183)))</formula>
    </cfRule>
    <cfRule type="containsText" dxfId="5" priority="353" operator="between" text="S">
      <formula>NOT(ISERROR(SEARCH("S",Z183)))</formula>
    </cfRule>
    <cfRule type="containsText" dxfId="6" priority="354" operator="between" text="I">
      <formula>NOT(ISERROR(SEARCH("I",Z183)))</formula>
    </cfRule>
    <cfRule type="containsText" dxfId="7" priority="355" operator="between" text="A">
      <formula>NOT(ISERROR(SEARCH("A",Z183)))</formula>
    </cfRule>
    <cfRule type="containsText" dxfId="8" priority="356" operator="between" text="L">
      <formula>NOT(ISERROR(SEARCH("L",Z183)))</formula>
    </cfRule>
    <cfRule type="containsText" dxfId="6" priority="357" operator="between" text="A">
      <formula>NOT(ISERROR(SEARCH("A",Z183)))</formula>
    </cfRule>
    <cfRule type="containsText" dxfId="7" priority="358" operator="between" text="S">
      <formula>NOT(ISERROR(SEARCH("S",Z183)))</formula>
    </cfRule>
    <cfRule type="containsText" dxfId="5" priority="359" operator="between" text="OFF">
      <formula>NOT(ISERROR(SEARCH("OFF",Z183)))</formula>
    </cfRule>
    <cfRule type="containsText" dxfId="7" priority="360" operator="between" text="OFF">
      <formula>NOT(ISERROR(SEARCH("OFF",Z183)))</formula>
    </cfRule>
  </conditionalFormatting>
  <conditionalFormatting sqref="AH183:AK183">
    <cfRule type="containsText" dxfId="3" priority="151" operator="between" text="OFF">
      <formula>NOT(ISERROR(SEARCH("OFF",AH183)))</formula>
    </cfRule>
    <cfRule type="containsText" dxfId="4" priority="152" operator="between" text="OFF">
      <formula>NOT(ISERROR(SEARCH("OFF",AH183)))</formula>
    </cfRule>
    <cfRule type="containsText" dxfId="5" priority="153" operator="between" text="S">
      <formula>NOT(ISERROR(SEARCH("S",AH183)))</formula>
    </cfRule>
    <cfRule type="containsText" dxfId="6" priority="154" operator="between" text="I">
      <formula>NOT(ISERROR(SEARCH("I",AH183)))</formula>
    </cfRule>
    <cfRule type="containsText" dxfId="7" priority="155" operator="between" text="A">
      <formula>NOT(ISERROR(SEARCH("A",AH183)))</formula>
    </cfRule>
    <cfRule type="containsText" dxfId="8" priority="156" operator="between" text="L">
      <formula>NOT(ISERROR(SEARCH("L",AH183)))</formula>
    </cfRule>
    <cfRule type="containsText" dxfId="6" priority="157" operator="between" text="A">
      <formula>NOT(ISERROR(SEARCH("A",AH183)))</formula>
    </cfRule>
    <cfRule type="containsText" dxfId="7" priority="158" operator="between" text="S">
      <formula>NOT(ISERROR(SEARCH("S",AH183)))</formula>
    </cfRule>
    <cfRule type="containsText" dxfId="5" priority="159" operator="between" text="OFF">
      <formula>NOT(ISERROR(SEARCH("OFF",AH183)))</formula>
    </cfRule>
    <cfRule type="containsText" dxfId="7" priority="160" operator="between" text="OFF">
      <formula>NOT(ISERROR(SEARCH("OFF",AH183)))</formula>
    </cfRule>
  </conditionalFormatting>
  <conditionalFormatting sqref="S184">
    <cfRule type="containsText" dxfId="3" priority="2041" operator="between" text="OFF">
      <formula>NOT(ISERROR(SEARCH("OFF",S184)))</formula>
    </cfRule>
    <cfRule type="containsText" dxfId="4" priority="2042" operator="between" text="OFF">
      <formula>NOT(ISERROR(SEARCH("OFF",S184)))</formula>
    </cfRule>
    <cfRule type="containsText" dxfId="5" priority="2043" operator="between" text="S">
      <formula>NOT(ISERROR(SEARCH("S",S184)))</formula>
    </cfRule>
    <cfRule type="containsText" dxfId="6" priority="2044" operator="between" text="I">
      <formula>NOT(ISERROR(SEARCH("I",S184)))</formula>
    </cfRule>
    <cfRule type="containsText" dxfId="7" priority="2045" operator="between" text="A">
      <formula>NOT(ISERROR(SEARCH("A",S184)))</formula>
    </cfRule>
    <cfRule type="containsText" dxfId="8" priority="2046" operator="between" text="L">
      <formula>NOT(ISERROR(SEARCH("L",S184)))</formula>
    </cfRule>
    <cfRule type="containsText" dxfId="6" priority="2047" operator="between" text="A">
      <formula>NOT(ISERROR(SEARCH("A",S184)))</formula>
    </cfRule>
    <cfRule type="containsText" dxfId="7" priority="2048" operator="between" text="S">
      <formula>NOT(ISERROR(SEARCH("S",S184)))</formula>
    </cfRule>
    <cfRule type="containsText" dxfId="5" priority="2049" operator="between" text="OFF">
      <formula>NOT(ISERROR(SEARCH("OFF",S184)))</formula>
    </cfRule>
    <cfRule type="containsText" dxfId="7" priority="2050" operator="between" text="OFF">
      <formula>NOT(ISERROR(SEARCH("OFF",S184)))</formula>
    </cfRule>
  </conditionalFormatting>
  <conditionalFormatting sqref="P185:Q185">
    <cfRule type="containsText" dxfId="3" priority="521" operator="between" text="OFF">
      <formula>NOT(ISERROR(SEARCH("OFF",P185)))</formula>
    </cfRule>
    <cfRule type="containsText" dxfId="4" priority="522" operator="between" text="OFF">
      <formula>NOT(ISERROR(SEARCH("OFF",P185)))</formula>
    </cfRule>
    <cfRule type="containsText" dxfId="5" priority="523" operator="between" text="S">
      <formula>NOT(ISERROR(SEARCH("S",P185)))</formula>
    </cfRule>
    <cfRule type="containsText" dxfId="6" priority="524" operator="between" text="I">
      <formula>NOT(ISERROR(SEARCH("I",P185)))</formula>
    </cfRule>
    <cfRule type="containsText" dxfId="7" priority="525" operator="between" text="A">
      <formula>NOT(ISERROR(SEARCH("A",P185)))</formula>
    </cfRule>
    <cfRule type="containsText" dxfId="8" priority="526" operator="between" text="L">
      <formula>NOT(ISERROR(SEARCH("L",P185)))</formula>
    </cfRule>
    <cfRule type="containsText" dxfId="6" priority="527" operator="between" text="A">
      <formula>NOT(ISERROR(SEARCH("A",P185)))</formula>
    </cfRule>
    <cfRule type="containsText" dxfId="7" priority="528" operator="between" text="S">
      <formula>NOT(ISERROR(SEARCH("S",P185)))</formula>
    </cfRule>
    <cfRule type="containsText" dxfId="5" priority="529" operator="between" text="OFF">
      <formula>NOT(ISERROR(SEARCH("OFF",P185)))</formula>
    </cfRule>
    <cfRule type="containsText" dxfId="7" priority="530" operator="between" text="OFF">
      <formula>NOT(ISERROR(SEARCH("OFF",P185)))</formula>
    </cfRule>
  </conditionalFormatting>
  <conditionalFormatting sqref="U185">
    <cfRule type="containsText" dxfId="3" priority="1941" operator="between" text="OFF">
      <formula>NOT(ISERROR(SEARCH("OFF",U185)))</formula>
    </cfRule>
    <cfRule type="containsText" dxfId="4" priority="1942" operator="between" text="OFF">
      <formula>NOT(ISERROR(SEARCH("OFF",U185)))</formula>
    </cfRule>
    <cfRule type="containsText" dxfId="5" priority="1943" operator="between" text="S">
      <formula>NOT(ISERROR(SEARCH("S",U185)))</formula>
    </cfRule>
    <cfRule type="containsText" dxfId="6" priority="1944" operator="between" text="I">
      <formula>NOT(ISERROR(SEARCH("I",U185)))</formula>
    </cfRule>
    <cfRule type="containsText" dxfId="7" priority="1945" operator="between" text="A">
      <formula>NOT(ISERROR(SEARCH("A",U185)))</formula>
    </cfRule>
    <cfRule type="containsText" dxfId="8" priority="1946" operator="between" text="L">
      <formula>NOT(ISERROR(SEARCH("L",U185)))</formula>
    </cfRule>
    <cfRule type="containsText" dxfId="6" priority="1947" operator="between" text="A">
      <formula>NOT(ISERROR(SEARCH("A",U185)))</formula>
    </cfRule>
    <cfRule type="containsText" dxfId="7" priority="1948" operator="between" text="S">
      <formula>NOT(ISERROR(SEARCH("S",U185)))</formula>
    </cfRule>
    <cfRule type="containsText" dxfId="5" priority="1949" operator="between" text="OFF">
      <formula>NOT(ISERROR(SEARCH("OFF",U185)))</formula>
    </cfRule>
    <cfRule type="containsText" dxfId="7" priority="1950" operator="between" text="OFF">
      <formula>NOT(ISERROR(SEARCH("OFF",U185)))</formula>
    </cfRule>
  </conditionalFormatting>
  <conditionalFormatting sqref="Z185">
    <cfRule type="containsText" dxfId="3" priority="1831" operator="between" text="OFF">
      <formula>NOT(ISERROR(SEARCH("OFF",Z185)))</formula>
    </cfRule>
    <cfRule type="containsText" dxfId="4" priority="1832" operator="between" text="OFF">
      <formula>NOT(ISERROR(SEARCH("OFF",Z185)))</formula>
    </cfRule>
    <cfRule type="containsText" dxfId="5" priority="1833" operator="between" text="S">
      <formula>NOT(ISERROR(SEARCH("S",Z185)))</formula>
    </cfRule>
    <cfRule type="containsText" dxfId="6" priority="1834" operator="between" text="I">
      <formula>NOT(ISERROR(SEARCH("I",Z185)))</formula>
    </cfRule>
    <cfRule type="containsText" dxfId="7" priority="1835" operator="between" text="A">
      <formula>NOT(ISERROR(SEARCH("A",Z185)))</formula>
    </cfRule>
    <cfRule type="containsText" dxfId="8" priority="1836" operator="between" text="L">
      <formula>NOT(ISERROR(SEARCH("L",Z185)))</formula>
    </cfRule>
    <cfRule type="containsText" dxfId="6" priority="1837" operator="between" text="A">
      <formula>NOT(ISERROR(SEARCH("A",Z185)))</formula>
    </cfRule>
    <cfRule type="containsText" dxfId="7" priority="1838" operator="between" text="S">
      <formula>NOT(ISERROR(SEARCH("S",Z185)))</formula>
    </cfRule>
    <cfRule type="containsText" dxfId="5" priority="1839" operator="between" text="OFF">
      <formula>NOT(ISERROR(SEARCH("OFF",Z185)))</formula>
    </cfRule>
    <cfRule type="containsText" dxfId="7" priority="1840" operator="between" text="OFF">
      <formula>NOT(ISERROR(SEARCH("OFF",Z185)))</formula>
    </cfRule>
  </conditionalFormatting>
  <conditionalFormatting sqref="I186">
    <cfRule type="containsText" dxfId="3" priority="1481" operator="between" text="OFF">
      <formula>NOT(ISERROR(SEARCH("OFF",I186)))</formula>
    </cfRule>
    <cfRule type="containsText" dxfId="4" priority="1482" operator="between" text="OFF">
      <formula>NOT(ISERROR(SEARCH("OFF",I186)))</formula>
    </cfRule>
    <cfRule type="containsText" dxfId="5" priority="1483" operator="between" text="S">
      <formula>NOT(ISERROR(SEARCH("S",I186)))</formula>
    </cfRule>
    <cfRule type="containsText" dxfId="6" priority="1484" operator="between" text="I">
      <formula>NOT(ISERROR(SEARCH("I",I186)))</formula>
    </cfRule>
    <cfRule type="containsText" dxfId="7" priority="1485" operator="between" text="A">
      <formula>NOT(ISERROR(SEARCH("A",I186)))</formula>
    </cfRule>
    <cfRule type="containsText" dxfId="8" priority="1486" operator="between" text="L">
      <formula>NOT(ISERROR(SEARCH("L",I186)))</formula>
    </cfRule>
    <cfRule type="containsText" dxfId="6" priority="1487" operator="between" text="A">
      <formula>NOT(ISERROR(SEARCH("A",I186)))</formula>
    </cfRule>
    <cfRule type="containsText" dxfId="7" priority="1488" operator="between" text="S">
      <formula>NOT(ISERROR(SEARCH("S",I186)))</formula>
    </cfRule>
    <cfRule type="containsText" dxfId="5" priority="1489" operator="between" text="OFF">
      <formula>NOT(ISERROR(SEARCH("OFF",I186)))</formula>
    </cfRule>
    <cfRule type="containsText" dxfId="7" priority="1490" operator="between" text="OFF">
      <formula>NOT(ISERROR(SEARCH("OFF",I186)))</formula>
    </cfRule>
  </conditionalFormatting>
  <conditionalFormatting sqref="Q186:R186">
    <cfRule type="containsText" dxfId="3" priority="1381" operator="between" text="OFF">
      <formula>NOT(ISERROR(SEARCH("OFF",Q186)))</formula>
    </cfRule>
    <cfRule type="containsText" dxfId="4" priority="1382" operator="between" text="OFF">
      <formula>NOT(ISERROR(SEARCH("OFF",Q186)))</formula>
    </cfRule>
    <cfRule type="containsText" dxfId="5" priority="1383" operator="between" text="S">
      <formula>NOT(ISERROR(SEARCH("S",Q186)))</formula>
    </cfRule>
    <cfRule type="containsText" dxfId="6" priority="1384" operator="between" text="I">
      <formula>NOT(ISERROR(SEARCH("I",Q186)))</formula>
    </cfRule>
    <cfRule type="containsText" dxfId="7" priority="1385" operator="between" text="A">
      <formula>NOT(ISERROR(SEARCH("A",Q186)))</formula>
    </cfRule>
    <cfRule type="containsText" dxfId="8" priority="1386" operator="between" text="L">
      <formula>NOT(ISERROR(SEARCH("L",Q186)))</formula>
    </cfRule>
    <cfRule type="containsText" dxfId="6" priority="1387" operator="between" text="A">
      <formula>NOT(ISERROR(SEARCH("A",Q186)))</formula>
    </cfRule>
    <cfRule type="containsText" dxfId="7" priority="1388" operator="between" text="S">
      <formula>NOT(ISERROR(SEARCH("S",Q186)))</formula>
    </cfRule>
    <cfRule type="containsText" dxfId="5" priority="1389" operator="between" text="OFF">
      <formula>NOT(ISERROR(SEARCH("OFF",Q186)))</formula>
    </cfRule>
    <cfRule type="containsText" dxfId="7" priority="1390" operator="between" text="OFF">
      <formula>NOT(ISERROR(SEARCH("OFF",Q186)))</formula>
    </cfRule>
  </conditionalFormatting>
  <conditionalFormatting sqref="M188:N188">
    <cfRule type="containsText" dxfId="3" priority="591" operator="between" text="OFF">
      <formula>NOT(ISERROR(SEARCH("OFF",M188)))</formula>
    </cfRule>
    <cfRule type="containsText" dxfId="4" priority="592" operator="between" text="OFF">
      <formula>NOT(ISERROR(SEARCH("OFF",M188)))</formula>
    </cfRule>
    <cfRule type="containsText" dxfId="5" priority="593" operator="between" text="S">
      <formula>NOT(ISERROR(SEARCH("S",M188)))</formula>
    </cfRule>
    <cfRule type="containsText" dxfId="6" priority="594" operator="between" text="I">
      <formula>NOT(ISERROR(SEARCH("I",M188)))</formula>
    </cfRule>
    <cfRule type="containsText" dxfId="7" priority="595" operator="between" text="A">
      <formula>NOT(ISERROR(SEARCH("A",M188)))</formula>
    </cfRule>
    <cfRule type="containsText" dxfId="8" priority="596" operator="between" text="L">
      <formula>NOT(ISERROR(SEARCH("L",M188)))</formula>
    </cfRule>
    <cfRule type="containsText" dxfId="6" priority="597" operator="between" text="A">
      <formula>NOT(ISERROR(SEARCH("A",M188)))</formula>
    </cfRule>
    <cfRule type="containsText" dxfId="7" priority="598" operator="between" text="S">
      <formula>NOT(ISERROR(SEARCH("S",M188)))</formula>
    </cfRule>
    <cfRule type="containsText" dxfId="5" priority="599" operator="between" text="OFF">
      <formula>NOT(ISERROR(SEARCH("OFF",M188)))</formula>
    </cfRule>
    <cfRule type="containsText" dxfId="7" priority="600" operator="between" text="OFF">
      <formula>NOT(ISERROR(SEARCH("OFF",M188)))</formula>
    </cfRule>
  </conditionalFormatting>
  <conditionalFormatting sqref="S188">
    <cfRule type="containsText" dxfId="3" priority="2071" operator="between" text="OFF">
      <formula>NOT(ISERROR(SEARCH("OFF",S188)))</formula>
    </cfRule>
    <cfRule type="containsText" dxfId="4" priority="2072" operator="between" text="OFF">
      <formula>NOT(ISERROR(SEARCH("OFF",S188)))</formula>
    </cfRule>
    <cfRule type="containsText" dxfId="5" priority="2073" operator="between" text="S">
      <formula>NOT(ISERROR(SEARCH("S",S188)))</formula>
    </cfRule>
    <cfRule type="containsText" dxfId="6" priority="2074" operator="between" text="I">
      <formula>NOT(ISERROR(SEARCH("I",S188)))</formula>
    </cfRule>
    <cfRule type="containsText" dxfId="7" priority="2075" operator="between" text="A">
      <formula>NOT(ISERROR(SEARCH("A",S188)))</formula>
    </cfRule>
    <cfRule type="containsText" dxfId="8" priority="2076" operator="between" text="L">
      <formula>NOT(ISERROR(SEARCH("L",S188)))</formula>
    </cfRule>
    <cfRule type="containsText" dxfId="6" priority="2077" operator="between" text="A">
      <formula>NOT(ISERROR(SEARCH("A",S188)))</formula>
    </cfRule>
    <cfRule type="containsText" dxfId="7" priority="2078" operator="between" text="S">
      <formula>NOT(ISERROR(SEARCH("S",S188)))</formula>
    </cfRule>
    <cfRule type="containsText" dxfId="5" priority="2079" operator="between" text="OFF">
      <formula>NOT(ISERROR(SEARCH("OFF",S188)))</formula>
    </cfRule>
    <cfRule type="containsText" dxfId="7" priority="2080" operator="between" text="OFF">
      <formula>NOT(ISERROR(SEARCH("OFF",S188)))</formula>
    </cfRule>
  </conditionalFormatting>
  <conditionalFormatting sqref="W188">
    <cfRule type="containsText" dxfId="3" priority="1921" operator="between" text="OFF">
      <formula>NOT(ISERROR(SEARCH("OFF",W188)))</formula>
    </cfRule>
    <cfRule type="containsText" dxfId="4" priority="1922" operator="between" text="OFF">
      <formula>NOT(ISERROR(SEARCH("OFF",W188)))</formula>
    </cfRule>
    <cfRule type="containsText" dxfId="5" priority="1923" operator="between" text="S">
      <formula>NOT(ISERROR(SEARCH("S",W188)))</formula>
    </cfRule>
    <cfRule type="containsText" dxfId="6" priority="1924" operator="between" text="I">
      <formula>NOT(ISERROR(SEARCH("I",W188)))</formula>
    </cfRule>
    <cfRule type="containsText" dxfId="7" priority="1925" operator="between" text="A">
      <formula>NOT(ISERROR(SEARCH("A",W188)))</formula>
    </cfRule>
    <cfRule type="containsText" dxfId="8" priority="1926" operator="between" text="L">
      <formula>NOT(ISERROR(SEARCH("L",W188)))</formula>
    </cfRule>
    <cfRule type="containsText" dxfId="6" priority="1927" operator="between" text="A">
      <formula>NOT(ISERROR(SEARCH("A",W188)))</formula>
    </cfRule>
    <cfRule type="containsText" dxfId="7" priority="1928" operator="between" text="S">
      <formula>NOT(ISERROR(SEARCH("S",W188)))</formula>
    </cfRule>
    <cfRule type="containsText" dxfId="5" priority="1929" operator="between" text="OFF">
      <formula>NOT(ISERROR(SEARCH("OFF",W188)))</formula>
    </cfRule>
    <cfRule type="containsText" dxfId="7" priority="1930" operator="between" text="OFF">
      <formula>NOT(ISERROR(SEARCH("OFF",W188)))</formula>
    </cfRule>
  </conditionalFormatting>
  <conditionalFormatting sqref="AB188:AC188">
    <cfRule type="containsText" dxfId="3" priority="311" operator="between" text="OFF">
      <formula>NOT(ISERROR(SEARCH("OFF",AB188)))</formula>
    </cfRule>
    <cfRule type="containsText" dxfId="4" priority="312" operator="between" text="OFF">
      <formula>NOT(ISERROR(SEARCH("OFF",AB188)))</formula>
    </cfRule>
    <cfRule type="containsText" dxfId="5" priority="313" operator="between" text="S">
      <formula>NOT(ISERROR(SEARCH("S",AB188)))</formula>
    </cfRule>
    <cfRule type="containsText" dxfId="6" priority="314" operator="between" text="I">
      <formula>NOT(ISERROR(SEARCH("I",AB188)))</formula>
    </cfRule>
    <cfRule type="containsText" dxfId="7" priority="315" operator="between" text="A">
      <formula>NOT(ISERROR(SEARCH("A",AB188)))</formula>
    </cfRule>
    <cfRule type="containsText" dxfId="8" priority="316" operator="between" text="L">
      <formula>NOT(ISERROR(SEARCH("L",AB188)))</formula>
    </cfRule>
    <cfRule type="containsText" dxfId="6" priority="317" operator="between" text="A">
      <formula>NOT(ISERROR(SEARCH("A",AB188)))</formula>
    </cfRule>
    <cfRule type="containsText" dxfId="7" priority="318" operator="between" text="S">
      <formula>NOT(ISERROR(SEARCH("S",AB188)))</formula>
    </cfRule>
    <cfRule type="containsText" dxfId="5" priority="319" operator="between" text="OFF">
      <formula>NOT(ISERROR(SEARCH("OFF",AB188)))</formula>
    </cfRule>
    <cfRule type="containsText" dxfId="7" priority="320" operator="between" text="OFF">
      <formula>NOT(ISERROR(SEARCH("OFF",AB188)))</formula>
    </cfRule>
  </conditionalFormatting>
  <conditionalFormatting sqref="H189">
    <cfRule type="containsText" dxfId="3" priority="2321" operator="between" text="OFF">
      <formula>NOT(ISERROR(SEARCH("OFF",H189)))</formula>
    </cfRule>
    <cfRule type="containsText" dxfId="4" priority="2322" operator="between" text="OFF">
      <formula>NOT(ISERROR(SEARCH("OFF",H189)))</formula>
    </cfRule>
    <cfRule type="containsText" dxfId="5" priority="2323" operator="between" text="S">
      <formula>NOT(ISERROR(SEARCH("S",H189)))</formula>
    </cfRule>
    <cfRule type="containsText" dxfId="6" priority="2324" operator="between" text="I">
      <formula>NOT(ISERROR(SEARCH("I",H189)))</formula>
    </cfRule>
    <cfRule type="containsText" dxfId="7" priority="2325" operator="between" text="A">
      <formula>NOT(ISERROR(SEARCH("A",H189)))</formula>
    </cfRule>
    <cfRule type="containsText" dxfId="8" priority="2326" operator="between" text="L">
      <formula>NOT(ISERROR(SEARCH("L",H189)))</formula>
    </cfRule>
    <cfRule type="containsText" dxfId="6" priority="2327" operator="between" text="A">
      <formula>NOT(ISERROR(SEARCH("A",H189)))</formula>
    </cfRule>
    <cfRule type="containsText" dxfId="7" priority="2328" operator="between" text="S">
      <formula>NOT(ISERROR(SEARCH("S",H189)))</formula>
    </cfRule>
    <cfRule type="containsText" dxfId="5" priority="2329" operator="between" text="OFF">
      <formula>NOT(ISERROR(SEARCH("OFF",H189)))</formula>
    </cfRule>
    <cfRule type="containsText" dxfId="7" priority="2330" operator="between" text="OFF">
      <formula>NOT(ISERROR(SEARCH("OFF",H189)))</formula>
    </cfRule>
  </conditionalFormatting>
  <conditionalFormatting sqref="O189">
    <cfRule type="containsText" dxfId="3" priority="2131" operator="between" text="OFF">
      <formula>NOT(ISERROR(SEARCH("OFF",O189)))</formula>
    </cfRule>
    <cfRule type="containsText" dxfId="4" priority="2132" operator="between" text="OFF">
      <formula>NOT(ISERROR(SEARCH("OFF",O189)))</formula>
    </cfRule>
    <cfRule type="containsText" dxfId="5" priority="2133" operator="between" text="S">
      <formula>NOT(ISERROR(SEARCH("S",O189)))</formula>
    </cfRule>
    <cfRule type="containsText" dxfId="6" priority="2134" operator="between" text="I">
      <formula>NOT(ISERROR(SEARCH("I",O189)))</formula>
    </cfRule>
    <cfRule type="containsText" dxfId="7" priority="2135" operator="between" text="A">
      <formula>NOT(ISERROR(SEARCH("A",O189)))</formula>
    </cfRule>
    <cfRule type="containsText" dxfId="8" priority="2136" operator="between" text="L">
      <formula>NOT(ISERROR(SEARCH("L",O189)))</formula>
    </cfRule>
    <cfRule type="containsText" dxfId="6" priority="2137" operator="between" text="A">
      <formula>NOT(ISERROR(SEARCH("A",O189)))</formula>
    </cfRule>
    <cfRule type="containsText" dxfId="7" priority="2138" operator="between" text="S">
      <formula>NOT(ISERROR(SEARCH("S",O189)))</formula>
    </cfRule>
    <cfRule type="containsText" dxfId="5" priority="2139" operator="between" text="OFF">
      <formula>NOT(ISERROR(SEARCH("OFF",O189)))</formula>
    </cfRule>
    <cfRule type="containsText" dxfId="7" priority="2140" operator="between" text="OFF">
      <formula>NOT(ISERROR(SEARCH("OFF",O189)))</formula>
    </cfRule>
  </conditionalFormatting>
  <conditionalFormatting sqref="Q189">
    <cfRule type="containsText" dxfId="3" priority="2401" operator="between" text="OFF">
      <formula>NOT(ISERROR(SEARCH("OFF",Q189)))</formula>
    </cfRule>
    <cfRule type="containsText" dxfId="4" priority="2402" operator="between" text="OFF">
      <formula>NOT(ISERROR(SEARCH("OFF",Q189)))</formula>
    </cfRule>
    <cfRule type="containsText" dxfId="5" priority="2403" operator="between" text="S">
      <formula>NOT(ISERROR(SEARCH("S",Q189)))</formula>
    </cfRule>
    <cfRule type="containsText" dxfId="6" priority="2404" operator="between" text="I">
      <formula>NOT(ISERROR(SEARCH("I",Q189)))</formula>
    </cfRule>
    <cfRule type="containsText" dxfId="7" priority="2405" operator="between" text="A">
      <formula>NOT(ISERROR(SEARCH("A",Q189)))</formula>
    </cfRule>
    <cfRule type="containsText" dxfId="8" priority="2406" operator="between" text="L">
      <formula>NOT(ISERROR(SEARCH("L",Q189)))</formula>
    </cfRule>
    <cfRule type="containsText" dxfId="6" priority="2407" operator="between" text="A">
      <formula>NOT(ISERROR(SEARCH("A",Q189)))</formula>
    </cfRule>
    <cfRule type="containsText" dxfId="7" priority="2408" operator="between" text="S">
      <formula>NOT(ISERROR(SEARCH("S",Q189)))</formula>
    </cfRule>
    <cfRule type="containsText" dxfId="5" priority="2409" operator="between" text="OFF">
      <formula>NOT(ISERROR(SEARCH("OFF",Q189)))</formula>
    </cfRule>
    <cfRule type="containsText" dxfId="7" priority="2410" operator="between" text="OFF">
      <formula>NOT(ISERROR(SEARCH("OFF",Q189)))</formula>
    </cfRule>
  </conditionalFormatting>
  <conditionalFormatting sqref="V189">
    <cfRule type="containsText" dxfId="3" priority="2411" operator="between" text="OFF">
      <formula>NOT(ISERROR(SEARCH("OFF",V189)))</formula>
    </cfRule>
    <cfRule type="containsText" dxfId="4" priority="2412" operator="between" text="OFF">
      <formula>NOT(ISERROR(SEARCH("OFF",V189)))</formula>
    </cfRule>
    <cfRule type="containsText" dxfId="5" priority="2413" operator="between" text="S">
      <formula>NOT(ISERROR(SEARCH("S",V189)))</formula>
    </cfRule>
    <cfRule type="containsText" dxfId="6" priority="2414" operator="between" text="I">
      <formula>NOT(ISERROR(SEARCH("I",V189)))</formula>
    </cfRule>
    <cfRule type="containsText" dxfId="7" priority="2415" operator="between" text="A">
      <formula>NOT(ISERROR(SEARCH("A",V189)))</formula>
    </cfRule>
    <cfRule type="containsText" dxfId="8" priority="2416" operator="between" text="L">
      <formula>NOT(ISERROR(SEARCH("L",V189)))</formula>
    </cfRule>
    <cfRule type="containsText" dxfId="6" priority="2417" operator="between" text="A">
      <formula>NOT(ISERROR(SEARCH("A",V189)))</formula>
    </cfRule>
    <cfRule type="containsText" dxfId="7" priority="2418" operator="between" text="S">
      <formula>NOT(ISERROR(SEARCH("S",V189)))</formula>
    </cfRule>
    <cfRule type="containsText" dxfId="5" priority="2419" operator="between" text="OFF">
      <formula>NOT(ISERROR(SEARCH("OFF",V189)))</formula>
    </cfRule>
    <cfRule type="containsText" dxfId="7" priority="2420" operator="between" text="OFF">
      <formula>NOT(ISERROR(SEARCH("OFF",V189)))</formula>
    </cfRule>
  </conditionalFormatting>
  <conditionalFormatting sqref="L190">
    <cfRule type="containsText" dxfId="3" priority="2241" operator="between" text="OFF">
      <formula>NOT(ISERROR(SEARCH("OFF",L190)))</formula>
    </cfRule>
    <cfRule type="containsText" dxfId="4" priority="2242" operator="between" text="OFF">
      <formula>NOT(ISERROR(SEARCH("OFF",L190)))</formula>
    </cfRule>
    <cfRule type="containsText" dxfId="5" priority="2243" operator="between" text="S">
      <formula>NOT(ISERROR(SEARCH("S",L190)))</formula>
    </cfRule>
    <cfRule type="containsText" dxfId="6" priority="2244" operator="between" text="I">
      <formula>NOT(ISERROR(SEARCH("I",L190)))</formula>
    </cfRule>
    <cfRule type="containsText" dxfId="7" priority="2245" operator="between" text="A">
      <formula>NOT(ISERROR(SEARCH("A",L190)))</formula>
    </cfRule>
    <cfRule type="containsText" dxfId="8" priority="2246" operator="between" text="L">
      <formula>NOT(ISERROR(SEARCH("L",L190)))</formula>
    </cfRule>
    <cfRule type="containsText" dxfId="6" priority="2247" operator="between" text="A">
      <formula>NOT(ISERROR(SEARCH("A",L190)))</formula>
    </cfRule>
    <cfRule type="containsText" dxfId="7" priority="2248" operator="between" text="S">
      <formula>NOT(ISERROR(SEARCH("S",L190)))</formula>
    </cfRule>
    <cfRule type="containsText" dxfId="5" priority="2249" operator="between" text="OFF">
      <formula>NOT(ISERROR(SEARCH("OFF",L190)))</formula>
    </cfRule>
    <cfRule type="containsText" dxfId="7" priority="2250" operator="between" text="OFF">
      <formula>NOT(ISERROR(SEARCH("OFF",L190)))</formula>
    </cfRule>
  </conditionalFormatting>
  <conditionalFormatting sqref="U190">
    <cfRule type="containsText" dxfId="3" priority="2421" operator="between" text="OFF">
      <formula>NOT(ISERROR(SEARCH("OFF",U190)))</formula>
    </cfRule>
    <cfRule type="containsText" dxfId="4" priority="2422" operator="between" text="OFF">
      <formula>NOT(ISERROR(SEARCH("OFF",U190)))</formula>
    </cfRule>
    <cfRule type="containsText" dxfId="5" priority="2423" operator="between" text="S">
      <formula>NOT(ISERROR(SEARCH("S",U190)))</formula>
    </cfRule>
    <cfRule type="containsText" dxfId="6" priority="2424" operator="between" text="I">
      <formula>NOT(ISERROR(SEARCH("I",U190)))</formula>
    </cfRule>
    <cfRule type="containsText" dxfId="7" priority="2425" operator="between" text="A">
      <formula>NOT(ISERROR(SEARCH("A",U190)))</formula>
    </cfRule>
    <cfRule type="containsText" dxfId="8" priority="2426" operator="between" text="L">
      <formula>NOT(ISERROR(SEARCH("L",U190)))</formula>
    </cfRule>
    <cfRule type="containsText" dxfId="6" priority="2427" operator="between" text="A">
      <formula>NOT(ISERROR(SEARCH("A",U190)))</formula>
    </cfRule>
    <cfRule type="containsText" dxfId="7" priority="2428" operator="between" text="S">
      <formula>NOT(ISERROR(SEARCH("S",U190)))</formula>
    </cfRule>
    <cfRule type="containsText" dxfId="5" priority="2429" operator="between" text="OFF">
      <formula>NOT(ISERROR(SEARCH("OFF",U190)))</formula>
    </cfRule>
    <cfRule type="containsText" dxfId="7" priority="2430" operator="between" text="OFF">
      <formula>NOT(ISERROR(SEARCH("OFF",U190)))</formula>
    </cfRule>
  </conditionalFormatting>
  <conditionalFormatting sqref="E191">
    <cfRule type="containsText" dxfId="3" priority="1601" operator="between" text="OFF">
      <formula>NOT(ISERROR(SEARCH("OFF",E191)))</formula>
    </cfRule>
    <cfRule type="containsText" dxfId="4" priority="1602" operator="between" text="OFF">
      <formula>NOT(ISERROR(SEARCH("OFF",E191)))</formula>
    </cfRule>
    <cfRule type="containsText" dxfId="5" priority="1603" operator="between" text="S">
      <formula>NOT(ISERROR(SEARCH("S",E191)))</formula>
    </cfRule>
    <cfRule type="containsText" dxfId="6" priority="1604" operator="between" text="I">
      <formula>NOT(ISERROR(SEARCH("I",E191)))</formula>
    </cfRule>
    <cfRule type="containsText" dxfId="7" priority="1605" operator="between" text="A">
      <formula>NOT(ISERROR(SEARCH("A",E191)))</formula>
    </cfRule>
    <cfRule type="containsText" dxfId="8" priority="1606" operator="between" text="L">
      <formula>NOT(ISERROR(SEARCH("L",E191)))</formula>
    </cfRule>
    <cfRule type="containsText" dxfId="6" priority="1607" operator="between" text="A">
      <formula>NOT(ISERROR(SEARCH("A",E191)))</formula>
    </cfRule>
    <cfRule type="containsText" dxfId="7" priority="1608" operator="between" text="S">
      <formula>NOT(ISERROR(SEARCH("S",E191)))</formula>
    </cfRule>
    <cfRule type="containsText" dxfId="5" priority="1609" operator="between" text="OFF">
      <formula>NOT(ISERROR(SEARCH("OFF",E191)))</formula>
    </cfRule>
    <cfRule type="containsText" dxfId="7" priority="1610" operator="between" text="OFF">
      <formula>NOT(ISERROR(SEARCH("OFF",E191)))</formula>
    </cfRule>
  </conditionalFormatting>
  <conditionalFormatting sqref="N191">
    <cfRule type="containsText" dxfId="3" priority="561" operator="between" text="OFF">
      <formula>NOT(ISERROR(SEARCH("OFF",N191)))</formula>
    </cfRule>
    <cfRule type="containsText" dxfId="4" priority="562" operator="between" text="OFF">
      <formula>NOT(ISERROR(SEARCH("OFF",N191)))</formula>
    </cfRule>
    <cfRule type="containsText" dxfId="5" priority="563" operator="between" text="S">
      <formula>NOT(ISERROR(SEARCH("S",N191)))</formula>
    </cfRule>
    <cfRule type="containsText" dxfId="6" priority="564" operator="between" text="I">
      <formula>NOT(ISERROR(SEARCH("I",N191)))</formula>
    </cfRule>
    <cfRule type="containsText" dxfId="7" priority="565" operator="between" text="A">
      <formula>NOT(ISERROR(SEARCH("A",N191)))</formula>
    </cfRule>
    <cfRule type="containsText" dxfId="8" priority="566" operator="between" text="L">
      <formula>NOT(ISERROR(SEARCH("L",N191)))</formula>
    </cfRule>
    <cfRule type="containsText" dxfId="6" priority="567" operator="between" text="A">
      <formula>NOT(ISERROR(SEARCH("A",N191)))</formula>
    </cfRule>
    <cfRule type="containsText" dxfId="7" priority="568" operator="between" text="S">
      <formula>NOT(ISERROR(SEARCH("S",N191)))</formula>
    </cfRule>
    <cfRule type="containsText" dxfId="5" priority="569" operator="between" text="OFF">
      <formula>NOT(ISERROR(SEARCH("OFF",N191)))</formula>
    </cfRule>
    <cfRule type="containsText" dxfId="7" priority="570" operator="between" text="OFF">
      <formula>NOT(ISERROR(SEARCH("OFF",N191)))</formula>
    </cfRule>
  </conditionalFormatting>
  <conditionalFormatting sqref="P191">
    <cfRule type="containsText" dxfId="3" priority="1301" operator="between" text="OFF">
      <formula>NOT(ISERROR(SEARCH("OFF",P191)))</formula>
    </cfRule>
    <cfRule type="containsText" dxfId="4" priority="1302" operator="between" text="OFF">
      <formula>NOT(ISERROR(SEARCH("OFF",P191)))</formula>
    </cfRule>
    <cfRule type="containsText" dxfId="5" priority="1303" operator="between" text="S">
      <formula>NOT(ISERROR(SEARCH("S",P191)))</formula>
    </cfRule>
    <cfRule type="containsText" dxfId="6" priority="1304" operator="between" text="I">
      <formula>NOT(ISERROR(SEARCH("I",P191)))</formula>
    </cfRule>
    <cfRule type="containsText" dxfId="7" priority="1305" operator="between" text="A">
      <formula>NOT(ISERROR(SEARCH("A",P191)))</formula>
    </cfRule>
    <cfRule type="containsText" dxfId="8" priority="1306" operator="between" text="L">
      <formula>NOT(ISERROR(SEARCH("L",P191)))</formula>
    </cfRule>
    <cfRule type="containsText" dxfId="6" priority="1307" operator="between" text="A">
      <formula>NOT(ISERROR(SEARCH("A",P191)))</formula>
    </cfRule>
    <cfRule type="containsText" dxfId="7" priority="1308" operator="between" text="S">
      <formula>NOT(ISERROR(SEARCH("S",P191)))</formula>
    </cfRule>
    <cfRule type="containsText" dxfId="5" priority="1309" operator="between" text="OFF">
      <formula>NOT(ISERROR(SEARCH("OFF",P191)))</formula>
    </cfRule>
    <cfRule type="containsText" dxfId="7" priority="1310" operator="between" text="OFF">
      <formula>NOT(ISERROR(SEARCH("OFF",P191)))</formula>
    </cfRule>
  </conditionalFormatting>
  <conditionalFormatting sqref="R191">
    <cfRule type="containsText" dxfId="3" priority="2431" operator="between" text="OFF">
      <formula>NOT(ISERROR(SEARCH("OFF",R191)))</formula>
    </cfRule>
    <cfRule type="containsText" dxfId="4" priority="2432" operator="between" text="OFF">
      <formula>NOT(ISERROR(SEARCH("OFF",R191)))</formula>
    </cfRule>
    <cfRule type="containsText" dxfId="5" priority="2433" operator="between" text="S">
      <formula>NOT(ISERROR(SEARCH("S",R191)))</formula>
    </cfRule>
    <cfRule type="containsText" dxfId="6" priority="2434" operator="between" text="I">
      <formula>NOT(ISERROR(SEARCH("I",R191)))</formula>
    </cfRule>
    <cfRule type="containsText" dxfId="7" priority="2435" operator="between" text="A">
      <formula>NOT(ISERROR(SEARCH("A",R191)))</formula>
    </cfRule>
    <cfRule type="containsText" dxfId="8" priority="2436" operator="between" text="L">
      <formula>NOT(ISERROR(SEARCH("L",R191)))</formula>
    </cfRule>
    <cfRule type="containsText" dxfId="6" priority="2437" operator="between" text="A">
      <formula>NOT(ISERROR(SEARCH("A",R191)))</formula>
    </cfRule>
    <cfRule type="containsText" dxfId="7" priority="2438" operator="between" text="S">
      <formula>NOT(ISERROR(SEARCH("S",R191)))</formula>
    </cfRule>
    <cfRule type="containsText" dxfId="5" priority="2439" operator="between" text="OFF">
      <formula>NOT(ISERROR(SEARCH("OFF",R191)))</formula>
    </cfRule>
    <cfRule type="containsText" dxfId="7" priority="2440" operator="between" text="OFF">
      <formula>NOT(ISERROR(SEARCH("OFF",R191)))</formula>
    </cfRule>
  </conditionalFormatting>
  <conditionalFormatting sqref="X191">
    <cfRule type="containsText" dxfId="3" priority="1861" operator="between" text="OFF">
      <formula>NOT(ISERROR(SEARCH("OFF",X191)))</formula>
    </cfRule>
    <cfRule type="containsText" dxfId="4" priority="1862" operator="between" text="OFF">
      <formula>NOT(ISERROR(SEARCH("OFF",X191)))</formula>
    </cfRule>
    <cfRule type="containsText" dxfId="5" priority="1863" operator="between" text="S">
      <formula>NOT(ISERROR(SEARCH("S",X191)))</formula>
    </cfRule>
    <cfRule type="containsText" dxfId="6" priority="1864" operator="between" text="I">
      <formula>NOT(ISERROR(SEARCH("I",X191)))</formula>
    </cfRule>
    <cfRule type="containsText" dxfId="7" priority="1865" operator="between" text="A">
      <formula>NOT(ISERROR(SEARCH("A",X191)))</formula>
    </cfRule>
    <cfRule type="containsText" dxfId="8" priority="1866" operator="between" text="L">
      <formula>NOT(ISERROR(SEARCH("L",X191)))</formula>
    </cfRule>
    <cfRule type="containsText" dxfId="6" priority="1867" operator="between" text="A">
      <formula>NOT(ISERROR(SEARCH("A",X191)))</formula>
    </cfRule>
    <cfRule type="containsText" dxfId="7" priority="1868" operator="between" text="S">
      <formula>NOT(ISERROR(SEARCH("S",X191)))</formula>
    </cfRule>
    <cfRule type="containsText" dxfId="5" priority="1869" operator="between" text="OFF">
      <formula>NOT(ISERROR(SEARCH("OFF",X191)))</formula>
    </cfRule>
    <cfRule type="containsText" dxfId="7" priority="1870" operator="between" text="OFF">
      <formula>NOT(ISERROR(SEARCH("OFF",X191)))</formula>
    </cfRule>
  </conditionalFormatting>
  <conditionalFormatting sqref="AC191">
    <cfRule type="containsText" dxfId="3" priority="1781" operator="between" text="OFF">
      <formula>NOT(ISERROR(SEARCH("OFF",AC191)))</formula>
    </cfRule>
    <cfRule type="containsText" dxfId="4" priority="1782" operator="between" text="OFF">
      <formula>NOT(ISERROR(SEARCH("OFF",AC191)))</formula>
    </cfRule>
    <cfRule type="containsText" dxfId="5" priority="1783" operator="between" text="S">
      <formula>NOT(ISERROR(SEARCH("S",AC191)))</formula>
    </cfRule>
    <cfRule type="containsText" dxfId="6" priority="1784" operator="between" text="I">
      <formula>NOT(ISERROR(SEARCH("I",AC191)))</formula>
    </cfRule>
    <cfRule type="containsText" dxfId="7" priority="1785" operator="between" text="A">
      <formula>NOT(ISERROR(SEARCH("A",AC191)))</formula>
    </cfRule>
    <cfRule type="containsText" dxfId="8" priority="1786" operator="between" text="L">
      <formula>NOT(ISERROR(SEARCH("L",AC191)))</formula>
    </cfRule>
    <cfRule type="containsText" dxfId="6" priority="1787" operator="between" text="A">
      <formula>NOT(ISERROR(SEARCH("A",AC191)))</formula>
    </cfRule>
    <cfRule type="containsText" dxfId="7" priority="1788" operator="between" text="S">
      <formula>NOT(ISERROR(SEARCH("S",AC191)))</formula>
    </cfRule>
    <cfRule type="containsText" dxfId="5" priority="1789" operator="between" text="OFF">
      <formula>NOT(ISERROR(SEARCH("OFF",AC191)))</formula>
    </cfRule>
    <cfRule type="containsText" dxfId="7" priority="1790" operator="between" text="OFF">
      <formula>NOT(ISERROR(SEARCH("OFF",AC191)))</formula>
    </cfRule>
  </conditionalFormatting>
  <conditionalFormatting sqref="AH191:AK191">
    <cfRule type="containsText" dxfId="3" priority="161" operator="between" text="OFF">
      <formula>NOT(ISERROR(SEARCH("OFF",AH191)))</formula>
    </cfRule>
    <cfRule type="containsText" dxfId="4" priority="162" operator="between" text="OFF">
      <formula>NOT(ISERROR(SEARCH("OFF",AH191)))</formula>
    </cfRule>
    <cfRule type="containsText" dxfId="5" priority="163" operator="between" text="S">
      <formula>NOT(ISERROR(SEARCH("S",AH191)))</formula>
    </cfRule>
    <cfRule type="containsText" dxfId="6" priority="164" operator="between" text="I">
      <formula>NOT(ISERROR(SEARCH("I",AH191)))</formula>
    </cfRule>
    <cfRule type="containsText" dxfId="7" priority="165" operator="between" text="A">
      <formula>NOT(ISERROR(SEARCH("A",AH191)))</formula>
    </cfRule>
    <cfRule type="containsText" dxfId="8" priority="166" operator="between" text="L">
      <formula>NOT(ISERROR(SEARCH("L",AH191)))</formula>
    </cfRule>
    <cfRule type="containsText" dxfId="6" priority="167" operator="between" text="A">
      <formula>NOT(ISERROR(SEARCH("A",AH191)))</formula>
    </cfRule>
    <cfRule type="containsText" dxfId="7" priority="168" operator="between" text="S">
      <formula>NOT(ISERROR(SEARCH("S",AH191)))</formula>
    </cfRule>
    <cfRule type="containsText" dxfId="5" priority="169" operator="between" text="OFF">
      <formula>NOT(ISERROR(SEARCH("OFF",AH191)))</formula>
    </cfRule>
    <cfRule type="containsText" dxfId="7" priority="170" operator="between" text="OFF">
      <formula>NOT(ISERROR(SEARCH("OFF",AH191)))</formula>
    </cfRule>
  </conditionalFormatting>
  <conditionalFormatting sqref="J192">
    <cfRule type="containsText" dxfId="3" priority="371" operator="between" text="OFF">
      <formula>NOT(ISERROR(SEARCH("OFF",J192)))</formula>
    </cfRule>
    <cfRule type="containsText" dxfId="4" priority="372" operator="between" text="OFF">
      <formula>NOT(ISERROR(SEARCH("OFF",J192)))</formula>
    </cfRule>
    <cfRule type="containsText" dxfId="5" priority="373" operator="between" text="S">
      <formula>NOT(ISERROR(SEARCH("S",J192)))</formula>
    </cfRule>
    <cfRule type="containsText" dxfId="6" priority="374" operator="between" text="I">
      <formula>NOT(ISERROR(SEARCH("I",J192)))</formula>
    </cfRule>
    <cfRule type="containsText" dxfId="7" priority="375" operator="between" text="A">
      <formula>NOT(ISERROR(SEARCH("A",J192)))</formula>
    </cfRule>
    <cfRule type="containsText" dxfId="8" priority="376" operator="between" text="L">
      <formula>NOT(ISERROR(SEARCH("L",J192)))</formula>
    </cfRule>
    <cfRule type="containsText" dxfId="6" priority="377" operator="between" text="A">
      <formula>NOT(ISERROR(SEARCH("A",J192)))</formula>
    </cfRule>
    <cfRule type="containsText" dxfId="7" priority="378" operator="between" text="S">
      <formula>NOT(ISERROR(SEARCH("S",J192)))</formula>
    </cfRule>
    <cfRule type="containsText" dxfId="5" priority="379" operator="between" text="OFF">
      <formula>NOT(ISERROR(SEARCH("OFF",J192)))</formula>
    </cfRule>
    <cfRule type="containsText" dxfId="7" priority="380" operator="between" text="OFF">
      <formula>NOT(ISERROR(SEARCH("OFF",J192)))</formula>
    </cfRule>
  </conditionalFormatting>
  <conditionalFormatting sqref="M192">
    <cfRule type="containsText" dxfId="3" priority="2201" operator="between" text="OFF">
      <formula>NOT(ISERROR(SEARCH("OFF",M192)))</formula>
    </cfRule>
    <cfRule type="containsText" dxfId="4" priority="2202" operator="between" text="OFF">
      <formula>NOT(ISERROR(SEARCH("OFF",M192)))</formula>
    </cfRule>
    <cfRule type="containsText" dxfId="5" priority="2203" operator="between" text="S">
      <formula>NOT(ISERROR(SEARCH("S",M192)))</formula>
    </cfRule>
    <cfRule type="containsText" dxfId="6" priority="2204" operator="between" text="I">
      <formula>NOT(ISERROR(SEARCH("I",M192)))</formula>
    </cfRule>
    <cfRule type="containsText" dxfId="7" priority="2205" operator="between" text="A">
      <formula>NOT(ISERROR(SEARCH("A",M192)))</formula>
    </cfRule>
    <cfRule type="containsText" dxfId="8" priority="2206" operator="between" text="L">
      <formula>NOT(ISERROR(SEARCH("L",M192)))</formula>
    </cfRule>
    <cfRule type="containsText" dxfId="6" priority="2207" operator="between" text="A">
      <formula>NOT(ISERROR(SEARCH("A",M192)))</formula>
    </cfRule>
    <cfRule type="containsText" dxfId="7" priority="2208" operator="between" text="S">
      <formula>NOT(ISERROR(SEARCH("S",M192)))</formula>
    </cfRule>
    <cfRule type="containsText" dxfId="5" priority="2209" operator="between" text="OFF">
      <formula>NOT(ISERROR(SEARCH("OFF",M192)))</formula>
    </cfRule>
    <cfRule type="containsText" dxfId="7" priority="2210" operator="between" text="OFF">
      <formula>NOT(ISERROR(SEARCH("OFF",M192)))</formula>
    </cfRule>
  </conditionalFormatting>
  <conditionalFormatting sqref="V192">
    <cfRule type="containsText" dxfId="3" priority="1951" operator="between" text="OFF">
      <formula>NOT(ISERROR(SEARCH("OFF",V192)))</formula>
    </cfRule>
    <cfRule type="containsText" dxfId="4" priority="1952" operator="between" text="OFF">
      <formula>NOT(ISERROR(SEARCH("OFF",V192)))</formula>
    </cfRule>
    <cfRule type="containsText" dxfId="5" priority="1953" operator="between" text="S">
      <formula>NOT(ISERROR(SEARCH("S",V192)))</formula>
    </cfRule>
    <cfRule type="containsText" dxfId="6" priority="1954" operator="between" text="I">
      <formula>NOT(ISERROR(SEARCH("I",V192)))</formula>
    </cfRule>
    <cfRule type="containsText" dxfId="7" priority="1955" operator="between" text="A">
      <formula>NOT(ISERROR(SEARCH("A",V192)))</formula>
    </cfRule>
    <cfRule type="containsText" dxfId="8" priority="1956" operator="between" text="L">
      <formula>NOT(ISERROR(SEARCH("L",V192)))</formula>
    </cfRule>
    <cfRule type="containsText" dxfId="6" priority="1957" operator="between" text="A">
      <formula>NOT(ISERROR(SEARCH("A",V192)))</formula>
    </cfRule>
    <cfRule type="containsText" dxfId="7" priority="1958" operator="between" text="S">
      <formula>NOT(ISERROR(SEARCH("S",V192)))</formula>
    </cfRule>
    <cfRule type="containsText" dxfId="5" priority="1959" operator="between" text="OFF">
      <formula>NOT(ISERROR(SEARCH("OFF",V192)))</formula>
    </cfRule>
    <cfRule type="containsText" dxfId="7" priority="1960" operator="between" text="OFF">
      <formula>NOT(ISERROR(SEARCH("OFF",V192)))</formula>
    </cfRule>
  </conditionalFormatting>
  <conditionalFormatting sqref="AD192">
    <cfRule type="containsText" dxfId="3" priority="231" operator="between" text="OFF">
      <formula>NOT(ISERROR(SEARCH("OFF",AD192)))</formula>
    </cfRule>
    <cfRule type="containsText" dxfId="4" priority="232" operator="between" text="OFF">
      <formula>NOT(ISERROR(SEARCH("OFF",AD192)))</formula>
    </cfRule>
    <cfRule type="containsText" dxfId="5" priority="233" operator="between" text="S">
      <formula>NOT(ISERROR(SEARCH("S",AD192)))</formula>
    </cfRule>
    <cfRule type="containsText" dxfId="6" priority="234" operator="between" text="I">
      <formula>NOT(ISERROR(SEARCH("I",AD192)))</formula>
    </cfRule>
    <cfRule type="containsText" dxfId="7" priority="235" operator="between" text="A">
      <formula>NOT(ISERROR(SEARCH("A",AD192)))</formula>
    </cfRule>
    <cfRule type="containsText" dxfId="8" priority="236" operator="between" text="L">
      <formula>NOT(ISERROR(SEARCH("L",AD192)))</formula>
    </cfRule>
    <cfRule type="containsText" dxfId="6" priority="237" operator="between" text="A">
      <formula>NOT(ISERROR(SEARCH("A",AD192)))</formula>
    </cfRule>
    <cfRule type="containsText" dxfId="7" priority="238" operator="between" text="S">
      <formula>NOT(ISERROR(SEARCH("S",AD192)))</formula>
    </cfRule>
    <cfRule type="containsText" dxfId="5" priority="239" operator="between" text="OFF">
      <formula>NOT(ISERROR(SEARCH("OFF",AD192)))</formula>
    </cfRule>
    <cfRule type="containsText" dxfId="7" priority="240" operator="between" text="OFF">
      <formula>NOT(ISERROR(SEARCH("OFF",AD192)))</formula>
    </cfRule>
  </conditionalFormatting>
  <conditionalFormatting sqref="R193:S193">
    <cfRule type="containsText" dxfId="3" priority="2011" operator="between" text="OFF">
      <formula>NOT(ISERROR(SEARCH("OFF",R193)))</formula>
    </cfRule>
    <cfRule type="containsText" dxfId="4" priority="2012" operator="between" text="OFF">
      <formula>NOT(ISERROR(SEARCH("OFF",R193)))</formula>
    </cfRule>
    <cfRule type="containsText" dxfId="5" priority="2013" operator="between" text="S">
      <formula>NOT(ISERROR(SEARCH("S",R193)))</formula>
    </cfRule>
    <cfRule type="containsText" dxfId="6" priority="2014" operator="between" text="I">
      <formula>NOT(ISERROR(SEARCH("I",R193)))</formula>
    </cfRule>
    <cfRule type="containsText" dxfId="7" priority="2015" operator="between" text="A">
      <formula>NOT(ISERROR(SEARCH("A",R193)))</formula>
    </cfRule>
    <cfRule type="containsText" dxfId="8" priority="2016" operator="between" text="L">
      <formula>NOT(ISERROR(SEARCH("L",R193)))</formula>
    </cfRule>
    <cfRule type="containsText" dxfId="6" priority="2017" operator="between" text="A">
      <formula>NOT(ISERROR(SEARCH("A",R193)))</formula>
    </cfRule>
    <cfRule type="containsText" dxfId="7" priority="2018" operator="between" text="S">
      <formula>NOT(ISERROR(SEARCH("S",R193)))</formula>
    </cfRule>
    <cfRule type="containsText" dxfId="5" priority="2019" operator="between" text="OFF">
      <formula>NOT(ISERROR(SEARCH("OFF",R193)))</formula>
    </cfRule>
    <cfRule type="containsText" dxfId="7" priority="2020" operator="between" text="OFF">
      <formula>NOT(ISERROR(SEARCH("OFF",R193)))</formula>
    </cfRule>
  </conditionalFormatting>
  <conditionalFormatting sqref="U193">
    <cfRule type="containsText" dxfId="3" priority="1981" operator="between" text="OFF">
      <formula>NOT(ISERROR(SEARCH("OFF",U193)))</formula>
    </cfRule>
    <cfRule type="containsText" dxfId="4" priority="1982" operator="between" text="OFF">
      <formula>NOT(ISERROR(SEARCH("OFF",U193)))</formula>
    </cfRule>
    <cfRule type="containsText" dxfId="5" priority="1983" operator="between" text="S">
      <formula>NOT(ISERROR(SEARCH("S",U193)))</formula>
    </cfRule>
    <cfRule type="containsText" dxfId="6" priority="1984" operator="between" text="I">
      <formula>NOT(ISERROR(SEARCH("I",U193)))</formula>
    </cfRule>
    <cfRule type="containsText" dxfId="7" priority="1985" operator="between" text="A">
      <formula>NOT(ISERROR(SEARCH("A",U193)))</formula>
    </cfRule>
    <cfRule type="containsText" dxfId="8" priority="1986" operator="between" text="L">
      <formula>NOT(ISERROR(SEARCH("L",U193)))</formula>
    </cfRule>
    <cfRule type="containsText" dxfId="6" priority="1987" operator="between" text="A">
      <formula>NOT(ISERROR(SEARCH("A",U193)))</formula>
    </cfRule>
    <cfRule type="containsText" dxfId="7" priority="1988" operator="between" text="S">
      <formula>NOT(ISERROR(SEARCH("S",U193)))</formula>
    </cfRule>
    <cfRule type="containsText" dxfId="5" priority="1989" operator="between" text="OFF">
      <formula>NOT(ISERROR(SEARCH("OFF",U193)))</formula>
    </cfRule>
    <cfRule type="containsText" dxfId="7" priority="1990" operator="between" text="OFF">
      <formula>NOT(ISERROR(SEARCH("OFF",U193)))</formula>
    </cfRule>
  </conditionalFormatting>
  <conditionalFormatting sqref="AB193">
    <cfRule type="containsText" dxfId="3" priority="1761" operator="between" text="OFF">
      <formula>NOT(ISERROR(SEARCH("OFF",AB193)))</formula>
    </cfRule>
    <cfRule type="containsText" dxfId="4" priority="1762" operator="between" text="OFF">
      <formula>NOT(ISERROR(SEARCH("OFF",AB193)))</formula>
    </cfRule>
    <cfRule type="containsText" dxfId="5" priority="1763" operator="between" text="S">
      <formula>NOT(ISERROR(SEARCH("S",AB193)))</formula>
    </cfRule>
    <cfRule type="containsText" dxfId="6" priority="1764" operator="between" text="I">
      <formula>NOT(ISERROR(SEARCH("I",AB193)))</formula>
    </cfRule>
    <cfRule type="containsText" dxfId="7" priority="1765" operator="between" text="A">
      <formula>NOT(ISERROR(SEARCH("A",AB193)))</formula>
    </cfRule>
    <cfRule type="containsText" dxfId="8" priority="1766" operator="between" text="L">
      <formula>NOT(ISERROR(SEARCH("L",AB193)))</formula>
    </cfRule>
    <cfRule type="containsText" dxfId="6" priority="1767" operator="between" text="A">
      <formula>NOT(ISERROR(SEARCH("A",AB193)))</formula>
    </cfRule>
    <cfRule type="containsText" dxfId="7" priority="1768" operator="between" text="S">
      <formula>NOT(ISERROR(SEARCH("S",AB193)))</formula>
    </cfRule>
    <cfRule type="containsText" dxfId="5" priority="1769" operator="between" text="OFF">
      <formula>NOT(ISERROR(SEARCH("OFF",AB193)))</formula>
    </cfRule>
    <cfRule type="containsText" dxfId="7" priority="1770" operator="between" text="OFF">
      <formula>NOT(ISERROR(SEARCH("OFF",AB193)))</formula>
    </cfRule>
  </conditionalFormatting>
  <conditionalFormatting sqref="L194">
    <cfRule type="containsText" dxfId="3" priority="1221" operator="between" text="OFF">
      <formula>NOT(ISERROR(SEARCH("OFF",L194)))</formula>
    </cfRule>
    <cfRule type="containsText" dxfId="4" priority="1222" operator="between" text="OFF">
      <formula>NOT(ISERROR(SEARCH("OFF",L194)))</formula>
    </cfRule>
    <cfRule type="containsText" dxfId="5" priority="1223" operator="between" text="S">
      <formula>NOT(ISERROR(SEARCH("S",L194)))</formula>
    </cfRule>
    <cfRule type="containsText" dxfId="6" priority="1224" operator="between" text="I">
      <formula>NOT(ISERROR(SEARCH("I",L194)))</formula>
    </cfRule>
    <cfRule type="containsText" dxfId="7" priority="1225" operator="between" text="A">
      <formula>NOT(ISERROR(SEARCH("A",L194)))</formula>
    </cfRule>
    <cfRule type="containsText" dxfId="8" priority="1226" operator="between" text="L">
      <formula>NOT(ISERROR(SEARCH("L",L194)))</formula>
    </cfRule>
    <cfRule type="containsText" dxfId="6" priority="1227" operator="between" text="A">
      <formula>NOT(ISERROR(SEARCH("A",L194)))</formula>
    </cfRule>
    <cfRule type="containsText" dxfId="7" priority="1228" operator="between" text="S">
      <formula>NOT(ISERROR(SEARCH("S",L194)))</formula>
    </cfRule>
    <cfRule type="containsText" dxfId="5" priority="1229" operator="between" text="OFF">
      <formula>NOT(ISERROR(SEARCH("OFF",L194)))</formula>
    </cfRule>
    <cfRule type="containsText" dxfId="7" priority="1230" operator="between" text="OFF">
      <formula>NOT(ISERROR(SEARCH("OFF",L194)))</formula>
    </cfRule>
  </conditionalFormatting>
  <conditionalFormatting sqref="N194">
    <cfRule type="containsText" dxfId="3" priority="581" operator="between" text="OFF">
      <formula>NOT(ISERROR(SEARCH("OFF",N194)))</formula>
    </cfRule>
    <cfRule type="containsText" dxfId="4" priority="582" operator="between" text="OFF">
      <formula>NOT(ISERROR(SEARCH("OFF",N194)))</formula>
    </cfRule>
    <cfRule type="containsText" dxfId="5" priority="583" operator="between" text="S">
      <formula>NOT(ISERROR(SEARCH("S",N194)))</formula>
    </cfRule>
    <cfRule type="containsText" dxfId="6" priority="584" operator="between" text="I">
      <formula>NOT(ISERROR(SEARCH("I",N194)))</formula>
    </cfRule>
    <cfRule type="containsText" dxfId="7" priority="585" operator="between" text="A">
      <formula>NOT(ISERROR(SEARCH("A",N194)))</formula>
    </cfRule>
    <cfRule type="containsText" dxfId="8" priority="586" operator="between" text="L">
      <formula>NOT(ISERROR(SEARCH("L",N194)))</formula>
    </cfRule>
    <cfRule type="containsText" dxfId="6" priority="587" operator="between" text="A">
      <formula>NOT(ISERROR(SEARCH("A",N194)))</formula>
    </cfRule>
    <cfRule type="containsText" dxfId="7" priority="588" operator="between" text="S">
      <formula>NOT(ISERROR(SEARCH("S",N194)))</formula>
    </cfRule>
    <cfRule type="containsText" dxfId="5" priority="589" operator="between" text="OFF">
      <formula>NOT(ISERROR(SEARCH("OFF",N194)))</formula>
    </cfRule>
    <cfRule type="containsText" dxfId="7" priority="590" operator="between" text="OFF">
      <formula>NOT(ISERROR(SEARCH("OFF",N194)))</formula>
    </cfRule>
  </conditionalFormatting>
  <conditionalFormatting sqref="S194:U194">
    <cfRule type="containsText" dxfId="3" priority="481" operator="between" text="OFF">
      <formula>NOT(ISERROR(SEARCH("OFF",S194)))</formula>
    </cfRule>
    <cfRule type="containsText" dxfId="4" priority="482" operator="between" text="OFF">
      <formula>NOT(ISERROR(SEARCH("OFF",S194)))</formula>
    </cfRule>
    <cfRule type="containsText" dxfId="5" priority="483" operator="between" text="S">
      <formula>NOT(ISERROR(SEARCH("S",S194)))</formula>
    </cfRule>
    <cfRule type="containsText" dxfId="6" priority="484" operator="between" text="I">
      <formula>NOT(ISERROR(SEARCH("I",S194)))</formula>
    </cfRule>
    <cfRule type="containsText" dxfId="7" priority="485" operator="between" text="A">
      <formula>NOT(ISERROR(SEARCH("A",S194)))</formula>
    </cfRule>
    <cfRule type="containsText" dxfId="8" priority="486" operator="between" text="L">
      <formula>NOT(ISERROR(SEARCH("L",S194)))</formula>
    </cfRule>
    <cfRule type="containsText" dxfId="6" priority="487" operator="between" text="A">
      <formula>NOT(ISERROR(SEARCH("A",S194)))</formula>
    </cfRule>
    <cfRule type="containsText" dxfId="7" priority="488" operator="between" text="S">
      <formula>NOT(ISERROR(SEARCH("S",S194)))</formula>
    </cfRule>
    <cfRule type="containsText" dxfId="5" priority="489" operator="between" text="OFF">
      <formula>NOT(ISERROR(SEARCH("OFF",S194)))</formula>
    </cfRule>
    <cfRule type="containsText" dxfId="7" priority="490" operator="between" text="OFF">
      <formula>NOT(ISERROR(SEARCH("OFF",S194)))</formula>
    </cfRule>
  </conditionalFormatting>
  <conditionalFormatting sqref="X194">
    <cfRule type="containsText" dxfId="3" priority="1171" operator="between" text="OFF">
      <formula>NOT(ISERROR(SEARCH("OFF",X194)))</formula>
    </cfRule>
    <cfRule type="containsText" dxfId="4" priority="1172" operator="between" text="OFF">
      <formula>NOT(ISERROR(SEARCH("OFF",X194)))</formula>
    </cfRule>
    <cfRule type="containsText" dxfId="5" priority="1173" operator="between" text="S">
      <formula>NOT(ISERROR(SEARCH("S",X194)))</formula>
    </cfRule>
    <cfRule type="containsText" dxfId="6" priority="1174" operator="between" text="I">
      <formula>NOT(ISERROR(SEARCH("I",X194)))</formula>
    </cfRule>
    <cfRule type="containsText" dxfId="7" priority="1175" operator="between" text="A">
      <formula>NOT(ISERROR(SEARCH("A",X194)))</formula>
    </cfRule>
    <cfRule type="containsText" dxfId="8" priority="1176" operator="between" text="L">
      <formula>NOT(ISERROR(SEARCH("L",X194)))</formula>
    </cfRule>
    <cfRule type="containsText" dxfId="6" priority="1177" operator="between" text="A">
      <formula>NOT(ISERROR(SEARCH("A",X194)))</formula>
    </cfRule>
    <cfRule type="containsText" dxfId="7" priority="1178" operator="between" text="S">
      <formula>NOT(ISERROR(SEARCH("S",X194)))</formula>
    </cfRule>
    <cfRule type="containsText" dxfId="5" priority="1179" operator="between" text="OFF">
      <formula>NOT(ISERROR(SEARCH("OFF",X194)))</formula>
    </cfRule>
    <cfRule type="containsText" dxfId="7" priority="1180" operator="between" text="OFF">
      <formula>NOT(ISERROR(SEARCH("OFF",X194)))</formula>
    </cfRule>
  </conditionalFormatting>
  <conditionalFormatting sqref="Z194">
    <cfRule type="containsText" dxfId="3" priority="361" operator="between" text="OFF">
      <formula>NOT(ISERROR(SEARCH("OFF",Z194)))</formula>
    </cfRule>
    <cfRule type="containsText" dxfId="4" priority="362" operator="between" text="OFF">
      <formula>NOT(ISERROR(SEARCH("OFF",Z194)))</formula>
    </cfRule>
    <cfRule type="containsText" dxfId="5" priority="363" operator="between" text="S">
      <formula>NOT(ISERROR(SEARCH("S",Z194)))</formula>
    </cfRule>
    <cfRule type="containsText" dxfId="6" priority="364" operator="between" text="I">
      <formula>NOT(ISERROR(SEARCH("I",Z194)))</formula>
    </cfRule>
    <cfRule type="containsText" dxfId="7" priority="365" operator="between" text="A">
      <formula>NOT(ISERROR(SEARCH("A",Z194)))</formula>
    </cfRule>
    <cfRule type="containsText" dxfId="8" priority="366" operator="between" text="L">
      <formula>NOT(ISERROR(SEARCH("L",Z194)))</formula>
    </cfRule>
    <cfRule type="containsText" dxfId="6" priority="367" operator="between" text="A">
      <formula>NOT(ISERROR(SEARCH("A",Z194)))</formula>
    </cfRule>
    <cfRule type="containsText" dxfId="7" priority="368" operator="between" text="S">
      <formula>NOT(ISERROR(SEARCH("S",Z194)))</formula>
    </cfRule>
    <cfRule type="containsText" dxfId="5" priority="369" operator="between" text="OFF">
      <formula>NOT(ISERROR(SEARCH("OFF",Z194)))</formula>
    </cfRule>
    <cfRule type="containsText" dxfId="7" priority="370" operator="between" text="OFF">
      <formula>NOT(ISERROR(SEARCH("OFF",Z194)))</formula>
    </cfRule>
  </conditionalFormatting>
  <conditionalFormatting sqref="AC194">
    <cfRule type="containsText" dxfId="3" priority="1021" operator="between" text="OFF">
      <formula>NOT(ISERROR(SEARCH("OFF",AC194)))</formula>
    </cfRule>
    <cfRule type="containsText" dxfId="4" priority="1022" operator="between" text="OFF">
      <formula>NOT(ISERROR(SEARCH("OFF",AC194)))</formula>
    </cfRule>
    <cfRule type="containsText" dxfId="5" priority="1023" operator="between" text="S">
      <formula>NOT(ISERROR(SEARCH("S",AC194)))</formula>
    </cfRule>
    <cfRule type="containsText" dxfId="6" priority="1024" operator="between" text="I">
      <formula>NOT(ISERROR(SEARCH("I",AC194)))</formula>
    </cfRule>
    <cfRule type="containsText" dxfId="7" priority="1025" operator="between" text="A">
      <formula>NOT(ISERROR(SEARCH("A",AC194)))</formula>
    </cfRule>
    <cfRule type="containsText" dxfId="8" priority="1026" operator="between" text="L">
      <formula>NOT(ISERROR(SEARCH("L",AC194)))</formula>
    </cfRule>
    <cfRule type="containsText" dxfId="6" priority="1027" operator="between" text="A">
      <formula>NOT(ISERROR(SEARCH("A",AC194)))</formula>
    </cfRule>
    <cfRule type="containsText" dxfId="7" priority="1028" operator="between" text="S">
      <formula>NOT(ISERROR(SEARCH("S",AC194)))</formula>
    </cfRule>
    <cfRule type="containsText" dxfId="5" priority="1029" operator="between" text="OFF">
      <formula>NOT(ISERROR(SEARCH("OFF",AC194)))</formula>
    </cfRule>
    <cfRule type="containsText" dxfId="7" priority="1030" operator="between" text="OFF">
      <formula>NOT(ISERROR(SEARCH("OFF",AC194)))</formula>
    </cfRule>
  </conditionalFormatting>
  <conditionalFormatting sqref="F195:G195">
    <cfRule type="containsText" dxfId="3" priority="1501" operator="between" text="OFF">
      <formula>NOT(ISERROR(SEARCH("OFF",F195)))</formula>
    </cfRule>
    <cfRule type="containsText" dxfId="4" priority="1502" operator="between" text="OFF">
      <formula>NOT(ISERROR(SEARCH("OFF",F195)))</formula>
    </cfRule>
    <cfRule type="containsText" dxfId="5" priority="1503" operator="between" text="S">
      <formula>NOT(ISERROR(SEARCH("S",F195)))</formula>
    </cfRule>
    <cfRule type="containsText" dxfId="6" priority="1504" operator="between" text="I">
      <formula>NOT(ISERROR(SEARCH("I",F195)))</formula>
    </cfRule>
    <cfRule type="containsText" dxfId="7" priority="1505" operator="between" text="A">
      <formula>NOT(ISERROR(SEARCH("A",F195)))</formula>
    </cfRule>
    <cfRule type="containsText" dxfId="8" priority="1506" operator="between" text="L">
      <formula>NOT(ISERROR(SEARCH("L",F195)))</formula>
    </cfRule>
    <cfRule type="containsText" dxfId="6" priority="1507" operator="between" text="A">
      <formula>NOT(ISERROR(SEARCH("A",F195)))</formula>
    </cfRule>
    <cfRule type="containsText" dxfId="7" priority="1508" operator="between" text="S">
      <formula>NOT(ISERROR(SEARCH("S",F195)))</formula>
    </cfRule>
    <cfRule type="containsText" dxfId="5" priority="1509" operator="between" text="OFF">
      <formula>NOT(ISERROR(SEARCH("OFF",F195)))</formula>
    </cfRule>
    <cfRule type="containsText" dxfId="7" priority="1510" operator="between" text="OFF">
      <formula>NOT(ISERROR(SEARCH("OFF",F195)))</formula>
    </cfRule>
  </conditionalFormatting>
  <conditionalFormatting sqref="J195">
    <cfRule type="containsText" dxfId="3" priority="1471" operator="between" text="OFF">
      <formula>NOT(ISERROR(SEARCH("OFF",J195)))</formula>
    </cfRule>
    <cfRule type="containsText" dxfId="4" priority="1472" operator="between" text="OFF">
      <formula>NOT(ISERROR(SEARCH("OFF",J195)))</formula>
    </cfRule>
    <cfRule type="containsText" dxfId="5" priority="1473" operator="between" text="S">
      <formula>NOT(ISERROR(SEARCH("S",J195)))</formula>
    </cfRule>
    <cfRule type="containsText" dxfId="6" priority="1474" operator="between" text="I">
      <formula>NOT(ISERROR(SEARCH("I",J195)))</formula>
    </cfRule>
    <cfRule type="containsText" dxfId="7" priority="1475" operator="between" text="A">
      <formula>NOT(ISERROR(SEARCH("A",J195)))</formula>
    </cfRule>
    <cfRule type="containsText" dxfId="8" priority="1476" operator="between" text="L">
      <formula>NOT(ISERROR(SEARCH("L",J195)))</formula>
    </cfRule>
    <cfRule type="containsText" dxfId="6" priority="1477" operator="between" text="A">
      <formula>NOT(ISERROR(SEARCH("A",J195)))</formula>
    </cfRule>
    <cfRule type="containsText" dxfId="7" priority="1478" operator="between" text="S">
      <formula>NOT(ISERROR(SEARCH("S",J195)))</formula>
    </cfRule>
    <cfRule type="containsText" dxfId="5" priority="1479" operator="between" text="OFF">
      <formula>NOT(ISERROR(SEARCH("OFF",J195)))</formula>
    </cfRule>
    <cfRule type="containsText" dxfId="7" priority="1480" operator="between" text="OFF">
      <formula>NOT(ISERROR(SEARCH("OFF",J195)))</formula>
    </cfRule>
  </conditionalFormatting>
  <conditionalFormatting sqref="M195">
    <cfRule type="containsText" dxfId="3" priority="2181" operator="between" text="OFF">
      <formula>NOT(ISERROR(SEARCH("OFF",M195)))</formula>
    </cfRule>
    <cfRule type="containsText" dxfId="4" priority="2182" operator="between" text="OFF">
      <formula>NOT(ISERROR(SEARCH("OFF",M195)))</formula>
    </cfRule>
    <cfRule type="containsText" dxfId="5" priority="2183" operator="between" text="S">
      <formula>NOT(ISERROR(SEARCH("S",M195)))</formula>
    </cfRule>
    <cfRule type="containsText" dxfId="6" priority="2184" operator="between" text="I">
      <formula>NOT(ISERROR(SEARCH("I",M195)))</formula>
    </cfRule>
    <cfRule type="containsText" dxfId="7" priority="2185" operator="between" text="A">
      <formula>NOT(ISERROR(SEARCH("A",M195)))</formula>
    </cfRule>
    <cfRule type="containsText" dxfId="8" priority="2186" operator="between" text="L">
      <formula>NOT(ISERROR(SEARCH("L",M195)))</formula>
    </cfRule>
    <cfRule type="containsText" dxfId="6" priority="2187" operator="between" text="A">
      <formula>NOT(ISERROR(SEARCH("A",M195)))</formula>
    </cfRule>
    <cfRule type="containsText" dxfId="7" priority="2188" operator="between" text="S">
      <formula>NOT(ISERROR(SEARCH("S",M195)))</formula>
    </cfRule>
    <cfRule type="containsText" dxfId="5" priority="2189" operator="between" text="OFF">
      <formula>NOT(ISERROR(SEARCH("OFF",M195)))</formula>
    </cfRule>
    <cfRule type="containsText" dxfId="7" priority="2190" operator="between" text="OFF">
      <formula>NOT(ISERROR(SEARCH("OFF",M195)))</formula>
    </cfRule>
  </conditionalFormatting>
  <conditionalFormatting sqref="S197">
    <cfRule type="containsText" dxfId="3" priority="2051" operator="between" text="OFF">
      <formula>NOT(ISERROR(SEARCH("OFF",S197)))</formula>
    </cfRule>
    <cfRule type="containsText" dxfId="4" priority="2052" operator="between" text="OFF">
      <formula>NOT(ISERROR(SEARCH("OFF",S197)))</formula>
    </cfRule>
    <cfRule type="containsText" dxfId="5" priority="2053" operator="between" text="S">
      <formula>NOT(ISERROR(SEARCH("S",S197)))</formula>
    </cfRule>
    <cfRule type="containsText" dxfId="6" priority="2054" operator="between" text="I">
      <formula>NOT(ISERROR(SEARCH("I",S197)))</formula>
    </cfRule>
    <cfRule type="containsText" dxfId="7" priority="2055" operator="between" text="A">
      <formula>NOT(ISERROR(SEARCH("A",S197)))</formula>
    </cfRule>
    <cfRule type="containsText" dxfId="8" priority="2056" operator="between" text="L">
      <formula>NOT(ISERROR(SEARCH("L",S197)))</formula>
    </cfRule>
    <cfRule type="containsText" dxfId="6" priority="2057" operator="between" text="A">
      <formula>NOT(ISERROR(SEARCH("A",S197)))</formula>
    </cfRule>
    <cfRule type="containsText" dxfId="7" priority="2058" operator="between" text="S">
      <formula>NOT(ISERROR(SEARCH("S",S197)))</formula>
    </cfRule>
    <cfRule type="containsText" dxfId="5" priority="2059" operator="between" text="OFF">
      <formula>NOT(ISERROR(SEARCH("OFF",S197)))</formula>
    </cfRule>
    <cfRule type="containsText" dxfId="7" priority="2060" operator="between" text="OFF">
      <formula>NOT(ISERROR(SEARCH("OFF",S197)))</formula>
    </cfRule>
  </conditionalFormatting>
  <conditionalFormatting sqref="G198:H198">
    <cfRule type="containsText" dxfId="3" priority="1551" operator="between" text="OFF">
      <formula>NOT(ISERROR(SEARCH("OFF",G198)))</formula>
    </cfRule>
    <cfRule type="containsText" dxfId="4" priority="1552" operator="between" text="OFF">
      <formula>NOT(ISERROR(SEARCH("OFF",G198)))</formula>
    </cfRule>
    <cfRule type="containsText" dxfId="5" priority="1553" operator="between" text="S">
      <formula>NOT(ISERROR(SEARCH("S",G198)))</formula>
    </cfRule>
    <cfRule type="containsText" dxfId="6" priority="1554" operator="between" text="I">
      <formula>NOT(ISERROR(SEARCH("I",G198)))</formula>
    </cfRule>
    <cfRule type="containsText" dxfId="7" priority="1555" operator="between" text="A">
      <formula>NOT(ISERROR(SEARCH("A",G198)))</formula>
    </cfRule>
    <cfRule type="containsText" dxfId="8" priority="1556" operator="between" text="L">
      <formula>NOT(ISERROR(SEARCH("L",G198)))</formula>
    </cfRule>
    <cfRule type="containsText" dxfId="6" priority="1557" operator="between" text="A">
      <formula>NOT(ISERROR(SEARCH("A",G198)))</formula>
    </cfRule>
    <cfRule type="containsText" dxfId="7" priority="1558" operator="between" text="S">
      <formula>NOT(ISERROR(SEARCH("S",G198)))</formula>
    </cfRule>
    <cfRule type="containsText" dxfId="5" priority="1559" operator="between" text="OFF">
      <formula>NOT(ISERROR(SEARCH("OFF",G198)))</formula>
    </cfRule>
    <cfRule type="containsText" dxfId="7" priority="1560" operator="between" text="OFF">
      <formula>NOT(ISERROR(SEARCH("OFF",G198)))</formula>
    </cfRule>
  </conditionalFormatting>
  <conditionalFormatting sqref="K199">
    <cfRule type="containsText" dxfId="3" priority="2251" operator="between" text="OFF">
      <formula>NOT(ISERROR(SEARCH("OFF",K199)))</formula>
    </cfRule>
    <cfRule type="containsText" dxfId="4" priority="2252" operator="between" text="OFF">
      <formula>NOT(ISERROR(SEARCH("OFF",K199)))</formula>
    </cfRule>
    <cfRule type="containsText" dxfId="5" priority="2253" operator="between" text="S">
      <formula>NOT(ISERROR(SEARCH("S",K199)))</formula>
    </cfRule>
    <cfRule type="containsText" dxfId="6" priority="2254" operator="between" text="I">
      <formula>NOT(ISERROR(SEARCH("I",K199)))</formula>
    </cfRule>
    <cfRule type="containsText" dxfId="7" priority="2255" operator="between" text="A">
      <formula>NOT(ISERROR(SEARCH("A",K199)))</formula>
    </cfRule>
    <cfRule type="containsText" dxfId="8" priority="2256" operator="between" text="L">
      <formula>NOT(ISERROR(SEARCH("L",K199)))</formula>
    </cfRule>
    <cfRule type="containsText" dxfId="6" priority="2257" operator="between" text="A">
      <formula>NOT(ISERROR(SEARCH("A",K199)))</formula>
    </cfRule>
    <cfRule type="containsText" dxfId="7" priority="2258" operator="between" text="S">
      <formula>NOT(ISERROR(SEARCH("S",K199)))</formula>
    </cfRule>
    <cfRule type="containsText" dxfId="5" priority="2259" operator="between" text="OFF">
      <formula>NOT(ISERROR(SEARCH("OFF",K199)))</formula>
    </cfRule>
    <cfRule type="containsText" dxfId="7" priority="2260" operator="between" text="OFF">
      <formula>NOT(ISERROR(SEARCH("OFF",K199)))</formula>
    </cfRule>
  </conditionalFormatting>
  <conditionalFormatting sqref="P199:R199">
    <cfRule type="containsText" dxfId="3" priority="1251" operator="between" text="OFF">
      <formula>NOT(ISERROR(SEARCH("OFF",P199)))</formula>
    </cfRule>
    <cfRule type="containsText" dxfId="4" priority="1252" operator="between" text="OFF">
      <formula>NOT(ISERROR(SEARCH("OFF",P199)))</formula>
    </cfRule>
    <cfRule type="containsText" dxfId="5" priority="1253" operator="between" text="S">
      <formula>NOT(ISERROR(SEARCH("S",P199)))</formula>
    </cfRule>
    <cfRule type="containsText" dxfId="6" priority="1254" operator="between" text="I">
      <formula>NOT(ISERROR(SEARCH("I",P199)))</formula>
    </cfRule>
    <cfRule type="containsText" dxfId="7" priority="1255" operator="between" text="A">
      <formula>NOT(ISERROR(SEARCH("A",P199)))</formula>
    </cfRule>
    <cfRule type="containsText" dxfId="8" priority="1256" operator="between" text="L">
      <formula>NOT(ISERROR(SEARCH("L",P199)))</formula>
    </cfRule>
    <cfRule type="containsText" dxfId="6" priority="1257" operator="between" text="A">
      <formula>NOT(ISERROR(SEARCH("A",P199)))</formula>
    </cfRule>
    <cfRule type="containsText" dxfId="7" priority="1258" operator="between" text="S">
      <formula>NOT(ISERROR(SEARCH("S",P199)))</formula>
    </cfRule>
    <cfRule type="containsText" dxfId="5" priority="1259" operator="between" text="OFF">
      <formula>NOT(ISERROR(SEARCH("OFF",P199)))</formula>
    </cfRule>
    <cfRule type="containsText" dxfId="7" priority="1260" operator="between" text="OFF">
      <formula>NOT(ISERROR(SEARCH("OFF",P199)))</formula>
    </cfRule>
  </conditionalFormatting>
  <conditionalFormatting sqref="Y199">
    <cfRule type="containsText" dxfId="3" priority="1161" operator="between" text="OFF">
      <formula>NOT(ISERROR(SEARCH("OFF",Y199)))</formula>
    </cfRule>
    <cfRule type="containsText" dxfId="4" priority="1162" operator="between" text="OFF">
      <formula>NOT(ISERROR(SEARCH("OFF",Y199)))</formula>
    </cfRule>
    <cfRule type="containsText" dxfId="5" priority="1163" operator="between" text="S">
      <formula>NOT(ISERROR(SEARCH("S",Y199)))</formula>
    </cfRule>
    <cfRule type="containsText" dxfId="6" priority="1164" operator="between" text="I">
      <formula>NOT(ISERROR(SEARCH("I",Y199)))</formula>
    </cfRule>
    <cfRule type="containsText" dxfId="7" priority="1165" operator="between" text="A">
      <formula>NOT(ISERROR(SEARCH("A",Y199)))</formula>
    </cfRule>
    <cfRule type="containsText" dxfId="8" priority="1166" operator="between" text="L">
      <formula>NOT(ISERROR(SEARCH("L",Y199)))</formula>
    </cfRule>
    <cfRule type="containsText" dxfId="6" priority="1167" operator="between" text="A">
      <formula>NOT(ISERROR(SEARCH("A",Y199)))</formula>
    </cfRule>
    <cfRule type="containsText" dxfId="7" priority="1168" operator="between" text="S">
      <formula>NOT(ISERROR(SEARCH("S",Y199)))</formula>
    </cfRule>
    <cfRule type="containsText" dxfId="5" priority="1169" operator="between" text="OFF">
      <formula>NOT(ISERROR(SEARCH("OFF",Y199)))</formula>
    </cfRule>
    <cfRule type="containsText" dxfId="7" priority="1170" operator="between" text="OFF">
      <formula>NOT(ISERROR(SEARCH("OFF",Y199)))</formula>
    </cfRule>
  </conditionalFormatting>
  <conditionalFormatting sqref="S200">
    <cfRule type="containsText" dxfId="3" priority="2081" operator="between" text="OFF">
      <formula>NOT(ISERROR(SEARCH("OFF",S200)))</formula>
    </cfRule>
    <cfRule type="containsText" dxfId="4" priority="2082" operator="between" text="OFF">
      <formula>NOT(ISERROR(SEARCH("OFF",S200)))</formula>
    </cfRule>
    <cfRule type="containsText" dxfId="5" priority="2083" operator="between" text="S">
      <formula>NOT(ISERROR(SEARCH("S",S200)))</formula>
    </cfRule>
    <cfRule type="containsText" dxfId="6" priority="2084" operator="between" text="I">
      <formula>NOT(ISERROR(SEARCH("I",S200)))</formula>
    </cfRule>
    <cfRule type="containsText" dxfId="7" priority="2085" operator="between" text="A">
      <formula>NOT(ISERROR(SEARCH("A",S200)))</formula>
    </cfRule>
    <cfRule type="containsText" dxfId="8" priority="2086" operator="between" text="L">
      <formula>NOT(ISERROR(SEARCH("L",S200)))</formula>
    </cfRule>
    <cfRule type="containsText" dxfId="6" priority="2087" operator="between" text="A">
      <formula>NOT(ISERROR(SEARCH("A",S200)))</formula>
    </cfRule>
    <cfRule type="containsText" dxfId="7" priority="2088" operator="between" text="S">
      <formula>NOT(ISERROR(SEARCH("S",S200)))</formula>
    </cfRule>
    <cfRule type="containsText" dxfId="5" priority="2089" operator="between" text="OFF">
      <formula>NOT(ISERROR(SEARCH("OFF",S200)))</formula>
    </cfRule>
    <cfRule type="containsText" dxfId="7" priority="2090" operator="between" text="OFF">
      <formula>NOT(ISERROR(SEARCH("OFF",S200)))</formula>
    </cfRule>
  </conditionalFormatting>
  <conditionalFormatting sqref="P201">
    <cfRule type="containsText" dxfId="3" priority="2101" operator="between" text="OFF">
      <formula>NOT(ISERROR(SEARCH("OFF",P201)))</formula>
    </cfRule>
    <cfRule type="containsText" dxfId="4" priority="2102" operator="between" text="OFF">
      <formula>NOT(ISERROR(SEARCH("OFF",P201)))</formula>
    </cfRule>
    <cfRule type="containsText" dxfId="5" priority="2103" operator="between" text="S">
      <formula>NOT(ISERROR(SEARCH("S",P201)))</formula>
    </cfRule>
    <cfRule type="containsText" dxfId="6" priority="2104" operator="between" text="I">
      <formula>NOT(ISERROR(SEARCH("I",P201)))</formula>
    </cfRule>
    <cfRule type="containsText" dxfId="7" priority="2105" operator="between" text="A">
      <formula>NOT(ISERROR(SEARCH("A",P201)))</formula>
    </cfRule>
    <cfRule type="containsText" dxfId="8" priority="2106" operator="between" text="L">
      <formula>NOT(ISERROR(SEARCH("L",P201)))</formula>
    </cfRule>
    <cfRule type="containsText" dxfId="6" priority="2107" operator="between" text="A">
      <formula>NOT(ISERROR(SEARCH("A",P201)))</formula>
    </cfRule>
    <cfRule type="containsText" dxfId="7" priority="2108" operator="between" text="S">
      <formula>NOT(ISERROR(SEARCH("S",P201)))</formula>
    </cfRule>
    <cfRule type="containsText" dxfId="5" priority="2109" operator="between" text="OFF">
      <formula>NOT(ISERROR(SEARCH("OFF",P201)))</formula>
    </cfRule>
    <cfRule type="containsText" dxfId="7" priority="2110" operator="between" text="OFF">
      <formula>NOT(ISERROR(SEARCH("OFF",P201)))</formula>
    </cfRule>
  </conditionalFormatting>
  <conditionalFormatting sqref="W201">
    <cfRule type="containsText" dxfId="3" priority="2381" operator="between" text="OFF">
      <formula>NOT(ISERROR(SEARCH("OFF",W201)))</formula>
    </cfRule>
    <cfRule type="containsText" dxfId="4" priority="2382" operator="between" text="OFF">
      <formula>NOT(ISERROR(SEARCH("OFF",W201)))</formula>
    </cfRule>
    <cfRule type="containsText" dxfId="5" priority="2383" operator="between" text="S">
      <formula>NOT(ISERROR(SEARCH("S",W201)))</formula>
    </cfRule>
    <cfRule type="containsText" dxfId="6" priority="2384" operator="between" text="I">
      <formula>NOT(ISERROR(SEARCH("I",W201)))</formula>
    </cfRule>
    <cfRule type="containsText" dxfId="7" priority="2385" operator="between" text="A">
      <formula>NOT(ISERROR(SEARCH("A",W201)))</formula>
    </cfRule>
    <cfRule type="containsText" dxfId="8" priority="2386" operator="between" text="L">
      <formula>NOT(ISERROR(SEARCH("L",W201)))</formula>
    </cfRule>
    <cfRule type="containsText" dxfId="6" priority="2387" operator="between" text="A">
      <formula>NOT(ISERROR(SEARCH("A",W201)))</formula>
    </cfRule>
    <cfRule type="containsText" dxfId="7" priority="2388" operator="between" text="S">
      <formula>NOT(ISERROR(SEARCH("S",W201)))</formula>
    </cfRule>
    <cfRule type="containsText" dxfId="5" priority="2389" operator="between" text="OFF">
      <formula>NOT(ISERROR(SEARCH("OFF",W201)))</formula>
    </cfRule>
    <cfRule type="containsText" dxfId="7" priority="2390" operator="between" text="OFF">
      <formula>NOT(ISERROR(SEARCH("OFF",W201)))</formula>
    </cfRule>
  </conditionalFormatting>
  <conditionalFormatting sqref="H203">
    <cfRule type="containsText" dxfId="3" priority="1561" operator="between" text="OFF">
      <formula>NOT(ISERROR(SEARCH("OFF",H203)))</formula>
    </cfRule>
    <cfRule type="containsText" dxfId="4" priority="1562" operator="between" text="OFF">
      <formula>NOT(ISERROR(SEARCH("OFF",H203)))</formula>
    </cfRule>
    <cfRule type="containsText" dxfId="5" priority="1563" operator="between" text="S">
      <formula>NOT(ISERROR(SEARCH("S",H203)))</formula>
    </cfRule>
    <cfRule type="containsText" dxfId="6" priority="1564" operator="between" text="I">
      <formula>NOT(ISERROR(SEARCH("I",H203)))</formula>
    </cfRule>
    <cfRule type="containsText" dxfId="7" priority="1565" operator="between" text="A">
      <formula>NOT(ISERROR(SEARCH("A",H203)))</formula>
    </cfRule>
    <cfRule type="containsText" dxfId="8" priority="1566" operator="between" text="L">
      <formula>NOT(ISERROR(SEARCH("L",H203)))</formula>
    </cfRule>
    <cfRule type="containsText" dxfId="6" priority="1567" operator="between" text="A">
      <formula>NOT(ISERROR(SEARCH("A",H203)))</formula>
    </cfRule>
    <cfRule type="containsText" dxfId="7" priority="1568" operator="between" text="S">
      <formula>NOT(ISERROR(SEARCH("S",H203)))</formula>
    </cfRule>
    <cfRule type="containsText" dxfId="5" priority="1569" operator="between" text="OFF">
      <formula>NOT(ISERROR(SEARCH("OFF",H203)))</formula>
    </cfRule>
    <cfRule type="containsText" dxfId="7" priority="1570" operator="between" text="OFF">
      <formula>NOT(ISERROR(SEARCH("OFF",H203)))</formula>
    </cfRule>
  </conditionalFormatting>
  <conditionalFormatting sqref="J203">
    <cfRule type="containsText" dxfId="3" priority="611" operator="between" text="OFF">
      <formula>NOT(ISERROR(SEARCH("OFF",J203)))</formula>
    </cfRule>
    <cfRule type="containsText" dxfId="4" priority="612" operator="between" text="OFF">
      <formula>NOT(ISERROR(SEARCH("OFF",J203)))</formula>
    </cfRule>
    <cfRule type="containsText" dxfId="5" priority="613" operator="between" text="S">
      <formula>NOT(ISERROR(SEARCH("S",J203)))</formula>
    </cfRule>
    <cfRule type="containsText" dxfId="6" priority="614" operator="between" text="I">
      <formula>NOT(ISERROR(SEARCH("I",J203)))</formula>
    </cfRule>
    <cfRule type="containsText" dxfId="7" priority="615" operator="between" text="A">
      <formula>NOT(ISERROR(SEARCH("A",J203)))</formula>
    </cfRule>
    <cfRule type="containsText" dxfId="8" priority="616" operator="between" text="L">
      <formula>NOT(ISERROR(SEARCH("L",J203)))</formula>
    </cfRule>
    <cfRule type="containsText" dxfId="6" priority="617" operator="between" text="A">
      <formula>NOT(ISERROR(SEARCH("A",J203)))</formula>
    </cfRule>
    <cfRule type="containsText" dxfId="7" priority="618" operator="between" text="S">
      <formula>NOT(ISERROR(SEARCH("S",J203)))</formula>
    </cfRule>
    <cfRule type="containsText" dxfId="5" priority="619" operator="between" text="OFF">
      <formula>NOT(ISERROR(SEARCH("OFF",J203)))</formula>
    </cfRule>
    <cfRule type="containsText" dxfId="7" priority="620" operator="between" text="OFF">
      <formula>NOT(ISERROR(SEARCH("OFF",J203)))</formula>
    </cfRule>
  </conditionalFormatting>
  <conditionalFormatting sqref="M203">
    <cfRule type="containsText" dxfId="3" priority="2171" operator="between" text="OFF">
      <formula>NOT(ISERROR(SEARCH("OFF",M203)))</formula>
    </cfRule>
    <cfRule type="containsText" dxfId="4" priority="2172" operator="between" text="OFF">
      <formula>NOT(ISERROR(SEARCH("OFF",M203)))</formula>
    </cfRule>
    <cfRule type="containsText" dxfId="5" priority="2173" operator="between" text="S">
      <formula>NOT(ISERROR(SEARCH("S",M203)))</formula>
    </cfRule>
    <cfRule type="containsText" dxfId="6" priority="2174" operator="between" text="I">
      <formula>NOT(ISERROR(SEARCH("I",M203)))</formula>
    </cfRule>
    <cfRule type="containsText" dxfId="7" priority="2175" operator="between" text="A">
      <formula>NOT(ISERROR(SEARCH("A",M203)))</formula>
    </cfRule>
    <cfRule type="containsText" dxfId="8" priority="2176" operator="between" text="L">
      <formula>NOT(ISERROR(SEARCH("L",M203)))</formula>
    </cfRule>
    <cfRule type="containsText" dxfId="6" priority="2177" operator="between" text="A">
      <formula>NOT(ISERROR(SEARCH("A",M203)))</formula>
    </cfRule>
    <cfRule type="containsText" dxfId="7" priority="2178" operator="between" text="S">
      <formula>NOT(ISERROR(SEARCH("S",M203)))</formula>
    </cfRule>
    <cfRule type="containsText" dxfId="5" priority="2179" operator="between" text="OFF">
      <formula>NOT(ISERROR(SEARCH("OFF",M203)))</formula>
    </cfRule>
    <cfRule type="containsText" dxfId="7" priority="2180" operator="between" text="OFF">
      <formula>NOT(ISERROR(SEARCH("OFF",M203)))</formula>
    </cfRule>
  </conditionalFormatting>
  <conditionalFormatting sqref="O203">
    <cfRule type="containsText" dxfId="3" priority="2161" operator="between" text="OFF">
      <formula>NOT(ISERROR(SEARCH("OFF",O203)))</formula>
    </cfRule>
    <cfRule type="containsText" dxfId="4" priority="2162" operator="between" text="OFF">
      <formula>NOT(ISERROR(SEARCH("OFF",O203)))</formula>
    </cfRule>
    <cfRule type="containsText" dxfId="5" priority="2163" operator="between" text="S">
      <formula>NOT(ISERROR(SEARCH("S",O203)))</formula>
    </cfRule>
    <cfRule type="containsText" dxfId="6" priority="2164" operator="between" text="I">
      <formula>NOT(ISERROR(SEARCH("I",O203)))</formula>
    </cfRule>
    <cfRule type="containsText" dxfId="7" priority="2165" operator="between" text="A">
      <formula>NOT(ISERROR(SEARCH("A",O203)))</formula>
    </cfRule>
    <cfRule type="containsText" dxfId="8" priority="2166" operator="between" text="L">
      <formula>NOT(ISERROR(SEARCH("L",O203)))</formula>
    </cfRule>
    <cfRule type="containsText" dxfId="6" priority="2167" operator="between" text="A">
      <formula>NOT(ISERROR(SEARCH("A",O203)))</formula>
    </cfRule>
    <cfRule type="containsText" dxfId="7" priority="2168" operator="between" text="S">
      <formula>NOT(ISERROR(SEARCH("S",O203)))</formula>
    </cfRule>
    <cfRule type="containsText" dxfId="5" priority="2169" operator="between" text="OFF">
      <formula>NOT(ISERROR(SEARCH("OFF",O203)))</formula>
    </cfRule>
    <cfRule type="containsText" dxfId="7" priority="2170" operator="between" text="OFF">
      <formula>NOT(ISERROR(SEARCH("OFF",O203)))</formula>
    </cfRule>
  </conditionalFormatting>
  <conditionalFormatting sqref="Q203">
    <cfRule type="containsText" dxfId="3" priority="1361" operator="between" text="OFF">
      <formula>NOT(ISERROR(SEARCH("OFF",Q203)))</formula>
    </cfRule>
    <cfRule type="containsText" dxfId="4" priority="1362" operator="between" text="OFF">
      <formula>NOT(ISERROR(SEARCH("OFF",Q203)))</formula>
    </cfRule>
    <cfRule type="containsText" dxfId="5" priority="1363" operator="between" text="S">
      <formula>NOT(ISERROR(SEARCH("S",Q203)))</formula>
    </cfRule>
    <cfRule type="containsText" dxfId="6" priority="1364" operator="between" text="I">
      <formula>NOT(ISERROR(SEARCH("I",Q203)))</formula>
    </cfRule>
    <cfRule type="containsText" dxfId="7" priority="1365" operator="between" text="A">
      <formula>NOT(ISERROR(SEARCH("A",Q203)))</formula>
    </cfRule>
    <cfRule type="containsText" dxfId="8" priority="1366" operator="between" text="L">
      <formula>NOT(ISERROR(SEARCH("L",Q203)))</formula>
    </cfRule>
    <cfRule type="containsText" dxfId="6" priority="1367" operator="between" text="A">
      <formula>NOT(ISERROR(SEARCH("A",Q203)))</formula>
    </cfRule>
    <cfRule type="containsText" dxfId="7" priority="1368" operator="between" text="S">
      <formula>NOT(ISERROR(SEARCH("S",Q203)))</formula>
    </cfRule>
    <cfRule type="containsText" dxfId="5" priority="1369" operator="between" text="OFF">
      <formula>NOT(ISERROR(SEARCH("OFF",Q203)))</formula>
    </cfRule>
    <cfRule type="containsText" dxfId="7" priority="1370" operator="between" text="OFF">
      <formula>NOT(ISERROR(SEARCH("OFF",Q203)))</formula>
    </cfRule>
  </conditionalFormatting>
  <conditionalFormatting sqref="T203">
    <cfRule type="containsText" dxfId="3" priority="461" operator="between" text="OFF">
      <formula>NOT(ISERROR(SEARCH("OFF",T203)))</formula>
    </cfRule>
    <cfRule type="containsText" dxfId="4" priority="462" operator="between" text="OFF">
      <formula>NOT(ISERROR(SEARCH("OFF",T203)))</formula>
    </cfRule>
    <cfRule type="containsText" dxfId="5" priority="463" operator="between" text="S">
      <formula>NOT(ISERROR(SEARCH("S",T203)))</formula>
    </cfRule>
    <cfRule type="containsText" dxfId="6" priority="464" operator="between" text="I">
      <formula>NOT(ISERROR(SEARCH("I",T203)))</formula>
    </cfRule>
    <cfRule type="containsText" dxfId="7" priority="465" operator="between" text="A">
      <formula>NOT(ISERROR(SEARCH("A",T203)))</formula>
    </cfRule>
    <cfRule type="containsText" dxfId="8" priority="466" operator="between" text="L">
      <formula>NOT(ISERROR(SEARCH("L",T203)))</formula>
    </cfRule>
    <cfRule type="containsText" dxfId="6" priority="467" operator="between" text="A">
      <formula>NOT(ISERROR(SEARCH("A",T203)))</formula>
    </cfRule>
    <cfRule type="containsText" dxfId="7" priority="468" operator="between" text="S">
      <formula>NOT(ISERROR(SEARCH("S",T203)))</formula>
    </cfRule>
    <cfRule type="containsText" dxfId="5" priority="469" operator="between" text="OFF">
      <formula>NOT(ISERROR(SEARCH("OFF",T203)))</formula>
    </cfRule>
    <cfRule type="containsText" dxfId="7" priority="470" operator="between" text="OFF">
      <formula>NOT(ISERROR(SEARCH("OFF",T203)))</formula>
    </cfRule>
  </conditionalFormatting>
  <conditionalFormatting sqref="V203:X203">
    <cfRule type="containsText" dxfId="3" priority="1111" operator="between" text="OFF">
      <formula>NOT(ISERROR(SEARCH("OFF",V203)))</formula>
    </cfRule>
    <cfRule type="containsText" dxfId="4" priority="1112" operator="between" text="OFF">
      <formula>NOT(ISERROR(SEARCH("OFF",V203)))</formula>
    </cfRule>
    <cfRule type="containsText" dxfId="5" priority="1113" operator="between" text="S">
      <formula>NOT(ISERROR(SEARCH("S",V203)))</formula>
    </cfRule>
    <cfRule type="containsText" dxfId="6" priority="1114" operator="between" text="I">
      <formula>NOT(ISERROR(SEARCH("I",V203)))</formula>
    </cfRule>
    <cfRule type="containsText" dxfId="7" priority="1115" operator="between" text="A">
      <formula>NOT(ISERROR(SEARCH("A",V203)))</formula>
    </cfRule>
    <cfRule type="containsText" dxfId="8" priority="1116" operator="between" text="L">
      <formula>NOT(ISERROR(SEARCH("L",V203)))</formula>
    </cfRule>
    <cfRule type="containsText" dxfId="6" priority="1117" operator="between" text="A">
      <formula>NOT(ISERROR(SEARCH("A",V203)))</formula>
    </cfRule>
    <cfRule type="containsText" dxfId="7" priority="1118" operator="between" text="S">
      <formula>NOT(ISERROR(SEARCH("S",V203)))</formula>
    </cfRule>
    <cfRule type="containsText" dxfId="5" priority="1119" operator="between" text="OFF">
      <formula>NOT(ISERROR(SEARCH("OFF",V203)))</formula>
    </cfRule>
    <cfRule type="containsText" dxfId="7" priority="1120" operator="between" text="OFF">
      <formula>NOT(ISERROR(SEARCH("OFF",V203)))</formula>
    </cfRule>
  </conditionalFormatting>
  <conditionalFormatting sqref="AB203:AC203">
    <cfRule type="containsText" dxfId="3" priority="1081" operator="between" text="OFF">
      <formula>NOT(ISERROR(SEARCH("OFF",AB203)))</formula>
    </cfRule>
    <cfRule type="containsText" dxfId="4" priority="1082" operator="between" text="OFF">
      <formula>NOT(ISERROR(SEARCH("OFF",AB203)))</formula>
    </cfRule>
    <cfRule type="containsText" dxfId="5" priority="1083" operator="between" text="S">
      <formula>NOT(ISERROR(SEARCH("S",AB203)))</formula>
    </cfRule>
    <cfRule type="containsText" dxfId="6" priority="1084" operator="between" text="I">
      <formula>NOT(ISERROR(SEARCH("I",AB203)))</formula>
    </cfRule>
    <cfRule type="containsText" dxfId="7" priority="1085" operator="between" text="A">
      <formula>NOT(ISERROR(SEARCH("A",AB203)))</formula>
    </cfRule>
    <cfRule type="containsText" dxfId="8" priority="1086" operator="between" text="L">
      <formula>NOT(ISERROR(SEARCH("L",AB203)))</formula>
    </cfRule>
    <cfRule type="containsText" dxfId="6" priority="1087" operator="between" text="A">
      <formula>NOT(ISERROR(SEARCH("A",AB203)))</formula>
    </cfRule>
    <cfRule type="containsText" dxfId="7" priority="1088" operator="between" text="S">
      <formula>NOT(ISERROR(SEARCH("S",AB203)))</formula>
    </cfRule>
    <cfRule type="containsText" dxfId="5" priority="1089" operator="between" text="OFF">
      <formula>NOT(ISERROR(SEARCH("OFF",AB203)))</formula>
    </cfRule>
    <cfRule type="containsText" dxfId="7" priority="1090" operator="between" text="OFF">
      <formula>NOT(ISERROR(SEARCH("OFF",AB203)))</formula>
    </cfRule>
  </conditionalFormatting>
  <conditionalFormatting sqref="E204">
    <cfRule type="containsText" dxfId="3" priority="1591" operator="between" text="OFF">
      <formula>NOT(ISERROR(SEARCH("OFF",E204)))</formula>
    </cfRule>
    <cfRule type="containsText" dxfId="4" priority="1592" operator="between" text="OFF">
      <formula>NOT(ISERROR(SEARCH("OFF",E204)))</formula>
    </cfRule>
    <cfRule type="containsText" dxfId="5" priority="1593" operator="between" text="S">
      <formula>NOT(ISERROR(SEARCH("S",E204)))</formula>
    </cfRule>
    <cfRule type="containsText" dxfId="6" priority="1594" operator="between" text="I">
      <formula>NOT(ISERROR(SEARCH("I",E204)))</formula>
    </cfRule>
    <cfRule type="containsText" dxfId="7" priority="1595" operator="between" text="A">
      <formula>NOT(ISERROR(SEARCH("A",E204)))</formula>
    </cfRule>
    <cfRule type="containsText" dxfId="8" priority="1596" operator="between" text="L">
      <formula>NOT(ISERROR(SEARCH("L",E204)))</formula>
    </cfRule>
    <cfRule type="containsText" dxfId="6" priority="1597" operator="between" text="A">
      <formula>NOT(ISERROR(SEARCH("A",E204)))</formula>
    </cfRule>
    <cfRule type="containsText" dxfId="7" priority="1598" operator="between" text="S">
      <formula>NOT(ISERROR(SEARCH("S",E204)))</formula>
    </cfRule>
    <cfRule type="containsText" dxfId="5" priority="1599" operator="between" text="OFF">
      <formula>NOT(ISERROR(SEARCH("OFF",E204)))</formula>
    </cfRule>
    <cfRule type="containsText" dxfId="7" priority="1600" operator="between" text="OFF">
      <formula>NOT(ISERROR(SEARCH("OFF",E204)))</formula>
    </cfRule>
  </conditionalFormatting>
  <conditionalFormatting sqref="L204:M204">
    <cfRule type="containsText" dxfId="3" priority="2191" operator="between" text="OFF">
      <formula>NOT(ISERROR(SEARCH("OFF",L204)))</formula>
    </cfRule>
    <cfRule type="containsText" dxfId="4" priority="2192" operator="between" text="OFF">
      <formula>NOT(ISERROR(SEARCH("OFF",L204)))</formula>
    </cfRule>
    <cfRule type="containsText" dxfId="5" priority="2193" operator="between" text="S">
      <formula>NOT(ISERROR(SEARCH("S",L204)))</formula>
    </cfRule>
    <cfRule type="containsText" dxfId="6" priority="2194" operator="between" text="I">
      <formula>NOT(ISERROR(SEARCH("I",L204)))</formula>
    </cfRule>
    <cfRule type="containsText" dxfId="7" priority="2195" operator="between" text="A">
      <formula>NOT(ISERROR(SEARCH("A",L204)))</formula>
    </cfRule>
    <cfRule type="containsText" dxfId="8" priority="2196" operator="between" text="L">
      <formula>NOT(ISERROR(SEARCH("L",L204)))</formula>
    </cfRule>
    <cfRule type="containsText" dxfId="6" priority="2197" operator="between" text="A">
      <formula>NOT(ISERROR(SEARCH("A",L204)))</formula>
    </cfRule>
    <cfRule type="containsText" dxfId="7" priority="2198" operator="between" text="S">
      <formula>NOT(ISERROR(SEARCH("S",L204)))</formula>
    </cfRule>
    <cfRule type="containsText" dxfId="5" priority="2199" operator="between" text="OFF">
      <formula>NOT(ISERROR(SEARCH("OFF",L204)))</formula>
    </cfRule>
    <cfRule type="containsText" dxfId="7" priority="2200" operator="between" text="OFF">
      <formula>NOT(ISERROR(SEARCH("OFF",L204)))</formula>
    </cfRule>
  </conditionalFormatting>
  <conditionalFormatting sqref="AB204">
    <cfRule type="containsText" dxfId="3" priority="1061" operator="between" text="OFF">
      <formula>NOT(ISERROR(SEARCH("OFF",AB204)))</formula>
    </cfRule>
    <cfRule type="containsText" dxfId="4" priority="1062" operator="between" text="OFF">
      <formula>NOT(ISERROR(SEARCH("OFF",AB204)))</formula>
    </cfRule>
    <cfRule type="containsText" dxfId="5" priority="1063" operator="between" text="S">
      <formula>NOT(ISERROR(SEARCH("S",AB204)))</formula>
    </cfRule>
    <cfRule type="containsText" dxfId="6" priority="1064" operator="between" text="I">
      <formula>NOT(ISERROR(SEARCH("I",AB204)))</formula>
    </cfRule>
    <cfRule type="containsText" dxfId="7" priority="1065" operator="between" text="A">
      <formula>NOT(ISERROR(SEARCH("A",AB204)))</formula>
    </cfRule>
    <cfRule type="containsText" dxfId="8" priority="1066" operator="between" text="L">
      <formula>NOT(ISERROR(SEARCH("L",AB204)))</formula>
    </cfRule>
    <cfRule type="containsText" dxfId="6" priority="1067" operator="between" text="A">
      <formula>NOT(ISERROR(SEARCH("A",AB204)))</formula>
    </cfRule>
    <cfRule type="containsText" dxfId="7" priority="1068" operator="between" text="S">
      <formula>NOT(ISERROR(SEARCH("S",AB204)))</formula>
    </cfRule>
    <cfRule type="containsText" dxfId="5" priority="1069" operator="between" text="OFF">
      <formula>NOT(ISERROR(SEARCH("OFF",AB204)))</formula>
    </cfRule>
    <cfRule type="containsText" dxfId="7" priority="1070" operator="between" text="OFF">
      <formula>NOT(ISERROR(SEARCH("OFF",AB204)))</formula>
    </cfRule>
  </conditionalFormatting>
  <conditionalFormatting sqref="K205:L205">
    <cfRule type="containsText" dxfId="3" priority="1211" operator="between" text="OFF">
      <formula>NOT(ISERROR(SEARCH("OFF",K205)))</formula>
    </cfRule>
    <cfRule type="containsText" dxfId="4" priority="1212" operator="between" text="OFF">
      <formula>NOT(ISERROR(SEARCH("OFF",K205)))</formula>
    </cfRule>
    <cfRule type="containsText" dxfId="5" priority="1213" operator="between" text="S">
      <formula>NOT(ISERROR(SEARCH("S",K205)))</formula>
    </cfRule>
    <cfRule type="containsText" dxfId="6" priority="1214" operator="between" text="I">
      <formula>NOT(ISERROR(SEARCH("I",K205)))</formula>
    </cfRule>
    <cfRule type="containsText" dxfId="7" priority="1215" operator="between" text="A">
      <formula>NOT(ISERROR(SEARCH("A",K205)))</formula>
    </cfRule>
    <cfRule type="containsText" dxfId="8" priority="1216" operator="between" text="L">
      <formula>NOT(ISERROR(SEARCH("L",K205)))</formula>
    </cfRule>
    <cfRule type="containsText" dxfId="6" priority="1217" operator="between" text="A">
      <formula>NOT(ISERROR(SEARCH("A",K205)))</formula>
    </cfRule>
    <cfRule type="containsText" dxfId="7" priority="1218" operator="between" text="S">
      <formula>NOT(ISERROR(SEARCH("S",K205)))</formula>
    </cfRule>
    <cfRule type="containsText" dxfId="5" priority="1219" operator="between" text="OFF">
      <formula>NOT(ISERROR(SEARCH("OFF",K205)))</formula>
    </cfRule>
    <cfRule type="containsText" dxfId="7" priority="1220" operator="between" text="OFF">
      <formula>NOT(ISERROR(SEARCH("OFF",K205)))</formula>
    </cfRule>
  </conditionalFormatting>
  <conditionalFormatting sqref="AC205">
    <cfRule type="containsText" dxfId="3" priority="331" operator="between" text="OFF">
      <formula>NOT(ISERROR(SEARCH("OFF",AC205)))</formula>
    </cfRule>
    <cfRule type="containsText" dxfId="4" priority="332" operator="between" text="OFF">
      <formula>NOT(ISERROR(SEARCH("OFF",AC205)))</formula>
    </cfRule>
    <cfRule type="containsText" dxfId="5" priority="333" operator="between" text="S">
      <formula>NOT(ISERROR(SEARCH("S",AC205)))</formula>
    </cfRule>
    <cfRule type="containsText" dxfId="6" priority="334" operator="between" text="I">
      <formula>NOT(ISERROR(SEARCH("I",AC205)))</formula>
    </cfRule>
    <cfRule type="containsText" dxfId="7" priority="335" operator="between" text="A">
      <formula>NOT(ISERROR(SEARCH("A",AC205)))</formula>
    </cfRule>
    <cfRule type="containsText" dxfId="8" priority="336" operator="between" text="L">
      <formula>NOT(ISERROR(SEARCH("L",AC205)))</formula>
    </cfRule>
    <cfRule type="containsText" dxfId="6" priority="337" operator="between" text="A">
      <formula>NOT(ISERROR(SEARCH("A",AC205)))</formula>
    </cfRule>
    <cfRule type="containsText" dxfId="7" priority="338" operator="between" text="S">
      <formula>NOT(ISERROR(SEARCH("S",AC205)))</formula>
    </cfRule>
    <cfRule type="containsText" dxfId="5" priority="339" operator="between" text="OFF">
      <formula>NOT(ISERROR(SEARCH("OFF",AC205)))</formula>
    </cfRule>
    <cfRule type="containsText" dxfId="7" priority="340" operator="between" text="OFF">
      <formula>NOT(ISERROR(SEARCH("OFF",AC205)))</formula>
    </cfRule>
  </conditionalFormatting>
  <conditionalFormatting sqref="G206:H206">
    <cfRule type="containsText" dxfId="3" priority="2281" operator="between" text="OFF">
      <formula>NOT(ISERROR(SEARCH("OFF",G206)))</formula>
    </cfRule>
    <cfRule type="containsText" dxfId="4" priority="2282" operator="between" text="OFF">
      <formula>NOT(ISERROR(SEARCH("OFF",G206)))</formula>
    </cfRule>
    <cfRule type="containsText" dxfId="5" priority="2283" operator="between" text="S">
      <formula>NOT(ISERROR(SEARCH("S",G206)))</formula>
    </cfRule>
    <cfRule type="containsText" dxfId="6" priority="2284" operator="between" text="I">
      <formula>NOT(ISERROR(SEARCH("I",G206)))</formula>
    </cfRule>
    <cfRule type="containsText" dxfId="7" priority="2285" operator="between" text="A">
      <formula>NOT(ISERROR(SEARCH("A",G206)))</formula>
    </cfRule>
    <cfRule type="containsText" dxfId="8" priority="2286" operator="between" text="L">
      <formula>NOT(ISERROR(SEARCH("L",G206)))</formula>
    </cfRule>
    <cfRule type="containsText" dxfId="6" priority="2287" operator="between" text="A">
      <formula>NOT(ISERROR(SEARCH("A",G206)))</formula>
    </cfRule>
    <cfRule type="containsText" dxfId="7" priority="2288" operator="between" text="S">
      <formula>NOT(ISERROR(SEARCH("S",G206)))</formula>
    </cfRule>
    <cfRule type="containsText" dxfId="5" priority="2289" operator="between" text="OFF">
      <formula>NOT(ISERROR(SEARCH("OFF",G206)))</formula>
    </cfRule>
    <cfRule type="containsText" dxfId="7" priority="2290" operator="between" text="OFF">
      <formula>NOT(ISERROR(SEARCH("OFF",G206)))</formula>
    </cfRule>
  </conditionalFormatting>
  <conditionalFormatting sqref="S206">
    <cfRule type="containsText" dxfId="3" priority="2091" operator="between" text="OFF">
      <formula>NOT(ISERROR(SEARCH("OFF",S206)))</formula>
    </cfRule>
    <cfRule type="containsText" dxfId="4" priority="2092" operator="between" text="OFF">
      <formula>NOT(ISERROR(SEARCH("OFF",S206)))</formula>
    </cfRule>
    <cfRule type="containsText" dxfId="5" priority="2093" operator="between" text="S">
      <formula>NOT(ISERROR(SEARCH("S",S206)))</formula>
    </cfRule>
    <cfRule type="containsText" dxfId="6" priority="2094" operator="between" text="I">
      <formula>NOT(ISERROR(SEARCH("I",S206)))</formula>
    </cfRule>
    <cfRule type="containsText" dxfId="7" priority="2095" operator="between" text="A">
      <formula>NOT(ISERROR(SEARCH("A",S206)))</formula>
    </cfRule>
    <cfRule type="containsText" dxfId="8" priority="2096" operator="between" text="L">
      <formula>NOT(ISERROR(SEARCH("L",S206)))</formula>
    </cfRule>
    <cfRule type="containsText" dxfId="6" priority="2097" operator="between" text="A">
      <formula>NOT(ISERROR(SEARCH("A",S206)))</formula>
    </cfRule>
    <cfRule type="containsText" dxfId="7" priority="2098" operator="between" text="S">
      <formula>NOT(ISERROR(SEARCH("S",S206)))</formula>
    </cfRule>
    <cfRule type="containsText" dxfId="5" priority="2099" operator="between" text="OFF">
      <formula>NOT(ISERROR(SEARCH("OFF",S206)))</formula>
    </cfRule>
    <cfRule type="containsText" dxfId="7" priority="2100" operator="between" text="OFF">
      <formula>NOT(ISERROR(SEARCH("OFF",S206)))</formula>
    </cfRule>
  </conditionalFormatting>
  <conditionalFormatting sqref="W206">
    <cfRule type="containsText" dxfId="3" priority="401" operator="between" text="OFF">
      <formula>NOT(ISERROR(SEARCH("OFF",W206)))</formula>
    </cfRule>
    <cfRule type="containsText" dxfId="4" priority="402" operator="between" text="OFF">
      <formula>NOT(ISERROR(SEARCH("OFF",W206)))</formula>
    </cfRule>
    <cfRule type="containsText" dxfId="5" priority="403" operator="between" text="S">
      <formula>NOT(ISERROR(SEARCH("S",W206)))</formula>
    </cfRule>
    <cfRule type="containsText" dxfId="6" priority="404" operator="between" text="I">
      <formula>NOT(ISERROR(SEARCH("I",W206)))</formula>
    </cfRule>
    <cfRule type="containsText" dxfId="7" priority="405" operator="between" text="A">
      <formula>NOT(ISERROR(SEARCH("A",W206)))</formula>
    </cfRule>
    <cfRule type="containsText" dxfId="8" priority="406" operator="between" text="L">
      <formula>NOT(ISERROR(SEARCH("L",W206)))</formula>
    </cfRule>
    <cfRule type="containsText" dxfId="6" priority="407" operator="between" text="A">
      <formula>NOT(ISERROR(SEARCH("A",W206)))</formula>
    </cfRule>
    <cfRule type="containsText" dxfId="7" priority="408" operator="between" text="S">
      <formula>NOT(ISERROR(SEARCH("S",W206)))</formula>
    </cfRule>
    <cfRule type="containsText" dxfId="5" priority="409" operator="between" text="OFF">
      <formula>NOT(ISERROR(SEARCH("OFF",W206)))</formula>
    </cfRule>
    <cfRule type="containsText" dxfId="7" priority="410" operator="between" text="OFF">
      <formula>NOT(ISERROR(SEARCH("OFF",W206)))</formula>
    </cfRule>
  </conditionalFormatting>
  <conditionalFormatting sqref="K207">
    <cfRule type="containsText" dxfId="3" priority="2231" operator="between" text="OFF">
      <formula>NOT(ISERROR(SEARCH("OFF",K207)))</formula>
    </cfRule>
    <cfRule type="containsText" dxfId="4" priority="2232" operator="between" text="OFF">
      <formula>NOT(ISERROR(SEARCH("OFF",K207)))</formula>
    </cfRule>
    <cfRule type="containsText" dxfId="5" priority="2233" operator="between" text="S">
      <formula>NOT(ISERROR(SEARCH("S",K207)))</formula>
    </cfRule>
    <cfRule type="containsText" dxfId="6" priority="2234" operator="between" text="I">
      <formula>NOT(ISERROR(SEARCH("I",K207)))</formula>
    </cfRule>
    <cfRule type="containsText" dxfId="7" priority="2235" operator="between" text="A">
      <formula>NOT(ISERROR(SEARCH("A",K207)))</formula>
    </cfRule>
    <cfRule type="containsText" dxfId="8" priority="2236" operator="between" text="L">
      <formula>NOT(ISERROR(SEARCH("L",K207)))</formula>
    </cfRule>
    <cfRule type="containsText" dxfId="6" priority="2237" operator="between" text="A">
      <formula>NOT(ISERROR(SEARCH("A",K207)))</formula>
    </cfRule>
    <cfRule type="containsText" dxfId="7" priority="2238" operator="between" text="S">
      <formula>NOT(ISERROR(SEARCH("S",K207)))</formula>
    </cfRule>
    <cfRule type="containsText" dxfId="5" priority="2239" operator="between" text="OFF">
      <formula>NOT(ISERROR(SEARCH("OFF",K207)))</formula>
    </cfRule>
    <cfRule type="containsText" dxfId="7" priority="2240" operator="between" text="OFF">
      <formula>NOT(ISERROR(SEARCH("OFF",K207)))</formula>
    </cfRule>
  </conditionalFormatting>
  <conditionalFormatting sqref="Q207">
    <cfRule type="containsText" dxfId="3" priority="1371" operator="between" text="OFF">
      <formula>NOT(ISERROR(SEARCH("OFF",Q207)))</formula>
    </cfRule>
    <cfRule type="containsText" dxfId="4" priority="1372" operator="between" text="OFF">
      <formula>NOT(ISERROR(SEARCH("OFF",Q207)))</formula>
    </cfRule>
    <cfRule type="containsText" dxfId="5" priority="1373" operator="between" text="S">
      <formula>NOT(ISERROR(SEARCH("S",Q207)))</formula>
    </cfRule>
    <cfRule type="containsText" dxfId="6" priority="1374" operator="between" text="I">
      <formula>NOT(ISERROR(SEARCH("I",Q207)))</formula>
    </cfRule>
    <cfRule type="containsText" dxfId="7" priority="1375" operator="between" text="A">
      <formula>NOT(ISERROR(SEARCH("A",Q207)))</formula>
    </cfRule>
    <cfRule type="containsText" dxfId="8" priority="1376" operator="between" text="L">
      <formula>NOT(ISERROR(SEARCH("L",Q207)))</formula>
    </cfRule>
    <cfRule type="containsText" dxfId="6" priority="1377" operator="between" text="A">
      <formula>NOT(ISERROR(SEARCH("A",Q207)))</formula>
    </cfRule>
    <cfRule type="containsText" dxfId="7" priority="1378" operator="between" text="S">
      <formula>NOT(ISERROR(SEARCH("S",Q207)))</formula>
    </cfRule>
    <cfRule type="containsText" dxfId="5" priority="1379" operator="between" text="OFF">
      <formula>NOT(ISERROR(SEARCH("OFF",Q207)))</formula>
    </cfRule>
    <cfRule type="containsText" dxfId="7" priority="1380" operator="between" text="OFF">
      <formula>NOT(ISERROR(SEARCH("OFF",Q207)))</formula>
    </cfRule>
  </conditionalFormatting>
  <conditionalFormatting sqref="Z207">
    <cfRule type="containsText" dxfId="3" priority="281" operator="between" text="OFF">
      <formula>NOT(ISERROR(SEARCH("OFF",Z207)))</formula>
    </cfRule>
    <cfRule type="containsText" dxfId="4" priority="282" operator="between" text="OFF">
      <formula>NOT(ISERROR(SEARCH("OFF",Z207)))</formula>
    </cfRule>
    <cfRule type="containsText" dxfId="5" priority="283" operator="between" text="S">
      <formula>NOT(ISERROR(SEARCH("S",Z207)))</formula>
    </cfRule>
    <cfRule type="containsText" dxfId="6" priority="284" operator="between" text="I">
      <formula>NOT(ISERROR(SEARCH("I",Z207)))</formula>
    </cfRule>
    <cfRule type="containsText" dxfId="7" priority="285" operator="between" text="A">
      <formula>NOT(ISERROR(SEARCH("A",Z207)))</formula>
    </cfRule>
    <cfRule type="containsText" dxfId="8" priority="286" operator="between" text="L">
      <formula>NOT(ISERROR(SEARCH("L",Z207)))</formula>
    </cfRule>
    <cfRule type="containsText" dxfId="6" priority="287" operator="between" text="A">
      <formula>NOT(ISERROR(SEARCH("A",Z207)))</formula>
    </cfRule>
    <cfRule type="containsText" dxfId="7" priority="288" operator="between" text="S">
      <formula>NOT(ISERROR(SEARCH("S",Z207)))</formula>
    </cfRule>
    <cfRule type="containsText" dxfId="5" priority="289" operator="between" text="OFF">
      <formula>NOT(ISERROR(SEARCH("OFF",Z207)))</formula>
    </cfRule>
    <cfRule type="containsText" dxfId="7" priority="290" operator="between" text="OFF">
      <formula>NOT(ISERROR(SEARCH("OFF",Z207)))</formula>
    </cfRule>
  </conditionalFormatting>
  <conditionalFormatting sqref="I208">
    <cfRule type="containsText" dxfId="3" priority="2061" operator="between" text="OFF">
      <formula>NOT(ISERROR(SEARCH("OFF",I208)))</formula>
    </cfRule>
    <cfRule type="containsText" dxfId="4" priority="2062" operator="between" text="OFF">
      <formula>NOT(ISERROR(SEARCH("OFF",I208)))</formula>
    </cfRule>
    <cfRule type="containsText" dxfId="5" priority="2063" operator="between" text="S">
      <formula>NOT(ISERROR(SEARCH("S",I208)))</formula>
    </cfRule>
    <cfRule type="containsText" dxfId="6" priority="2064" operator="between" text="I">
      <formula>NOT(ISERROR(SEARCH("I",I208)))</formula>
    </cfRule>
    <cfRule type="containsText" dxfId="7" priority="2065" operator="between" text="A">
      <formula>NOT(ISERROR(SEARCH("A",I208)))</formula>
    </cfRule>
    <cfRule type="containsText" dxfId="8" priority="2066" operator="between" text="L">
      <formula>NOT(ISERROR(SEARCH("L",I208)))</formula>
    </cfRule>
    <cfRule type="containsText" dxfId="6" priority="2067" operator="between" text="A">
      <formula>NOT(ISERROR(SEARCH("A",I208)))</formula>
    </cfRule>
    <cfRule type="containsText" dxfId="7" priority="2068" operator="between" text="S">
      <formula>NOT(ISERROR(SEARCH("S",I208)))</formula>
    </cfRule>
    <cfRule type="containsText" dxfId="5" priority="2069" operator="between" text="OFF">
      <formula>NOT(ISERROR(SEARCH("OFF",I208)))</formula>
    </cfRule>
    <cfRule type="containsText" dxfId="7" priority="2070" operator="between" text="OFF">
      <formula>NOT(ISERROR(SEARCH("OFF",I208)))</formula>
    </cfRule>
  </conditionalFormatting>
  <conditionalFormatting sqref="O209">
    <cfRule type="containsText" dxfId="3" priority="1281" operator="between" text="OFF">
      <formula>NOT(ISERROR(SEARCH("OFF",O209)))</formula>
    </cfRule>
    <cfRule type="containsText" dxfId="4" priority="1282" operator="between" text="OFF">
      <formula>NOT(ISERROR(SEARCH("OFF",O209)))</formula>
    </cfRule>
    <cfRule type="containsText" dxfId="5" priority="1283" operator="between" text="S">
      <formula>NOT(ISERROR(SEARCH("S",O209)))</formula>
    </cfRule>
    <cfRule type="containsText" dxfId="6" priority="1284" operator="between" text="I">
      <formula>NOT(ISERROR(SEARCH("I",O209)))</formula>
    </cfRule>
    <cfRule type="containsText" dxfId="7" priority="1285" operator="between" text="A">
      <formula>NOT(ISERROR(SEARCH("A",O209)))</formula>
    </cfRule>
    <cfRule type="containsText" dxfId="8" priority="1286" operator="between" text="L">
      <formula>NOT(ISERROR(SEARCH("L",O209)))</formula>
    </cfRule>
    <cfRule type="containsText" dxfId="6" priority="1287" operator="between" text="A">
      <formula>NOT(ISERROR(SEARCH("A",O209)))</formula>
    </cfRule>
    <cfRule type="containsText" dxfId="7" priority="1288" operator="between" text="S">
      <formula>NOT(ISERROR(SEARCH("S",O209)))</formula>
    </cfRule>
    <cfRule type="containsText" dxfId="5" priority="1289" operator="between" text="OFF">
      <formula>NOT(ISERROR(SEARCH("OFF",O209)))</formula>
    </cfRule>
    <cfRule type="containsText" dxfId="7" priority="1290" operator="between" text="OFF">
      <formula>NOT(ISERROR(SEARCH("OFF",O209)))</formula>
    </cfRule>
  </conditionalFormatting>
  <conditionalFormatting sqref="AD209:AE209">
    <cfRule type="containsText" dxfId="3" priority="191" operator="between" text="OFF">
      <formula>NOT(ISERROR(SEARCH("OFF",AD209)))</formula>
    </cfRule>
    <cfRule type="containsText" dxfId="4" priority="192" operator="between" text="OFF">
      <formula>NOT(ISERROR(SEARCH("OFF",AD209)))</formula>
    </cfRule>
    <cfRule type="containsText" dxfId="5" priority="193" operator="between" text="S">
      <formula>NOT(ISERROR(SEARCH("S",AD209)))</formula>
    </cfRule>
    <cfRule type="containsText" dxfId="6" priority="194" operator="between" text="I">
      <formula>NOT(ISERROR(SEARCH("I",AD209)))</formula>
    </cfRule>
    <cfRule type="containsText" dxfId="7" priority="195" operator="between" text="A">
      <formula>NOT(ISERROR(SEARCH("A",AD209)))</formula>
    </cfRule>
    <cfRule type="containsText" dxfId="8" priority="196" operator="between" text="L">
      <formula>NOT(ISERROR(SEARCH("L",AD209)))</formula>
    </cfRule>
    <cfRule type="containsText" dxfId="6" priority="197" operator="between" text="A">
      <formula>NOT(ISERROR(SEARCH("A",AD209)))</formula>
    </cfRule>
    <cfRule type="containsText" dxfId="7" priority="198" operator="between" text="S">
      <formula>NOT(ISERROR(SEARCH("S",AD209)))</formula>
    </cfRule>
    <cfRule type="containsText" dxfId="5" priority="199" operator="between" text="OFF">
      <formula>NOT(ISERROR(SEARCH("OFF",AD209)))</formula>
    </cfRule>
    <cfRule type="containsText" dxfId="7" priority="200" operator="between" text="OFF">
      <formula>NOT(ISERROR(SEARCH("OFF",AD209)))</formula>
    </cfRule>
  </conditionalFormatting>
  <conditionalFormatting sqref="U210">
    <cfRule type="containsText" dxfId="3" priority="1961" operator="between" text="OFF">
      <formula>NOT(ISERROR(SEARCH("OFF",U210)))</formula>
    </cfRule>
    <cfRule type="containsText" dxfId="4" priority="1962" operator="between" text="OFF">
      <formula>NOT(ISERROR(SEARCH("OFF",U210)))</formula>
    </cfRule>
    <cfRule type="containsText" dxfId="5" priority="1963" operator="between" text="S">
      <formula>NOT(ISERROR(SEARCH("S",U210)))</formula>
    </cfRule>
    <cfRule type="containsText" dxfId="6" priority="1964" operator="between" text="I">
      <formula>NOT(ISERROR(SEARCH("I",U210)))</formula>
    </cfRule>
    <cfRule type="containsText" dxfId="7" priority="1965" operator="between" text="A">
      <formula>NOT(ISERROR(SEARCH("A",U210)))</formula>
    </cfRule>
    <cfRule type="containsText" dxfId="8" priority="1966" operator="between" text="L">
      <formula>NOT(ISERROR(SEARCH("L",U210)))</formula>
    </cfRule>
    <cfRule type="containsText" dxfId="6" priority="1967" operator="between" text="A">
      <formula>NOT(ISERROR(SEARCH("A",U210)))</formula>
    </cfRule>
    <cfRule type="containsText" dxfId="7" priority="1968" operator="between" text="S">
      <formula>NOT(ISERROR(SEARCH("S",U210)))</formula>
    </cfRule>
    <cfRule type="containsText" dxfId="5" priority="1969" operator="between" text="OFF">
      <formula>NOT(ISERROR(SEARCH("OFF",U210)))</formula>
    </cfRule>
    <cfRule type="containsText" dxfId="7" priority="1970" operator="between" text="OFF">
      <formula>NOT(ISERROR(SEARCH("OFF",U210)))</formula>
    </cfRule>
  </conditionalFormatting>
  <conditionalFormatting sqref="W210">
    <cfRule type="containsText" dxfId="3" priority="1881" operator="between" text="OFF">
      <formula>NOT(ISERROR(SEARCH("OFF",W210)))</formula>
    </cfRule>
    <cfRule type="containsText" dxfId="4" priority="1882" operator="between" text="OFF">
      <formula>NOT(ISERROR(SEARCH("OFF",W210)))</formula>
    </cfRule>
    <cfRule type="containsText" dxfId="5" priority="1883" operator="between" text="S">
      <formula>NOT(ISERROR(SEARCH("S",W210)))</formula>
    </cfRule>
    <cfRule type="containsText" dxfId="6" priority="1884" operator="between" text="I">
      <formula>NOT(ISERROR(SEARCH("I",W210)))</formula>
    </cfRule>
    <cfRule type="containsText" dxfId="7" priority="1885" operator="between" text="A">
      <formula>NOT(ISERROR(SEARCH("A",W210)))</formula>
    </cfRule>
    <cfRule type="containsText" dxfId="8" priority="1886" operator="between" text="L">
      <formula>NOT(ISERROR(SEARCH("L",W210)))</formula>
    </cfRule>
    <cfRule type="containsText" dxfId="6" priority="1887" operator="between" text="A">
      <formula>NOT(ISERROR(SEARCH("A",W210)))</formula>
    </cfRule>
    <cfRule type="containsText" dxfId="7" priority="1888" operator="between" text="S">
      <formula>NOT(ISERROR(SEARCH("S",W210)))</formula>
    </cfRule>
    <cfRule type="containsText" dxfId="5" priority="1889" operator="between" text="OFF">
      <formula>NOT(ISERROR(SEARCH("OFF",W210)))</formula>
    </cfRule>
    <cfRule type="containsText" dxfId="7" priority="1890" operator="between" text="OFF">
      <formula>NOT(ISERROR(SEARCH("OFF",W210)))</formula>
    </cfRule>
  </conditionalFormatting>
  <conditionalFormatting sqref="AS210">
    <cfRule type="containsText" dxfId="3" priority="1971" operator="between" text="OFF">
      <formula>NOT(ISERROR(SEARCH("OFF",AS210)))</formula>
    </cfRule>
    <cfRule type="containsText" dxfId="4" priority="1972" operator="between" text="OFF">
      <formula>NOT(ISERROR(SEARCH("OFF",AS210)))</formula>
    </cfRule>
    <cfRule type="containsText" dxfId="5" priority="1973" operator="between" text="S">
      <formula>NOT(ISERROR(SEARCH("S",AS210)))</formula>
    </cfRule>
    <cfRule type="containsText" dxfId="6" priority="1974" operator="between" text="I">
      <formula>NOT(ISERROR(SEARCH("I",AS210)))</formula>
    </cfRule>
    <cfRule type="containsText" dxfId="7" priority="1975" operator="between" text="A">
      <formula>NOT(ISERROR(SEARCH("A",AS210)))</formula>
    </cfRule>
    <cfRule type="containsText" dxfId="8" priority="1976" operator="between" text="L">
      <formula>NOT(ISERROR(SEARCH("L",AS210)))</formula>
    </cfRule>
    <cfRule type="containsText" dxfId="6" priority="1977" operator="between" text="A">
      <formula>NOT(ISERROR(SEARCH("A",AS210)))</formula>
    </cfRule>
    <cfRule type="containsText" dxfId="7" priority="1978" operator="between" text="S">
      <formula>NOT(ISERROR(SEARCH("S",AS210)))</formula>
    </cfRule>
    <cfRule type="containsText" dxfId="5" priority="1979" operator="between" text="OFF">
      <formula>NOT(ISERROR(SEARCH("OFF",AS210)))</formula>
    </cfRule>
    <cfRule type="containsText" dxfId="7" priority="1980" operator="between" text="OFF">
      <formula>NOT(ISERROR(SEARCH("OFF",AS210)))</formula>
    </cfRule>
  </conditionalFormatting>
  <conditionalFormatting sqref="H211">
    <cfRule type="containsText" dxfId="3" priority="1581" operator="between" text="OFF">
      <formula>NOT(ISERROR(SEARCH("OFF",H211)))</formula>
    </cfRule>
    <cfRule type="containsText" dxfId="4" priority="1582" operator="between" text="OFF">
      <formula>NOT(ISERROR(SEARCH("OFF",H211)))</formula>
    </cfRule>
    <cfRule type="containsText" dxfId="5" priority="1583" operator="between" text="S">
      <formula>NOT(ISERROR(SEARCH("S",H211)))</formula>
    </cfRule>
    <cfRule type="containsText" dxfId="6" priority="1584" operator="between" text="I">
      <formula>NOT(ISERROR(SEARCH("I",H211)))</formula>
    </cfRule>
    <cfRule type="containsText" dxfId="7" priority="1585" operator="between" text="A">
      <formula>NOT(ISERROR(SEARCH("A",H211)))</formula>
    </cfRule>
    <cfRule type="containsText" dxfId="8" priority="1586" operator="between" text="L">
      <formula>NOT(ISERROR(SEARCH("L",H211)))</formula>
    </cfRule>
    <cfRule type="containsText" dxfId="6" priority="1587" operator="between" text="A">
      <formula>NOT(ISERROR(SEARCH("A",H211)))</formula>
    </cfRule>
    <cfRule type="containsText" dxfId="7" priority="1588" operator="between" text="S">
      <formula>NOT(ISERROR(SEARCH("S",H211)))</formula>
    </cfRule>
    <cfRule type="containsText" dxfId="5" priority="1589" operator="between" text="OFF">
      <formula>NOT(ISERROR(SEARCH("OFF",H211)))</formula>
    </cfRule>
    <cfRule type="containsText" dxfId="7" priority="1590" operator="between" text="OFF">
      <formula>NOT(ISERROR(SEARCH("OFF",H211)))</formula>
    </cfRule>
  </conditionalFormatting>
  <conditionalFormatting sqref="T211">
    <cfRule type="containsText" dxfId="3" priority="451" operator="between" text="OFF">
      <formula>NOT(ISERROR(SEARCH("OFF",T211)))</formula>
    </cfRule>
    <cfRule type="containsText" dxfId="4" priority="452" operator="between" text="OFF">
      <formula>NOT(ISERROR(SEARCH("OFF",T211)))</formula>
    </cfRule>
    <cfRule type="containsText" dxfId="5" priority="453" operator="between" text="S">
      <formula>NOT(ISERROR(SEARCH("S",T211)))</formula>
    </cfRule>
    <cfRule type="containsText" dxfId="6" priority="454" operator="between" text="I">
      <formula>NOT(ISERROR(SEARCH("I",T211)))</formula>
    </cfRule>
    <cfRule type="containsText" dxfId="7" priority="455" operator="between" text="A">
      <formula>NOT(ISERROR(SEARCH("A",T211)))</formula>
    </cfRule>
    <cfRule type="containsText" dxfId="8" priority="456" operator="between" text="L">
      <formula>NOT(ISERROR(SEARCH("L",T211)))</formula>
    </cfRule>
    <cfRule type="containsText" dxfId="6" priority="457" operator="between" text="A">
      <formula>NOT(ISERROR(SEARCH("A",T211)))</formula>
    </cfRule>
    <cfRule type="containsText" dxfId="7" priority="458" operator="between" text="S">
      <formula>NOT(ISERROR(SEARCH("S",T211)))</formula>
    </cfRule>
    <cfRule type="containsText" dxfId="5" priority="459" operator="between" text="OFF">
      <formula>NOT(ISERROR(SEARCH("OFF",T211)))</formula>
    </cfRule>
    <cfRule type="containsText" dxfId="7" priority="460" operator="between" text="OFF">
      <formula>NOT(ISERROR(SEARCH("OFF",T211)))</formula>
    </cfRule>
  </conditionalFormatting>
  <conditionalFormatting sqref="AB211">
    <cfRule type="containsText" dxfId="3" priority="1801" operator="between" text="OFF">
      <formula>NOT(ISERROR(SEARCH("OFF",AB211)))</formula>
    </cfRule>
    <cfRule type="containsText" dxfId="4" priority="1802" operator="between" text="OFF">
      <formula>NOT(ISERROR(SEARCH("OFF",AB211)))</formula>
    </cfRule>
    <cfRule type="containsText" dxfId="5" priority="1803" operator="between" text="S">
      <formula>NOT(ISERROR(SEARCH("S",AB211)))</formula>
    </cfRule>
    <cfRule type="containsText" dxfId="6" priority="1804" operator="between" text="I">
      <formula>NOT(ISERROR(SEARCH("I",AB211)))</formula>
    </cfRule>
    <cfRule type="containsText" dxfId="7" priority="1805" operator="between" text="A">
      <formula>NOT(ISERROR(SEARCH("A",AB211)))</formula>
    </cfRule>
    <cfRule type="containsText" dxfId="8" priority="1806" operator="between" text="L">
      <formula>NOT(ISERROR(SEARCH("L",AB211)))</formula>
    </cfRule>
    <cfRule type="containsText" dxfId="6" priority="1807" operator="between" text="A">
      <formula>NOT(ISERROR(SEARCH("A",AB211)))</formula>
    </cfRule>
    <cfRule type="containsText" dxfId="7" priority="1808" operator="between" text="S">
      <formula>NOT(ISERROR(SEARCH("S",AB211)))</formula>
    </cfRule>
    <cfRule type="containsText" dxfId="5" priority="1809" operator="between" text="OFF">
      <formula>NOT(ISERROR(SEARCH("OFF",AB211)))</formula>
    </cfRule>
    <cfRule type="containsText" dxfId="7" priority="1810" operator="between" text="OFF">
      <formula>NOT(ISERROR(SEARCH("OFF",AB211)))</formula>
    </cfRule>
  </conditionalFormatting>
  <conditionalFormatting sqref="AL211:AM211">
    <cfRule type="containsText" dxfId="3" priority="1" operator="between" text="OFF">
      <formula>NOT(ISERROR(SEARCH("OFF",AL211)))</formula>
    </cfRule>
    <cfRule type="containsText" dxfId="4" priority="2" operator="between" text="OFF">
      <formula>NOT(ISERROR(SEARCH("OFF",AL211)))</formula>
    </cfRule>
    <cfRule type="containsText" dxfId="5" priority="3" operator="between" text="S">
      <formula>NOT(ISERROR(SEARCH("S",AL211)))</formula>
    </cfRule>
    <cfRule type="containsText" dxfId="6" priority="4" operator="between" text="I">
      <formula>NOT(ISERROR(SEARCH("I",AL211)))</formula>
    </cfRule>
    <cfRule type="containsText" dxfId="7" priority="5" operator="between" text="A">
      <formula>NOT(ISERROR(SEARCH("A",AL211)))</formula>
    </cfRule>
    <cfRule type="containsText" dxfId="8" priority="6" operator="between" text="L">
      <formula>NOT(ISERROR(SEARCH("L",AL211)))</formula>
    </cfRule>
    <cfRule type="containsText" dxfId="6" priority="7" operator="between" text="A">
      <formula>NOT(ISERROR(SEARCH("A",AL211)))</formula>
    </cfRule>
    <cfRule type="containsText" dxfId="7" priority="8" operator="between" text="S">
      <formula>NOT(ISERROR(SEARCH("S",AL211)))</formula>
    </cfRule>
    <cfRule type="containsText" dxfId="5" priority="9" operator="between" text="OFF">
      <formula>NOT(ISERROR(SEARCH("OFF",AL211)))</formula>
    </cfRule>
    <cfRule type="containsText" dxfId="7" priority="10" operator="between" text="OFF">
      <formula>NOT(ISERROR(SEARCH("OFF",AL211)))</formula>
    </cfRule>
  </conditionalFormatting>
  <conditionalFormatting sqref="E212">
    <cfRule type="containsText" dxfId="3" priority="1521" operator="between" text="OFF">
      <formula>NOT(ISERROR(SEARCH("OFF",E212)))</formula>
    </cfRule>
    <cfRule type="containsText" dxfId="4" priority="1522" operator="between" text="OFF">
      <formula>NOT(ISERROR(SEARCH("OFF",E212)))</formula>
    </cfRule>
    <cfRule type="containsText" dxfId="5" priority="1523" operator="between" text="S">
      <formula>NOT(ISERROR(SEARCH("S",E212)))</formula>
    </cfRule>
    <cfRule type="containsText" dxfId="6" priority="1524" operator="between" text="I">
      <formula>NOT(ISERROR(SEARCH("I",E212)))</formula>
    </cfRule>
    <cfRule type="containsText" dxfId="7" priority="1525" operator="between" text="A">
      <formula>NOT(ISERROR(SEARCH("A",E212)))</formula>
    </cfRule>
    <cfRule type="containsText" dxfId="8" priority="1526" operator="between" text="L">
      <formula>NOT(ISERROR(SEARCH("L",E212)))</formula>
    </cfRule>
    <cfRule type="containsText" dxfId="6" priority="1527" operator="between" text="A">
      <formula>NOT(ISERROR(SEARCH("A",E212)))</formula>
    </cfRule>
    <cfRule type="containsText" dxfId="7" priority="1528" operator="between" text="S">
      <formula>NOT(ISERROR(SEARCH("S",E212)))</formula>
    </cfRule>
    <cfRule type="containsText" dxfId="5" priority="1529" operator="between" text="OFF">
      <formula>NOT(ISERROR(SEARCH("OFF",E212)))</formula>
    </cfRule>
    <cfRule type="containsText" dxfId="7" priority="1530" operator="between" text="OFF">
      <formula>NOT(ISERROR(SEARCH("OFF",E212)))</formula>
    </cfRule>
  </conditionalFormatting>
  <conditionalFormatting sqref="J212:L212">
    <cfRule type="containsText" dxfId="3" priority="1411" operator="between" text="OFF">
      <formula>NOT(ISERROR(SEARCH("OFF",J212)))</formula>
    </cfRule>
    <cfRule type="containsText" dxfId="4" priority="1412" operator="between" text="OFF">
      <formula>NOT(ISERROR(SEARCH("OFF",J212)))</formula>
    </cfRule>
    <cfRule type="containsText" dxfId="5" priority="1413" operator="between" text="S">
      <formula>NOT(ISERROR(SEARCH("S",J212)))</formula>
    </cfRule>
    <cfRule type="containsText" dxfId="6" priority="1414" operator="between" text="I">
      <formula>NOT(ISERROR(SEARCH("I",J212)))</formula>
    </cfRule>
    <cfRule type="containsText" dxfId="7" priority="1415" operator="between" text="A">
      <formula>NOT(ISERROR(SEARCH("A",J212)))</formula>
    </cfRule>
    <cfRule type="containsText" dxfId="8" priority="1416" operator="between" text="L">
      <formula>NOT(ISERROR(SEARCH("L",J212)))</formula>
    </cfRule>
    <cfRule type="containsText" dxfId="6" priority="1417" operator="between" text="A">
      <formula>NOT(ISERROR(SEARCH("A",J212)))</formula>
    </cfRule>
    <cfRule type="containsText" dxfId="7" priority="1418" operator="between" text="S">
      <formula>NOT(ISERROR(SEARCH("S",J212)))</formula>
    </cfRule>
    <cfRule type="containsText" dxfId="5" priority="1419" operator="between" text="OFF">
      <formula>NOT(ISERROR(SEARCH("OFF",J212)))</formula>
    </cfRule>
    <cfRule type="containsText" dxfId="7" priority="1420" operator="between" text="OFF">
      <formula>NOT(ISERROR(SEARCH("OFF",J212)))</formula>
    </cfRule>
  </conditionalFormatting>
  <conditionalFormatting sqref="R212">
    <cfRule type="containsText" dxfId="3" priority="551" operator="between" text="OFF">
      <formula>NOT(ISERROR(SEARCH("OFF",R212)))</formula>
    </cfRule>
    <cfRule type="containsText" dxfId="4" priority="552" operator="between" text="OFF">
      <formula>NOT(ISERROR(SEARCH("OFF",R212)))</formula>
    </cfRule>
    <cfRule type="containsText" dxfId="5" priority="553" operator="between" text="S">
      <formula>NOT(ISERROR(SEARCH("S",R212)))</formula>
    </cfRule>
    <cfRule type="containsText" dxfId="6" priority="554" operator="between" text="I">
      <formula>NOT(ISERROR(SEARCH("I",R212)))</formula>
    </cfRule>
    <cfRule type="containsText" dxfId="7" priority="555" operator="between" text="A">
      <formula>NOT(ISERROR(SEARCH("A",R212)))</formula>
    </cfRule>
    <cfRule type="containsText" dxfId="8" priority="556" operator="between" text="L">
      <formula>NOT(ISERROR(SEARCH("L",R212)))</formula>
    </cfRule>
    <cfRule type="containsText" dxfId="6" priority="557" operator="between" text="A">
      <formula>NOT(ISERROR(SEARCH("A",R212)))</formula>
    </cfRule>
    <cfRule type="containsText" dxfId="7" priority="558" operator="between" text="S">
      <formula>NOT(ISERROR(SEARCH("S",R212)))</formula>
    </cfRule>
    <cfRule type="containsText" dxfId="5" priority="559" operator="between" text="OFF">
      <formula>NOT(ISERROR(SEARCH("OFF",R212)))</formula>
    </cfRule>
    <cfRule type="containsText" dxfId="7" priority="560" operator="between" text="OFF">
      <formula>NOT(ISERROR(SEARCH("OFF",R212)))</formula>
    </cfRule>
  </conditionalFormatting>
  <conditionalFormatting sqref="G213">
    <cfRule type="containsText" dxfId="3" priority="1511" operator="between" text="OFF">
      <formula>NOT(ISERROR(SEARCH("OFF",G213)))</formula>
    </cfRule>
    <cfRule type="containsText" dxfId="4" priority="1512" operator="between" text="OFF">
      <formula>NOT(ISERROR(SEARCH("OFF",G213)))</formula>
    </cfRule>
    <cfRule type="containsText" dxfId="5" priority="1513" operator="between" text="S">
      <formula>NOT(ISERROR(SEARCH("S",G213)))</formula>
    </cfRule>
    <cfRule type="containsText" dxfId="6" priority="1514" operator="between" text="I">
      <formula>NOT(ISERROR(SEARCH("I",G213)))</formula>
    </cfRule>
    <cfRule type="containsText" dxfId="7" priority="1515" operator="between" text="A">
      <formula>NOT(ISERROR(SEARCH("A",G213)))</formula>
    </cfRule>
    <cfRule type="containsText" dxfId="8" priority="1516" operator="between" text="L">
      <formula>NOT(ISERROR(SEARCH("L",G213)))</formula>
    </cfRule>
    <cfRule type="containsText" dxfId="6" priority="1517" operator="between" text="A">
      <formula>NOT(ISERROR(SEARCH("A",G213)))</formula>
    </cfRule>
    <cfRule type="containsText" dxfId="7" priority="1518" operator="between" text="S">
      <formula>NOT(ISERROR(SEARCH("S",G213)))</formula>
    </cfRule>
    <cfRule type="containsText" dxfId="5" priority="1519" operator="between" text="OFF">
      <formula>NOT(ISERROR(SEARCH("OFF",G213)))</formula>
    </cfRule>
    <cfRule type="containsText" dxfId="7" priority="1520" operator="between" text="OFF">
      <formula>NOT(ISERROR(SEARCH("OFF",G213)))</formula>
    </cfRule>
  </conditionalFormatting>
  <conditionalFormatting sqref="AK213:AM213">
    <cfRule type="containsText" dxfId="3" priority="21" operator="between" text="OFF">
      <formula>NOT(ISERROR(SEARCH("OFF",AK213)))</formula>
    </cfRule>
    <cfRule type="containsText" dxfId="4" priority="22" operator="between" text="OFF">
      <formula>NOT(ISERROR(SEARCH("OFF",AK213)))</formula>
    </cfRule>
    <cfRule type="containsText" dxfId="5" priority="23" operator="between" text="S">
      <formula>NOT(ISERROR(SEARCH("S",AK213)))</formula>
    </cfRule>
    <cfRule type="containsText" dxfId="6" priority="24" operator="between" text="I">
      <formula>NOT(ISERROR(SEARCH("I",AK213)))</formula>
    </cfRule>
    <cfRule type="containsText" dxfId="7" priority="25" operator="between" text="A">
      <formula>NOT(ISERROR(SEARCH("A",AK213)))</formula>
    </cfRule>
    <cfRule type="containsText" dxfId="8" priority="26" operator="between" text="L">
      <formula>NOT(ISERROR(SEARCH("L",AK213)))</formula>
    </cfRule>
    <cfRule type="containsText" dxfId="6" priority="27" operator="between" text="A">
      <formula>NOT(ISERROR(SEARCH("A",AK213)))</formula>
    </cfRule>
    <cfRule type="containsText" dxfId="7" priority="28" operator="between" text="S">
      <formula>NOT(ISERROR(SEARCH("S",AK213)))</formula>
    </cfRule>
    <cfRule type="containsText" dxfId="5" priority="29" operator="between" text="OFF">
      <formula>NOT(ISERROR(SEARCH("OFF",AK213)))</formula>
    </cfRule>
    <cfRule type="containsText" dxfId="7" priority="30" operator="between" text="OFF">
      <formula>NOT(ISERROR(SEARCH("OFF",AK213)))</formula>
    </cfRule>
  </conditionalFormatting>
  <conditionalFormatting sqref="I214:K214">
    <cfRule type="containsText" dxfId="3" priority="1451" operator="between" text="OFF">
      <formula>NOT(ISERROR(SEARCH("OFF",I214)))</formula>
    </cfRule>
    <cfRule type="containsText" dxfId="4" priority="1452" operator="between" text="OFF">
      <formula>NOT(ISERROR(SEARCH("OFF",I214)))</formula>
    </cfRule>
    <cfRule type="containsText" dxfId="5" priority="1453" operator="between" text="S">
      <formula>NOT(ISERROR(SEARCH("S",I214)))</formula>
    </cfRule>
    <cfRule type="containsText" dxfId="6" priority="1454" operator="between" text="I">
      <formula>NOT(ISERROR(SEARCH("I",I214)))</formula>
    </cfRule>
    <cfRule type="containsText" dxfId="7" priority="1455" operator="between" text="A">
      <formula>NOT(ISERROR(SEARCH("A",I214)))</formula>
    </cfRule>
    <cfRule type="containsText" dxfId="8" priority="1456" operator="between" text="L">
      <formula>NOT(ISERROR(SEARCH("L",I214)))</formula>
    </cfRule>
    <cfRule type="containsText" dxfId="6" priority="1457" operator="between" text="A">
      <formula>NOT(ISERROR(SEARCH("A",I214)))</formula>
    </cfRule>
    <cfRule type="containsText" dxfId="7" priority="1458" operator="between" text="S">
      <formula>NOT(ISERROR(SEARCH("S",I214)))</formula>
    </cfRule>
    <cfRule type="containsText" dxfId="5" priority="1459" operator="between" text="OFF">
      <formula>NOT(ISERROR(SEARCH("OFF",I214)))</formula>
    </cfRule>
    <cfRule type="containsText" dxfId="7" priority="1460" operator="between" text="OFF">
      <formula>NOT(ISERROR(SEARCH("OFF",I214)))</formula>
    </cfRule>
  </conditionalFormatting>
  <conditionalFormatting sqref="Q214:S214">
    <cfRule type="containsText" dxfId="3" priority="501" operator="between" text="OFF">
      <formula>NOT(ISERROR(SEARCH("OFF",Q214)))</formula>
    </cfRule>
    <cfRule type="containsText" dxfId="4" priority="502" operator="between" text="OFF">
      <formula>NOT(ISERROR(SEARCH("OFF",Q214)))</formula>
    </cfRule>
    <cfRule type="containsText" dxfId="5" priority="503" operator="between" text="S">
      <formula>NOT(ISERROR(SEARCH("S",Q214)))</formula>
    </cfRule>
    <cfRule type="containsText" dxfId="6" priority="504" operator="between" text="I">
      <formula>NOT(ISERROR(SEARCH("I",Q214)))</formula>
    </cfRule>
    <cfRule type="containsText" dxfId="7" priority="505" operator="between" text="A">
      <formula>NOT(ISERROR(SEARCH("A",Q214)))</formula>
    </cfRule>
    <cfRule type="containsText" dxfId="8" priority="506" operator="between" text="L">
      <formula>NOT(ISERROR(SEARCH("L",Q214)))</formula>
    </cfRule>
    <cfRule type="containsText" dxfId="6" priority="507" operator="between" text="A">
      <formula>NOT(ISERROR(SEARCH("A",Q214)))</formula>
    </cfRule>
    <cfRule type="containsText" dxfId="7" priority="508" operator="between" text="S">
      <formula>NOT(ISERROR(SEARCH("S",Q214)))</formula>
    </cfRule>
    <cfRule type="containsText" dxfId="5" priority="509" operator="between" text="OFF">
      <formula>NOT(ISERROR(SEARCH("OFF",Q214)))</formula>
    </cfRule>
    <cfRule type="containsText" dxfId="7" priority="510" operator="between" text="OFF">
      <formula>NOT(ISERROR(SEARCH("OFF",Q214)))</formula>
    </cfRule>
  </conditionalFormatting>
  <conditionalFormatting sqref="V214:Y214">
    <cfRule type="containsText" dxfId="3" priority="861" operator="between" text="OFF">
      <formula>NOT(ISERROR(SEARCH("OFF",V214)))</formula>
    </cfRule>
    <cfRule type="containsText" dxfId="4" priority="862" operator="between" text="OFF">
      <formula>NOT(ISERROR(SEARCH("OFF",V214)))</formula>
    </cfRule>
    <cfRule type="containsText" dxfId="5" priority="863" operator="between" text="S">
      <formula>NOT(ISERROR(SEARCH("S",V214)))</formula>
    </cfRule>
    <cfRule type="containsText" dxfId="6" priority="864" operator="between" text="I">
      <formula>NOT(ISERROR(SEARCH("I",V214)))</formula>
    </cfRule>
    <cfRule type="containsText" dxfId="7" priority="865" operator="between" text="A">
      <formula>NOT(ISERROR(SEARCH("A",V214)))</formula>
    </cfRule>
    <cfRule type="containsText" dxfId="8" priority="866" operator="between" text="L">
      <formula>NOT(ISERROR(SEARCH("L",V214)))</formula>
    </cfRule>
    <cfRule type="containsText" dxfId="6" priority="867" operator="between" text="A">
      <formula>NOT(ISERROR(SEARCH("A",V214)))</formula>
    </cfRule>
    <cfRule type="containsText" dxfId="7" priority="868" operator="between" text="S">
      <formula>NOT(ISERROR(SEARCH("S",V214)))</formula>
    </cfRule>
    <cfRule type="containsText" dxfId="5" priority="869" operator="between" text="OFF">
      <formula>NOT(ISERROR(SEARCH("OFF",V214)))</formula>
    </cfRule>
    <cfRule type="containsText" dxfId="7" priority="870" operator="between" text="OFF">
      <formula>NOT(ISERROR(SEARCH("OFF",V214)))</formula>
    </cfRule>
  </conditionalFormatting>
  <conditionalFormatting sqref="AA214">
    <cfRule type="containsText" dxfId="3" priority="271" operator="between" text="OFF">
      <formula>NOT(ISERROR(SEARCH("OFF",AA214)))</formula>
    </cfRule>
    <cfRule type="containsText" dxfId="4" priority="272" operator="between" text="OFF">
      <formula>NOT(ISERROR(SEARCH("OFF",AA214)))</formula>
    </cfRule>
    <cfRule type="containsText" dxfId="5" priority="273" operator="between" text="S">
      <formula>NOT(ISERROR(SEARCH("S",AA214)))</formula>
    </cfRule>
    <cfRule type="containsText" dxfId="6" priority="274" operator="between" text="I">
      <formula>NOT(ISERROR(SEARCH("I",AA214)))</formula>
    </cfRule>
    <cfRule type="containsText" dxfId="7" priority="275" operator="between" text="A">
      <formula>NOT(ISERROR(SEARCH("A",AA214)))</formula>
    </cfRule>
    <cfRule type="containsText" dxfId="8" priority="276" operator="between" text="L">
      <formula>NOT(ISERROR(SEARCH("L",AA214)))</formula>
    </cfRule>
    <cfRule type="containsText" dxfId="6" priority="277" operator="between" text="A">
      <formula>NOT(ISERROR(SEARCH("A",AA214)))</formula>
    </cfRule>
    <cfRule type="containsText" dxfId="7" priority="278" operator="between" text="S">
      <formula>NOT(ISERROR(SEARCH("S",AA214)))</formula>
    </cfRule>
    <cfRule type="containsText" dxfId="5" priority="279" operator="between" text="OFF">
      <formula>NOT(ISERROR(SEARCH("OFF",AA214)))</formula>
    </cfRule>
    <cfRule type="containsText" dxfId="7" priority="280" operator="between" text="OFF">
      <formula>NOT(ISERROR(SEARCH("OFF",AA214)))</formula>
    </cfRule>
  </conditionalFormatting>
  <conditionalFormatting sqref="AC214:AE214">
    <cfRule type="containsText" dxfId="3" priority="221" operator="between" text="OFF">
      <formula>NOT(ISERROR(SEARCH("OFF",AC214)))</formula>
    </cfRule>
    <cfRule type="containsText" dxfId="4" priority="222" operator="between" text="OFF">
      <formula>NOT(ISERROR(SEARCH("OFF",AC214)))</formula>
    </cfRule>
    <cfRule type="containsText" dxfId="5" priority="223" operator="between" text="S">
      <formula>NOT(ISERROR(SEARCH("S",AC214)))</formula>
    </cfRule>
    <cfRule type="containsText" dxfId="6" priority="224" operator="between" text="I">
      <formula>NOT(ISERROR(SEARCH("I",AC214)))</formula>
    </cfRule>
    <cfRule type="containsText" dxfId="7" priority="225" operator="between" text="A">
      <formula>NOT(ISERROR(SEARCH("A",AC214)))</formula>
    </cfRule>
    <cfRule type="containsText" dxfId="8" priority="226" operator="between" text="L">
      <formula>NOT(ISERROR(SEARCH("L",AC214)))</formula>
    </cfRule>
    <cfRule type="containsText" dxfId="6" priority="227" operator="between" text="A">
      <formula>NOT(ISERROR(SEARCH("A",AC214)))</formula>
    </cfRule>
    <cfRule type="containsText" dxfId="7" priority="228" operator="between" text="S">
      <formula>NOT(ISERROR(SEARCH("S",AC214)))</formula>
    </cfRule>
    <cfRule type="containsText" dxfId="5" priority="229" operator="between" text="OFF">
      <formula>NOT(ISERROR(SEARCH("OFF",AC214)))</formula>
    </cfRule>
    <cfRule type="containsText" dxfId="7" priority="230" operator="between" text="OFF">
      <formula>NOT(ISERROR(SEARCH("OFF",AC214)))</formula>
    </cfRule>
  </conditionalFormatting>
  <conditionalFormatting sqref="L215">
    <cfRule type="containsText" dxfId="3" priority="1441" operator="between" text="OFF">
      <formula>NOT(ISERROR(SEARCH("OFF",L215)))</formula>
    </cfRule>
    <cfRule type="containsText" dxfId="4" priority="1442" operator="between" text="OFF">
      <formula>NOT(ISERROR(SEARCH("OFF",L215)))</formula>
    </cfRule>
    <cfRule type="containsText" dxfId="5" priority="1443" operator="between" text="S">
      <formula>NOT(ISERROR(SEARCH("S",L215)))</formula>
    </cfRule>
    <cfRule type="containsText" dxfId="6" priority="1444" operator="between" text="I">
      <formula>NOT(ISERROR(SEARCH("I",L215)))</formula>
    </cfRule>
    <cfRule type="containsText" dxfId="7" priority="1445" operator="between" text="A">
      <formula>NOT(ISERROR(SEARCH("A",L215)))</formula>
    </cfRule>
    <cfRule type="containsText" dxfId="8" priority="1446" operator="between" text="L">
      <formula>NOT(ISERROR(SEARCH("L",L215)))</formula>
    </cfRule>
    <cfRule type="containsText" dxfId="6" priority="1447" operator="between" text="A">
      <formula>NOT(ISERROR(SEARCH("A",L215)))</formula>
    </cfRule>
    <cfRule type="containsText" dxfId="7" priority="1448" operator="between" text="S">
      <formula>NOT(ISERROR(SEARCH("S",L215)))</formula>
    </cfRule>
    <cfRule type="containsText" dxfId="5" priority="1449" operator="between" text="OFF">
      <formula>NOT(ISERROR(SEARCH("OFF",L215)))</formula>
    </cfRule>
    <cfRule type="containsText" dxfId="7" priority="1450" operator="between" text="OFF">
      <formula>NOT(ISERROR(SEARCH("OFF",L215)))</formula>
    </cfRule>
  </conditionalFormatting>
  <conditionalFormatting sqref="AK215:AM215">
    <cfRule type="containsText" dxfId="3" priority="11" operator="between" text="OFF">
      <formula>NOT(ISERROR(SEARCH("OFF",AK215)))</formula>
    </cfRule>
    <cfRule type="containsText" dxfId="4" priority="12" operator="between" text="OFF">
      <formula>NOT(ISERROR(SEARCH("OFF",AK215)))</formula>
    </cfRule>
    <cfRule type="containsText" dxfId="5" priority="13" operator="between" text="S">
      <formula>NOT(ISERROR(SEARCH("S",AK215)))</formula>
    </cfRule>
    <cfRule type="containsText" dxfId="6" priority="14" operator="between" text="I">
      <formula>NOT(ISERROR(SEARCH("I",AK215)))</formula>
    </cfRule>
    <cfRule type="containsText" dxfId="7" priority="15" operator="between" text="A">
      <formula>NOT(ISERROR(SEARCH("A",AK215)))</formula>
    </cfRule>
    <cfRule type="containsText" dxfId="8" priority="16" operator="between" text="L">
      <formula>NOT(ISERROR(SEARCH("L",AK215)))</formula>
    </cfRule>
    <cfRule type="containsText" dxfId="6" priority="17" operator="between" text="A">
      <formula>NOT(ISERROR(SEARCH("A",AK215)))</formula>
    </cfRule>
    <cfRule type="containsText" dxfId="7" priority="18" operator="between" text="S">
      <formula>NOT(ISERROR(SEARCH("S",AK215)))</formula>
    </cfRule>
    <cfRule type="containsText" dxfId="5" priority="19" operator="between" text="OFF">
      <formula>NOT(ISERROR(SEARCH("OFF",AK215)))</formula>
    </cfRule>
    <cfRule type="containsText" dxfId="7" priority="20" operator="between" text="OFF">
      <formula>NOT(ISERROR(SEARCH("OFF",AK215)))</formula>
    </cfRule>
  </conditionalFormatting>
  <conditionalFormatting sqref="Q216:S216">
    <cfRule type="containsText" dxfId="3" priority="511" operator="between" text="OFF">
      <formula>NOT(ISERROR(SEARCH("OFF",Q216)))</formula>
    </cfRule>
    <cfRule type="containsText" dxfId="4" priority="512" operator="between" text="OFF">
      <formula>NOT(ISERROR(SEARCH("OFF",Q216)))</formula>
    </cfRule>
    <cfRule type="containsText" dxfId="5" priority="513" operator="between" text="S">
      <formula>NOT(ISERROR(SEARCH("S",Q216)))</formula>
    </cfRule>
    <cfRule type="containsText" dxfId="6" priority="514" operator="between" text="I">
      <formula>NOT(ISERROR(SEARCH("I",Q216)))</formula>
    </cfRule>
    <cfRule type="containsText" dxfId="7" priority="515" operator="between" text="A">
      <formula>NOT(ISERROR(SEARCH("A",Q216)))</formula>
    </cfRule>
    <cfRule type="containsText" dxfId="8" priority="516" operator="between" text="L">
      <formula>NOT(ISERROR(SEARCH("L",Q216)))</formula>
    </cfRule>
    <cfRule type="containsText" dxfId="6" priority="517" operator="between" text="A">
      <formula>NOT(ISERROR(SEARCH("A",Q216)))</formula>
    </cfRule>
    <cfRule type="containsText" dxfId="7" priority="518" operator="between" text="S">
      <formula>NOT(ISERROR(SEARCH("S",Q216)))</formula>
    </cfRule>
    <cfRule type="containsText" dxfId="5" priority="519" operator="between" text="OFF">
      <formula>NOT(ISERROR(SEARCH("OFF",Q216)))</formula>
    </cfRule>
    <cfRule type="containsText" dxfId="7" priority="520" operator="between" text="OFF">
      <formula>NOT(ISERROR(SEARCH("OFF",Q216)))</formula>
    </cfRule>
  </conditionalFormatting>
  <conditionalFormatting sqref="AD216:AG216">
    <cfRule type="containsText" dxfId="3" priority="301" operator="between" text="OFF">
      <formula>NOT(ISERROR(SEARCH("OFF",AD216)))</formula>
    </cfRule>
    <cfRule type="containsText" dxfId="4" priority="302" operator="between" text="OFF">
      <formula>NOT(ISERROR(SEARCH("OFF",AD216)))</formula>
    </cfRule>
    <cfRule type="containsText" dxfId="5" priority="303" operator="between" text="S">
      <formula>NOT(ISERROR(SEARCH("S",AD216)))</formula>
    </cfRule>
    <cfRule type="containsText" dxfId="6" priority="304" operator="between" text="I">
      <formula>NOT(ISERROR(SEARCH("I",AD216)))</formula>
    </cfRule>
    <cfRule type="containsText" dxfId="7" priority="305" operator="between" text="A">
      <formula>NOT(ISERROR(SEARCH("A",AD216)))</formula>
    </cfRule>
    <cfRule type="containsText" dxfId="8" priority="306" operator="between" text="L">
      <formula>NOT(ISERROR(SEARCH("L",AD216)))</formula>
    </cfRule>
    <cfRule type="containsText" dxfId="6" priority="307" operator="between" text="A">
      <formula>NOT(ISERROR(SEARCH("A",AD216)))</formula>
    </cfRule>
    <cfRule type="containsText" dxfId="7" priority="308" operator="between" text="S">
      <formula>NOT(ISERROR(SEARCH("S",AD216)))</formula>
    </cfRule>
    <cfRule type="containsText" dxfId="5" priority="309" operator="between" text="OFF">
      <formula>NOT(ISERROR(SEARCH("OFF",AD216)))</formula>
    </cfRule>
    <cfRule type="containsText" dxfId="7" priority="310" operator="between" text="OFF">
      <formula>NOT(ISERROR(SEARCH("OFF",AD216)))</formula>
    </cfRule>
  </conditionalFormatting>
  <conditionalFormatting sqref="P217">
    <cfRule type="containsText" dxfId="3" priority="1291" operator="between" text="OFF">
      <formula>NOT(ISERROR(SEARCH("OFF",P217)))</formula>
    </cfRule>
    <cfRule type="containsText" dxfId="4" priority="1292" operator="between" text="OFF">
      <formula>NOT(ISERROR(SEARCH("OFF",P217)))</formula>
    </cfRule>
    <cfRule type="containsText" dxfId="5" priority="1293" operator="between" text="S">
      <formula>NOT(ISERROR(SEARCH("S",P217)))</formula>
    </cfRule>
    <cfRule type="containsText" dxfId="6" priority="1294" operator="between" text="I">
      <formula>NOT(ISERROR(SEARCH("I",P217)))</formula>
    </cfRule>
    <cfRule type="containsText" dxfId="7" priority="1295" operator="between" text="A">
      <formula>NOT(ISERROR(SEARCH("A",P217)))</formula>
    </cfRule>
    <cfRule type="containsText" dxfId="8" priority="1296" operator="between" text="L">
      <formula>NOT(ISERROR(SEARCH("L",P217)))</formula>
    </cfRule>
    <cfRule type="containsText" dxfId="6" priority="1297" operator="between" text="A">
      <formula>NOT(ISERROR(SEARCH("A",P217)))</formula>
    </cfRule>
    <cfRule type="containsText" dxfId="7" priority="1298" operator="between" text="S">
      <formula>NOT(ISERROR(SEARCH("S",P217)))</formula>
    </cfRule>
    <cfRule type="containsText" dxfId="5" priority="1299" operator="between" text="OFF">
      <formula>NOT(ISERROR(SEARCH("OFF",P217)))</formula>
    </cfRule>
    <cfRule type="containsText" dxfId="7" priority="1300" operator="between" text="OFF">
      <formula>NOT(ISERROR(SEARCH("OFF",P217)))</formula>
    </cfRule>
  </conditionalFormatting>
  <conditionalFormatting sqref="AJ217:AK217">
    <cfRule type="containsText" dxfId="3" priority="141" operator="between" text="OFF">
      <formula>NOT(ISERROR(SEARCH("OFF",AJ217)))</formula>
    </cfRule>
    <cfRule type="containsText" dxfId="4" priority="142" operator="between" text="OFF">
      <formula>NOT(ISERROR(SEARCH("OFF",AJ217)))</formula>
    </cfRule>
    <cfRule type="containsText" dxfId="5" priority="143" operator="between" text="S">
      <formula>NOT(ISERROR(SEARCH("S",AJ217)))</formula>
    </cfRule>
    <cfRule type="containsText" dxfId="6" priority="144" operator="between" text="I">
      <formula>NOT(ISERROR(SEARCH("I",AJ217)))</formula>
    </cfRule>
    <cfRule type="containsText" dxfId="7" priority="145" operator="between" text="A">
      <formula>NOT(ISERROR(SEARCH("A",AJ217)))</formula>
    </cfRule>
    <cfRule type="containsText" dxfId="8" priority="146" operator="between" text="L">
      <formula>NOT(ISERROR(SEARCH("L",AJ217)))</formula>
    </cfRule>
    <cfRule type="containsText" dxfId="6" priority="147" operator="between" text="A">
      <formula>NOT(ISERROR(SEARCH("A",AJ217)))</formula>
    </cfRule>
    <cfRule type="containsText" dxfId="7" priority="148" operator="between" text="S">
      <formula>NOT(ISERROR(SEARCH("S",AJ217)))</formula>
    </cfRule>
    <cfRule type="containsText" dxfId="5" priority="149" operator="between" text="OFF">
      <formula>NOT(ISERROR(SEARCH("OFF",AJ217)))</formula>
    </cfRule>
    <cfRule type="containsText" dxfId="7" priority="150" operator="between" text="OFF">
      <formula>NOT(ISERROR(SEARCH("OFF",AJ217)))</formula>
    </cfRule>
  </conditionalFormatting>
  <conditionalFormatting sqref="V218">
    <cfRule type="containsText" dxfId="3" priority="421" operator="between" text="OFF">
      <formula>NOT(ISERROR(SEARCH("OFF",V218)))</formula>
    </cfRule>
    <cfRule type="containsText" dxfId="4" priority="422" operator="between" text="OFF">
      <formula>NOT(ISERROR(SEARCH("OFF",V218)))</formula>
    </cfRule>
    <cfRule type="containsText" dxfId="5" priority="423" operator="between" text="S">
      <formula>NOT(ISERROR(SEARCH("S",V218)))</formula>
    </cfRule>
    <cfRule type="containsText" dxfId="6" priority="424" operator="between" text="I">
      <formula>NOT(ISERROR(SEARCH("I",V218)))</formula>
    </cfRule>
    <cfRule type="containsText" dxfId="7" priority="425" operator="between" text="A">
      <formula>NOT(ISERROR(SEARCH("A",V218)))</formula>
    </cfRule>
    <cfRule type="containsText" dxfId="8" priority="426" operator="between" text="L">
      <formula>NOT(ISERROR(SEARCH("L",V218)))</formula>
    </cfRule>
    <cfRule type="containsText" dxfId="6" priority="427" operator="between" text="A">
      <formula>NOT(ISERROR(SEARCH("A",V218)))</formula>
    </cfRule>
    <cfRule type="containsText" dxfId="7" priority="428" operator="between" text="S">
      <formula>NOT(ISERROR(SEARCH("S",V218)))</formula>
    </cfRule>
    <cfRule type="containsText" dxfId="5" priority="429" operator="between" text="OFF">
      <formula>NOT(ISERROR(SEARCH("OFF",V218)))</formula>
    </cfRule>
    <cfRule type="containsText" dxfId="7" priority="430" operator="between" text="OFF">
      <formula>NOT(ISERROR(SEARCH("OFF",V218)))</formula>
    </cfRule>
  </conditionalFormatting>
  <conditionalFormatting sqref="AD219">
    <cfRule type="containsText" dxfId="3" priority="241" operator="between" text="OFF">
      <formula>NOT(ISERROR(SEARCH("OFF",AD219)))</formula>
    </cfRule>
    <cfRule type="containsText" dxfId="4" priority="242" operator="between" text="OFF">
      <formula>NOT(ISERROR(SEARCH("OFF",AD219)))</formula>
    </cfRule>
    <cfRule type="containsText" dxfId="5" priority="243" operator="between" text="S">
      <formula>NOT(ISERROR(SEARCH("S",AD219)))</formula>
    </cfRule>
    <cfRule type="containsText" dxfId="6" priority="244" operator="between" text="I">
      <formula>NOT(ISERROR(SEARCH("I",AD219)))</formula>
    </cfRule>
    <cfRule type="containsText" dxfId="7" priority="245" operator="between" text="A">
      <formula>NOT(ISERROR(SEARCH("A",AD219)))</formula>
    </cfRule>
    <cfRule type="containsText" dxfId="8" priority="246" operator="between" text="L">
      <formula>NOT(ISERROR(SEARCH("L",AD219)))</formula>
    </cfRule>
    <cfRule type="containsText" dxfId="6" priority="247" operator="between" text="A">
      <formula>NOT(ISERROR(SEARCH("A",AD219)))</formula>
    </cfRule>
    <cfRule type="containsText" dxfId="7" priority="248" operator="between" text="S">
      <formula>NOT(ISERROR(SEARCH("S",AD219)))</formula>
    </cfRule>
    <cfRule type="containsText" dxfId="5" priority="249" operator="between" text="OFF">
      <formula>NOT(ISERROR(SEARCH("OFF",AD219)))</formula>
    </cfRule>
    <cfRule type="containsText" dxfId="7" priority="250" operator="between" text="OFF">
      <formula>NOT(ISERROR(SEARCH("OFF",AD219)))</formula>
    </cfRule>
  </conditionalFormatting>
  <conditionalFormatting sqref="AI221">
    <cfRule type="containsText" dxfId="3" priority="101" operator="between" text="OFF">
      <formula>NOT(ISERROR(SEARCH("OFF",AI221)))</formula>
    </cfRule>
    <cfRule type="containsText" dxfId="4" priority="102" operator="between" text="OFF">
      <formula>NOT(ISERROR(SEARCH("OFF",AI221)))</formula>
    </cfRule>
    <cfRule type="containsText" dxfId="5" priority="103" operator="between" text="S">
      <formula>NOT(ISERROR(SEARCH("S",AI221)))</formula>
    </cfRule>
    <cfRule type="containsText" dxfId="6" priority="104" operator="between" text="I">
      <formula>NOT(ISERROR(SEARCH("I",AI221)))</formula>
    </cfRule>
    <cfRule type="containsText" dxfId="7" priority="105" operator="between" text="A">
      <formula>NOT(ISERROR(SEARCH("A",AI221)))</formula>
    </cfRule>
    <cfRule type="containsText" dxfId="8" priority="106" operator="between" text="L">
      <formula>NOT(ISERROR(SEARCH("L",AI221)))</formula>
    </cfRule>
    <cfRule type="containsText" dxfId="6" priority="107" operator="between" text="A">
      <formula>NOT(ISERROR(SEARCH("A",AI221)))</formula>
    </cfRule>
    <cfRule type="containsText" dxfId="7" priority="108" operator="between" text="S">
      <formula>NOT(ISERROR(SEARCH("S",AI221)))</formula>
    </cfRule>
    <cfRule type="containsText" dxfId="5" priority="109" operator="between" text="OFF">
      <formula>NOT(ISERROR(SEARCH("OFF",AI221)))</formula>
    </cfRule>
    <cfRule type="containsText" dxfId="7" priority="110" operator="between" text="OFF">
      <formula>NOT(ISERROR(SEARCH("OFF",AI221)))</formula>
    </cfRule>
  </conditionalFormatting>
  <conditionalFormatting sqref="A168:A179">
    <cfRule type="containsText" dxfId="3" priority="2641" operator="between" text="OFF">
      <formula>NOT(ISERROR(SEARCH("OFF",A168)))</formula>
    </cfRule>
    <cfRule type="containsText" dxfId="4" priority="2642" operator="between" text="OFF">
      <formula>NOT(ISERROR(SEARCH("OFF",A168)))</formula>
    </cfRule>
    <cfRule type="containsText" dxfId="5" priority="2643" operator="between" text="S">
      <formula>NOT(ISERROR(SEARCH("S",A168)))</formula>
    </cfRule>
    <cfRule type="containsText" dxfId="6" priority="2644" operator="between" text="I">
      <formula>NOT(ISERROR(SEARCH("I",A168)))</formula>
    </cfRule>
    <cfRule type="containsText" dxfId="7" priority="2645" operator="between" text="A">
      <formula>NOT(ISERROR(SEARCH("A",A168)))</formula>
    </cfRule>
    <cfRule type="containsText" dxfId="8" priority="2646" operator="between" text="L">
      <formula>NOT(ISERROR(SEARCH("L",A168)))</formula>
    </cfRule>
    <cfRule type="containsText" dxfId="6" priority="2647" operator="between" text="A">
      <formula>NOT(ISERROR(SEARCH("A",A168)))</formula>
    </cfRule>
    <cfRule type="containsText" dxfId="7" priority="2648" operator="between" text="S">
      <formula>NOT(ISERROR(SEARCH("S",A168)))</formula>
    </cfRule>
    <cfRule type="containsText" dxfId="5" priority="2649" operator="between" text="OFF">
      <formula>NOT(ISERROR(SEARCH("OFF",A168)))</formula>
    </cfRule>
    <cfRule type="containsText" dxfId="7" priority="2650" operator="between" text="OFF">
      <formula>NOT(ISERROR(SEARCH("OFF",A168)))</formula>
    </cfRule>
  </conditionalFormatting>
  <conditionalFormatting sqref="E168:E179">
    <cfRule type="containsText" dxfId="6" priority="2637" operator="between" text="A">
      <formula>NOT(ISERROR(SEARCH("A",E168)))</formula>
    </cfRule>
    <cfRule type="containsText" dxfId="7" priority="2638" operator="between" text="S">
      <formula>NOT(ISERROR(SEARCH("S",E168)))</formula>
    </cfRule>
    <cfRule type="containsText" dxfId="5" priority="2639" operator="between" text="OFF">
      <formula>NOT(ISERROR(SEARCH("OFF",E168)))</formula>
    </cfRule>
    <cfRule type="containsText" dxfId="7" priority="2640" operator="between" text="OFF">
      <formula>NOT(ISERROR(SEARCH("OFF",E168)))</formula>
    </cfRule>
  </conditionalFormatting>
  <conditionalFormatting sqref="G187:G189">
    <cfRule type="containsText" dxfId="3" priority="631" operator="between" text="OFF">
      <formula>NOT(ISERROR(SEARCH("OFF",G187)))</formula>
    </cfRule>
    <cfRule type="containsText" dxfId="4" priority="632" operator="between" text="OFF">
      <formula>NOT(ISERROR(SEARCH("OFF",G187)))</formula>
    </cfRule>
    <cfRule type="containsText" dxfId="5" priority="633" operator="between" text="S">
      <formula>NOT(ISERROR(SEARCH("S",G187)))</formula>
    </cfRule>
    <cfRule type="containsText" dxfId="6" priority="634" operator="between" text="I">
      <formula>NOT(ISERROR(SEARCH("I",G187)))</formula>
    </cfRule>
    <cfRule type="containsText" dxfId="7" priority="635" operator="between" text="A">
      <formula>NOT(ISERROR(SEARCH("A",G187)))</formula>
    </cfRule>
    <cfRule type="containsText" dxfId="8" priority="636" operator="between" text="L">
      <formula>NOT(ISERROR(SEARCH("L",G187)))</formula>
    </cfRule>
    <cfRule type="containsText" dxfId="6" priority="637" operator="between" text="A">
      <formula>NOT(ISERROR(SEARCH("A",G187)))</formula>
    </cfRule>
    <cfRule type="containsText" dxfId="7" priority="638" operator="between" text="S">
      <formula>NOT(ISERROR(SEARCH("S",G187)))</formula>
    </cfRule>
    <cfRule type="containsText" dxfId="5" priority="639" operator="between" text="OFF">
      <formula>NOT(ISERROR(SEARCH("OFF",G187)))</formula>
    </cfRule>
    <cfRule type="containsText" dxfId="7" priority="640" operator="between" text="OFF">
      <formula>NOT(ISERROR(SEARCH("OFF",G187)))</formula>
    </cfRule>
  </conditionalFormatting>
  <conditionalFormatting sqref="G196:G197">
    <cfRule type="containsText" dxfId="3" priority="641" operator="between" text="OFF">
      <formula>NOT(ISERROR(SEARCH("OFF",G196)))</formula>
    </cfRule>
    <cfRule type="containsText" dxfId="4" priority="642" operator="between" text="OFF">
      <formula>NOT(ISERROR(SEARCH("OFF",G196)))</formula>
    </cfRule>
    <cfRule type="containsText" dxfId="5" priority="643" operator="between" text="S">
      <formula>NOT(ISERROR(SEARCH("S",G196)))</formula>
    </cfRule>
    <cfRule type="containsText" dxfId="6" priority="644" operator="between" text="I">
      <formula>NOT(ISERROR(SEARCH("I",G196)))</formula>
    </cfRule>
    <cfRule type="containsText" dxfId="7" priority="645" operator="between" text="A">
      <formula>NOT(ISERROR(SEARCH("A",G196)))</formula>
    </cfRule>
    <cfRule type="containsText" dxfId="8" priority="646" operator="between" text="L">
      <formula>NOT(ISERROR(SEARCH("L",G196)))</formula>
    </cfRule>
    <cfRule type="containsText" dxfId="6" priority="647" operator="between" text="A">
      <formula>NOT(ISERROR(SEARCH("A",G196)))</formula>
    </cfRule>
    <cfRule type="containsText" dxfId="7" priority="648" operator="between" text="S">
      <formula>NOT(ISERROR(SEARCH("S",G196)))</formula>
    </cfRule>
    <cfRule type="containsText" dxfId="5" priority="649" operator="between" text="OFF">
      <formula>NOT(ISERROR(SEARCH("OFF",G196)))</formula>
    </cfRule>
    <cfRule type="containsText" dxfId="7" priority="650" operator="between" text="OFF">
      <formula>NOT(ISERROR(SEARCH("OFF",G196)))</formula>
    </cfRule>
  </conditionalFormatting>
  <conditionalFormatting sqref="G201:G203">
    <cfRule type="containsText" dxfId="3" priority="1821" operator="between" text="OFF">
      <formula>NOT(ISERROR(SEARCH("OFF",G201)))</formula>
    </cfRule>
    <cfRule type="containsText" dxfId="4" priority="1822" operator="between" text="OFF">
      <formula>NOT(ISERROR(SEARCH("OFF",G201)))</formula>
    </cfRule>
    <cfRule type="containsText" dxfId="5" priority="1823" operator="between" text="S">
      <formula>NOT(ISERROR(SEARCH("S",G201)))</formula>
    </cfRule>
    <cfRule type="containsText" dxfId="6" priority="1824" operator="between" text="I">
      <formula>NOT(ISERROR(SEARCH("I",G201)))</formula>
    </cfRule>
    <cfRule type="containsText" dxfId="7" priority="1825" operator="between" text="A">
      <formula>NOT(ISERROR(SEARCH("A",G201)))</formula>
    </cfRule>
    <cfRule type="containsText" dxfId="8" priority="1826" operator="between" text="L">
      <formula>NOT(ISERROR(SEARCH("L",G201)))</formula>
    </cfRule>
    <cfRule type="containsText" dxfId="6" priority="1827" operator="between" text="A">
      <formula>NOT(ISERROR(SEARCH("A",G201)))</formula>
    </cfRule>
    <cfRule type="containsText" dxfId="7" priority="1828" operator="between" text="S">
      <formula>NOT(ISERROR(SEARCH("S",G201)))</formula>
    </cfRule>
    <cfRule type="containsText" dxfId="5" priority="1829" operator="between" text="OFF">
      <formula>NOT(ISERROR(SEARCH("OFF",G201)))</formula>
    </cfRule>
    <cfRule type="containsText" dxfId="7" priority="1830" operator="between" text="OFF">
      <formula>NOT(ISERROR(SEARCH("OFF",G201)))</formula>
    </cfRule>
  </conditionalFormatting>
  <conditionalFormatting sqref="I205:I206">
    <cfRule type="containsText" dxfId="3" priority="2271" operator="between" text="OFF">
      <formula>NOT(ISERROR(SEARCH("OFF",I205)))</formula>
    </cfRule>
    <cfRule type="containsText" dxfId="4" priority="2272" operator="between" text="OFF">
      <formula>NOT(ISERROR(SEARCH("OFF",I205)))</formula>
    </cfRule>
    <cfRule type="containsText" dxfId="5" priority="2273" operator="between" text="S">
      <formula>NOT(ISERROR(SEARCH("S",I205)))</formula>
    </cfRule>
    <cfRule type="containsText" dxfId="6" priority="2274" operator="between" text="I">
      <formula>NOT(ISERROR(SEARCH("I",I205)))</formula>
    </cfRule>
    <cfRule type="containsText" dxfId="7" priority="2275" operator="between" text="A">
      <formula>NOT(ISERROR(SEARCH("A",I205)))</formula>
    </cfRule>
    <cfRule type="containsText" dxfId="8" priority="2276" operator="between" text="L">
      <formula>NOT(ISERROR(SEARCH("L",I205)))</formula>
    </cfRule>
    <cfRule type="containsText" dxfId="6" priority="2277" operator="between" text="A">
      <formula>NOT(ISERROR(SEARCH("A",I205)))</formula>
    </cfRule>
    <cfRule type="containsText" dxfId="7" priority="2278" operator="between" text="S">
      <formula>NOT(ISERROR(SEARCH("S",I205)))</formula>
    </cfRule>
    <cfRule type="containsText" dxfId="5" priority="2279" operator="between" text="OFF">
      <formula>NOT(ISERROR(SEARCH("OFF",I205)))</formula>
    </cfRule>
    <cfRule type="containsText" dxfId="7" priority="2280" operator="between" text="OFF">
      <formula>NOT(ISERROR(SEARCH("OFF",I205)))</formula>
    </cfRule>
  </conditionalFormatting>
  <conditionalFormatting sqref="L187:L188">
    <cfRule type="containsText" dxfId="3" priority="621" operator="between" text="OFF">
      <formula>NOT(ISERROR(SEARCH("OFF",L187)))</formula>
    </cfRule>
    <cfRule type="containsText" dxfId="4" priority="622" operator="between" text="OFF">
      <formula>NOT(ISERROR(SEARCH("OFF",L187)))</formula>
    </cfRule>
    <cfRule type="containsText" dxfId="5" priority="623" operator="between" text="S">
      <formula>NOT(ISERROR(SEARCH("S",L187)))</formula>
    </cfRule>
    <cfRule type="containsText" dxfId="6" priority="624" operator="between" text="I">
      <formula>NOT(ISERROR(SEARCH("I",L187)))</formula>
    </cfRule>
    <cfRule type="containsText" dxfId="7" priority="625" operator="between" text="A">
      <formula>NOT(ISERROR(SEARCH("A",L187)))</formula>
    </cfRule>
    <cfRule type="containsText" dxfId="8" priority="626" operator="between" text="L">
      <formula>NOT(ISERROR(SEARCH("L",L187)))</formula>
    </cfRule>
    <cfRule type="containsText" dxfId="6" priority="627" operator="between" text="A">
      <formula>NOT(ISERROR(SEARCH("A",L187)))</formula>
    </cfRule>
    <cfRule type="containsText" dxfId="7" priority="628" operator="between" text="S">
      <formula>NOT(ISERROR(SEARCH("S",L187)))</formula>
    </cfRule>
    <cfRule type="containsText" dxfId="5" priority="629" operator="between" text="OFF">
      <formula>NOT(ISERROR(SEARCH("OFF",L187)))</formula>
    </cfRule>
    <cfRule type="containsText" dxfId="7" priority="630" operator="between" text="OFF">
      <formula>NOT(ISERROR(SEARCH("OFF",L187)))</formula>
    </cfRule>
  </conditionalFormatting>
  <conditionalFormatting sqref="O197:O198">
    <cfRule type="containsText" dxfId="3" priority="571" operator="between" text="OFF">
      <formula>NOT(ISERROR(SEARCH("OFF",O197)))</formula>
    </cfRule>
    <cfRule type="containsText" dxfId="4" priority="572" operator="between" text="OFF">
      <formula>NOT(ISERROR(SEARCH("OFF",O197)))</formula>
    </cfRule>
    <cfRule type="containsText" dxfId="5" priority="573" operator="between" text="S">
      <formula>NOT(ISERROR(SEARCH("S",O197)))</formula>
    </cfRule>
    <cfRule type="containsText" dxfId="6" priority="574" operator="between" text="I">
      <formula>NOT(ISERROR(SEARCH("I",O197)))</formula>
    </cfRule>
    <cfRule type="containsText" dxfId="7" priority="575" operator="between" text="A">
      <formula>NOT(ISERROR(SEARCH("A",O197)))</formula>
    </cfRule>
    <cfRule type="containsText" dxfId="8" priority="576" operator="between" text="L">
      <formula>NOT(ISERROR(SEARCH("L",O197)))</formula>
    </cfRule>
    <cfRule type="containsText" dxfId="6" priority="577" operator="between" text="A">
      <formula>NOT(ISERROR(SEARCH("A",O197)))</formula>
    </cfRule>
    <cfRule type="containsText" dxfId="7" priority="578" operator="between" text="S">
      <formula>NOT(ISERROR(SEARCH("S",O197)))</formula>
    </cfRule>
    <cfRule type="containsText" dxfId="5" priority="579" operator="between" text="OFF">
      <formula>NOT(ISERROR(SEARCH("OFF",O197)))</formula>
    </cfRule>
    <cfRule type="containsText" dxfId="7" priority="580" operator="between" text="OFF">
      <formula>NOT(ISERROR(SEARCH("OFF",O197)))</formula>
    </cfRule>
  </conditionalFormatting>
  <conditionalFormatting sqref="S209:S210">
    <cfRule type="containsText" dxfId="3" priority="2021" operator="between" text="OFF">
      <formula>NOT(ISERROR(SEARCH("OFF",S209)))</formula>
    </cfRule>
    <cfRule type="containsText" dxfId="4" priority="2022" operator="between" text="OFF">
      <formula>NOT(ISERROR(SEARCH("OFF",S209)))</formula>
    </cfRule>
    <cfRule type="containsText" dxfId="5" priority="2023" operator="between" text="S">
      <formula>NOT(ISERROR(SEARCH("S",S209)))</formula>
    </cfRule>
    <cfRule type="containsText" dxfId="6" priority="2024" operator="between" text="I">
      <formula>NOT(ISERROR(SEARCH("I",S209)))</formula>
    </cfRule>
    <cfRule type="containsText" dxfId="7" priority="2025" operator="between" text="A">
      <formula>NOT(ISERROR(SEARCH("A",S209)))</formula>
    </cfRule>
    <cfRule type="containsText" dxfId="8" priority="2026" operator="between" text="L">
      <formula>NOT(ISERROR(SEARCH("L",S209)))</formula>
    </cfRule>
    <cfRule type="containsText" dxfId="6" priority="2027" operator="between" text="A">
      <formula>NOT(ISERROR(SEARCH("A",S209)))</formula>
    </cfRule>
    <cfRule type="containsText" dxfId="7" priority="2028" operator="between" text="S">
      <formula>NOT(ISERROR(SEARCH("S",S209)))</formula>
    </cfRule>
    <cfRule type="containsText" dxfId="5" priority="2029" operator="between" text="OFF">
      <formula>NOT(ISERROR(SEARCH("OFF",S209)))</formula>
    </cfRule>
    <cfRule type="containsText" dxfId="7" priority="2030" operator="between" text="OFF">
      <formula>NOT(ISERROR(SEARCH("OFF",S209)))</formula>
    </cfRule>
  </conditionalFormatting>
  <conditionalFormatting sqref="T191:T193">
    <cfRule type="containsText" dxfId="3" priority="471" operator="between" text="OFF">
      <formula>NOT(ISERROR(SEARCH("OFF",T191)))</formula>
    </cfRule>
    <cfRule type="containsText" dxfId="4" priority="472" operator="between" text="OFF">
      <formula>NOT(ISERROR(SEARCH("OFF",T191)))</formula>
    </cfRule>
    <cfRule type="containsText" dxfId="5" priority="473" operator="between" text="S">
      <formula>NOT(ISERROR(SEARCH("S",T191)))</formula>
    </cfRule>
    <cfRule type="containsText" dxfId="6" priority="474" operator="between" text="I">
      <formula>NOT(ISERROR(SEARCH("I",T191)))</formula>
    </cfRule>
    <cfRule type="containsText" dxfId="7" priority="475" operator="between" text="A">
      <formula>NOT(ISERROR(SEARCH("A",T191)))</formula>
    </cfRule>
    <cfRule type="containsText" dxfId="8" priority="476" operator="between" text="L">
      <formula>NOT(ISERROR(SEARCH("L",T191)))</formula>
    </cfRule>
    <cfRule type="containsText" dxfId="6" priority="477" operator="between" text="A">
      <formula>NOT(ISERROR(SEARCH("A",T191)))</formula>
    </cfRule>
    <cfRule type="containsText" dxfId="7" priority="478" operator="between" text="S">
      <formula>NOT(ISERROR(SEARCH("S",T191)))</formula>
    </cfRule>
    <cfRule type="containsText" dxfId="5" priority="479" operator="between" text="OFF">
      <formula>NOT(ISERROR(SEARCH("OFF",T191)))</formula>
    </cfRule>
    <cfRule type="containsText" dxfId="7" priority="480" operator="between" text="OFF">
      <formula>NOT(ISERROR(SEARCH("OFF",T191)))</formula>
    </cfRule>
  </conditionalFormatting>
  <conditionalFormatting sqref="T213:T215">
    <cfRule type="containsText" dxfId="3" priority="1201" operator="between" text="OFF">
      <formula>NOT(ISERROR(SEARCH("OFF",T213)))</formula>
    </cfRule>
    <cfRule type="containsText" dxfId="4" priority="1202" operator="between" text="OFF">
      <formula>NOT(ISERROR(SEARCH("OFF",T213)))</formula>
    </cfRule>
    <cfRule type="containsText" dxfId="5" priority="1203" operator="between" text="S">
      <formula>NOT(ISERROR(SEARCH("S",T213)))</formula>
    </cfRule>
    <cfRule type="containsText" dxfId="6" priority="1204" operator="between" text="I">
      <formula>NOT(ISERROR(SEARCH("I",T213)))</formula>
    </cfRule>
    <cfRule type="containsText" dxfId="7" priority="1205" operator="between" text="A">
      <formula>NOT(ISERROR(SEARCH("A",T213)))</formula>
    </cfRule>
    <cfRule type="containsText" dxfId="8" priority="1206" operator="between" text="L">
      <formula>NOT(ISERROR(SEARCH("L",T213)))</formula>
    </cfRule>
    <cfRule type="containsText" dxfId="6" priority="1207" operator="between" text="A">
      <formula>NOT(ISERROR(SEARCH("A",T213)))</formula>
    </cfRule>
    <cfRule type="containsText" dxfId="7" priority="1208" operator="between" text="S">
      <formula>NOT(ISERROR(SEARCH("S",T213)))</formula>
    </cfRule>
    <cfRule type="containsText" dxfId="5" priority="1209" operator="between" text="OFF">
      <formula>NOT(ISERROR(SEARCH("OFF",T213)))</formula>
    </cfRule>
    <cfRule type="containsText" dxfId="7" priority="1210" operator="between" text="OFF">
      <formula>NOT(ISERROR(SEARCH("OFF",T213)))</formula>
    </cfRule>
  </conditionalFormatting>
  <conditionalFormatting sqref="U203:U204">
    <cfRule type="containsText" dxfId="3" priority="1181" operator="between" text="OFF">
      <formula>NOT(ISERROR(SEARCH("OFF",U203)))</formula>
    </cfRule>
    <cfRule type="containsText" dxfId="4" priority="1182" operator="between" text="OFF">
      <formula>NOT(ISERROR(SEARCH("OFF",U203)))</formula>
    </cfRule>
    <cfRule type="containsText" dxfId="5" priority="1183" operator="between" text="S">
      <formula>NOT(ISERROR(SEARCH("S",U203)))</formula>
    </cfRule>
    <cfRule type="containsText" dxfId="6" priority="1184" operator="between" text="I">
      <formula>NOT(ISERROR(SEARCH("I",U203)))</formula>
    </cfRule>
    <cfRule type="containsText" dxfId="7" priority="1185" operator="between" text="A">
      <formula>NOT(ISERROR(SEARCH("A",U203)))</formula>
    </cfRule>
    <cfRule type="containsText" dxfId="8" priority="1186" operator="between" text="L">
      <formula>NOT(ISERROR(SEARCH("L",U203)))</formula>
    </cfRule>
    <cfRule type="containsText" dxfId="6" priority="1187" operator="between" text="A">
      <formula>NOT(ISERROR(SEARCH("A",U203)))</formula>
    </cfRule>
    <cfRule type="containsText" dxfId="7" priority="1188" operator="between" text="S">
      <formula>NOT(ISERROR(SEARCH("S",U203)))</formula>
    </cfRule>
    <cfRule type="containsText" dxfId="5" priority="1189" operator="between" text="OFF">
      <formula>NOT(ISERROR(SEARCH("OFF",U203)))</formula>
    </cfRule>
    <cfRule type="containsText" dxfId="7" priority="1190" operator="between" text="OFF">
      <formula>NOT(ISERROR(SEARCH("OFF",U203)))</formula>
    </cfRule>
  </conditionalFormatting>
  <conditionalFormatting sqref="W194:W197">
    <cfRule type="containsText" dxfId="3" priority="411" operator="between" text="OFF">
      <formula>NOT(ISERROR(SEARCH("OFF",W194)))</formula>
    </cfRule>
    <cfRule type="containsText" dxfId="4" priority="412" operator="between" text="OFF">
      <formula>NOT(ISERROR(SEARCH("OFF",W194)))</formula>
    </cfRule>
    <cfRule type="containsText" dxfId="5" priority="413" operator="between" text="S">
      <formula>NOT(ISERROR(SEARCH("S",W194)))</formula>
    </cfRule>
    <cfRule type="containsText" dxfId="6" priority="414" operator="between" text="I">
      <formula>NOT(ISERROR(SEARCH("I",W194)))</formula>
    </cfRule>
    <cfRule type="containsText" dxfId="7" priority="415" operator="between" text="A">
      <formula>NOT(ISERROR(SEARCH("A",W194)))</formula>
    </cfRule>
    <cfRule type="containsText" dxfId="8" priority="416" operator="between" text="L">
      <formula>NOT(ISERROR(SEARCH("L",W194)))</formula>
    </cfRule>
    <cfRule type="containsText" dxfId="6" priority="417" operator="between" text="A">
      <formula>NOT(ISERROR(SEARCH("A",W194)))</formula>
    </cfRule>
    <cfRule type="containsText" dxfId="7" priority="418" operator="between" text="S">
      <formula>NOT(ISERROR(SEARCH("S",W194)))</formula>
    </cfRule>
    <cfRule type="containsText" dxfId="5" priority="419" operator="between" text="OFF">
      <formula>NOT(ISERROR(SEARCH("OFF",W194)))</formula>
    </cfRule>
    <cfRule type="containsText" dxfId="7" priority="420" operator="between" text="OFF">
      <formula>NOT(ISERROR(SEARCH("OFF",W194)))</formula>
    </cfRule>
  </conditionalFormatting>
  <conditionalFormatting sqref="X28:X32">
    <cfRule type="containsText" dxfId="6" priority="1144" operator="between" text="I">
      <formula>NOT(ISERROR(SEARCH("I",X28)))</formula>
    </cfRule>
    <cfRule type="containsText" dxfId="7" priority="1145" operator="between" text="A">
      <formula>NOT(ISERROR(SEARCH("A",X28)))</formula>
    </cfRule>
    <cfRule type="containsText" dxfId="8" priority="1146" operator="between" text="L">
      <formula>NOT(ISERROR(SEARCH("L",X28)))</formula>
    </cfRule>
    <cfRule type="containsText" dxfId="6" priority="1147" operator="between" text="A">
      <formula>NOT(ISERROR(SEARCH("A",X28)))</formula>
    </cfRule>
    <cfRule type="containsText" dxfId="7" priority="1148" operator="between" text="S">
      <formula>NOT(ISERROR(SEARCH("S",X28)))</formula>
    </cfRule>
    <cfRule type="containsText" dxfId="5" priority="1149" operator="between" text="OFF">
      <formula>NOT(ISERROR(SEARCH("OFF",X28)))</formula>
    </cfRule>
    <cfRule type="containsText" dxfId="7" priority="1150" operator="between" text="OFF">
      <formula>NOT(ISERROR(SEARCH("OFF",X28)))</formula>
    </cfRule>
  </conditionalFormatting>
  <conditionalFormatting sqref="X197:X199">
    <cfRule type="containsText" dxfId="3" priority="1121" operator="between" text="OFF">
      <formula>NOT(ISERROR(SEARCH("OFF",X197)))</formula>
    </cfRule>
    <cfRule type="containsText" dxfId="4" priority="1122" operator="between" text="OFF">
      <formula>NOT(ISERROR(SEARCH("OFF",X197)))</formula>
    </cfRule>
    <cfRule type="containsText" dxfId="5" priority="1123" operator="between" text="S">
      <formula>NOT(ISERROR(SEARCH("S",X197)))</formula>
    </cfRule>
    <cfRule type="containsText" dxfId="6" priority="1124" operator="between" text="I">
      <formula>NOT(ISERROR(SEARCH("I",X197)))</formula>
    </cfRule>
    <cfRule type="containsText" dxfId="7" priority="1125" operator="between" text="A">
      <formula>NOT(ISERROR(SEARCH("A",X197)))</formula>
    </cfRule>
    <cfRule type="containsText" dxfId="8" priority="1126" operator="between" text="L">
      <formula>NOT(ISERROR(SEARCH("L",X197)))</formula>
    </cfRule>
    <cfRule type="containsText" dxfId="6" priority="1127" operator="between" text="A">
      <formula>NOT(ISERROR(SEARCH("A",X197)))</formula>
    </cfRule>
    <cfRule type="containsText" dxfId="7" priority="1128" operator="between" text="S">
      <formula>NOT(ISERROR(SEARCH("S",X197)))</formula>
    </cfRule>
    <cfRule type="containsText" dxfId="5" priority="1129" operator="between" text="OFF">
      <formula>NOT(ISERROR(SEARCH("OFF",X197)))</formula>
    </cfRule>
    <cfRule type="containsText" dxfId="7" priority="1130" operator="between" text="OFF">
      <formula>NOT(ISERROR(SEARCH("OFF",X197)))</formula>
    </cfRule>
  </conditionalFormatting>
  <conditionalFormatting sqref="Y195:Y196">
    <cfRule type="containsText" dxfId="3" priority="2501" operator="between" text="OFF">
      <formula>NOT(ISERROR(SEARCH("OFF",Y195)))</formula>
    </cfRule>
    <cfRule type="containsText" dxfId="4" priority="2502" operator="between" text="OFF">
      <formula>NOT(ISERROR(SEARCH("OFF",Y195)))</formula>
    </cfRule>
    <cfRule type="containsText" dxfId="5" priority="2503" operator="between" text="S">
      <formula>NOT(ISERROR(SEARCH("S",Y195)))</formula>
    </cfRule>
    <cfRule type="containsText" dxfId="6" priority="2504" operator="between" text="I">
      <formula>NOT(ISERROR(SEARCH("I",Y195)))</formula>
    </cfRule>
    <cfRule type="containsText" dxfId="7" priority="2505" operator="between" text="A">
      <formula>NOT(ISERROR(SEARCH("A",Y195)))</formula>
    </cfRule>
    <cfRule type="containsText" dxfId="8" priority="2506" operator="between" text="L">
      <formula>NOT(ISERROR(SEARCH("L",Y195)))</formula>
    </cfRule>
    <cfRule type="containsText" dxfId="6" priority="2507" operator="between" text="A">
      <formula>NOT(ISERROR(SEARCH("A",Y195)))</formula>
    </cfRule>
    <cfRule type="containsText" dxfId="7" priority="2508" operator="between" text="S">
      <formula>NOT(ISERROR(SEARCH("S",Y195)))</formula>
    </cfRule>
    <cfRule type="containsText" dxfId="5" priority="2509" operator="between" text="OFF">
      <formula>NOT(ISERROR(SEARCH("OFF",Y195)))</formula>
    </cfRule>
    <cfRule type="containsText" dxfId="7" priority="2510" operator="between" text="OFF">
      <formula>NOT(ISERROR(SEARCH("OFF",Y195)))</formula>
    </cfRule>
  </conditionalFormatting>
  <conditionalFormatting sqref="Y219:Y220">
    <cfRule type="containsText" dxfId="3" priority="381" operator="between" text="OFF">
      <formula>NOT(ISERROR(SEARCH("OFF",Y219)))</formula>
    </cfRule>
    <cfRule type="containsText" dxfId="4" priority="382" operator="between" text="OFF">
      <formula>NOT(ISERROR(SEARCH("OFF",Y219)))</formula>
    </cfRule>
    <cfRule type="containsText" dxfId="5" priority="383" operator="between" text="S">
      <formula>NOT(ISERROR(SEARCH("S",Y219)))</formula>
    </cfRule>
    <cfRule type="containsText" dxfId="6" priority="384" operator="between" text="I">
      <formula>NOT(ISERROR(SEARCH("I",Y219)))</formula>
    </cfRule>
    <cfRule type="containsText" dxfId="7" priority="385" operator="between" text="A">
      <formula>NOT(ISERROR(SEARCH("A",Y219)))</formula>
    </cfRule>
    <cfRule type="containsText" dxfId="8" priority="386" operator="between" text="L">
      <formula>NOT(ISERROR(SEARCH("L",Y219)))</formula>
    </cfRule>
    <cfRule type="containsText" dxfId="6" priority="387" operator="between" text="A">
      <formula>NOT(ISERROR(SEARCH("A",Y219)))</formula>
    </cfRule>
    <cfRule type="containsText" dxfId="7" priority="388" operator="between" text="S">
      <formula>NOT(ISERROR(SEARCH("S",Y219)))</formula>
    </cfRule>
    <cfRule type="containsText" dxfId="5" priority="389" operator="between" text="OFF">
      <formula>NOT(ISERROR(SEARCH("OFF",Y219)))</formula>
    </cfRule>
    <cfRule type="containsText" dxfId="7" priority="390" operator="between" text="OFF">
      <formula>NOT(ISERROR(SEARCH("OFF",Y219)))</formula>
    </cfRule>
  </conditionalFormatting>
  <conditionalFormatting sqref="AB182:AB183">
    <cfRule type="containsText" dxfId="3" priority="341" operator="between" text="OFF">
      <formula>NOT(ISERROR(SEARCH("OFF",AB182)))</formula>
    </cfRule>
    <cfRule type="containsText" dxfId="4" priority="342" operator="between" text="OFF">
      <formula>NOT(ISERROR(SEARCH("OFF",AB182)))</formula>
    </cfRule>
    <cfRule type="containsText" dxfId="5" priority="343" operator="between" text="S">
      <formula>NOT(ISERROR(SEARCH("S",AB182)))</formula>
    </cfRule>
    <cfRule type="containsText" dxfId="6" priority="344" operator="between" text="I">
      <formula>NOT(ISERROR(SEARCH("I",AB182)))</formula>
    </cfRule>
    <cfRule type="containsText" dxfId="7" priority="345" operator="between" text="A">
      <formula>NOT(ISERROR(SEARCH("A",AB182)))</formula>
    </cfRule>
    <cfRule type="containsText" dxfId="8" priority="346" operator="between" text="L">
      <formula>NOT(ISERROR(SEARCH("L",AB182)))</formula>
    </cfRule>
    <cfRule type="containsText" dxfId="6" priority="347" operator="between" text="A">
      <formula>NOT(ISERROR(SEARCH("A",AB182)))</formula>
    </cfRule>
    <cfRule type="containsText" dxfId="7" priority="348" operator="between" text="S">
      <formula>NOT(ISERROR(SEARCH("S",AB182)))</formula>
    </cfRule>
    <cfRule type="containsText" dxfId="5" priority="349" operator="between" text="OFF">
      <formula>NOT(ISERROR(SEARCH("OFF",AB182)))</formula>
    </cfRule>
    <cfRule type="containsText" dxfId="7" priority="350" operator="between" text="OFF">
      <formula>NOT(ISERROR(SEARCH("OFF",AB182)))</formula>
    </cfRule>
  </conditionalFormatting>
  <conditionalFormatting sqref="AL12:AL163">
    <cfRule type="containsText" dxfId="3" priority="41" operator="between" text="OFF">
      <formula>NOT(ISERROR(SEARCH("OFF",AL12)))</formula>
    </cfRule>
    <cfRule type="containsText" dxfId="4" priority="42" operator="between" text="OFF">
      <formula>NOT(ISERROR(SEARCH("OFF",AL12)))</formula>
    </cfRule>
    <cfRule type="containsText" dxfId="5" priority="43" operator="between" text="S">
      <formula>NOT(ISERROR(SEARCH("S",AL12)))</formula>
    </cfRule>
    <cfRule type="containsText" dxfId="6" priority="44" operator="between" text="I">
      <formula>NOT(ISERROR(SEARCH("I",AL12)))</formula>
    </cfRule>
    <cfRule type="containsText" dxfId="7" priority="45" operator="between" text="A">
      <formula>NOT(ISERROR(SEARCH("A",AL12)))</formula>
    </cfRule>
    <cfRule type="containsText" dxfId="8" priority="46" operator="between" text="L">
      <formula>NOT(ISERROR(SEARCH("L",AL12)))</formula>
    </cfRule>
    <cfRule type="containsText" dxfId="6" priority="47" operator="between" text="A">
      <formula>NOT(ISERROR(SEARCH("A",AL12)))</formula>
    </cfRule>
    <cfRule type="containsText" dxfId="7" priority="48" operator="between" text="S">
      <formula>NOT(ISERROR(SEARCH("S",AL12)))</formula>
    </cfRule>
    <cfRule type="containsText" dxfId="5" priority="49" operator="between" text="OFF">
      <formula>NOT(ISERROR(SEARCH("OFF",AL12)))</formula>
    </cfRule>
    <cfRule type="containsText" dxfId="7" priority="50" operator="between" text="OFF">
      <formula>NOT(ISERROR(SEARCH("OFF",AL12)))</formula>
    </cfRule>
  </conditionalFormatting>
  <conditionalFormatting sqref="AL166:AL179">
    <cfRule type="containsText" dxfId="6" priority="64" operator="between" text="I">
      <formula>NOT(ISERROR(SEARCH("I",AL166)))</formula>
    </cfRule>
    <cfRule type="containsText" dxfId="7" priority="65" operator="between" text="A">
      <formula>NOT(ISERROR(SEARCH("A",AL166)))</formula>
    </cfRule>
    <cfRule type="containsText" dxfId="8" priority="66" operator="between" text="L">
      <formula>NOT(ISERROR(SEARCH("L",AL166)))</formula>
    </cfRule>
    <cfRule type="containsText" dxfId="6" priority="67" operator="between" text="A">
      <formula>NOT(ISERROR(SEARCH("A",AL166)))</formula>
    </cfRule>
    <cfRule type="containsText" dxfId="7" priority="68" operator="between" text="S">
      <formula>NOT(ISERROR(SEARCH("S",AL166)))</formula>
    </cfRule>
    <cfRule type="containsText" dxfId="5" priority="69" operator="between" text="OFF">
      <formula>NOT(ISERROR(SEARCH("OFF",AL166)))</formula>
    </cfRule>
    <cfRule type="containsText" dxfId="7" priority="70" operator="between" text="OFF">
      <formula>NOT(ISERROR(SEARCH("OFF",AL166)))</formula>
    </cfRule>
  </conditionalFormatting>
  <conditionalFormatting sqref="AM44:AM163">
    <cfRule type="containsText" dxfId="3" priority="2571" operator="between" text="OFF">
      <formula>NOT(ISERROR(SEARCH("OFF",AM44)))</formula>
    </cfRule>
    <cfRule type="containsText" dxfId="4" priority="2572" operator="between" text="OFF">
      <formula>NOT(ISERROR(SEARCH("OFF",AM44)))</formula>
    </cfRule>
    <cfRule type="containsText" dxfId="5" priority="2573" operator="between" text="S">
      <formula>NOT(ISERROR(SEARCH("S",AM44)))</formula>
    </cfRule>
  </conditionalFormatting>
  <conditionalFormatting sqref="AM165:AM179">
    <cfRule type="containsText" dxfId="3" priority="2581" operator="between" text="OFF">
      <formula>NOT(ISERROR(SEARCH("OFF",AM165)))</formula>
    </cfRule>
    <cfRule type="containsText" dxfId="4" priority="2582" operator="between" text="OFF">
      <formula>NOT(ISERROR(SEARCH("OFF",AM165)))</formula>
    </cfRule>
    <cfRule type="containsText" dxfId="5" priority="2583" operator="between" text="S">
      <formula>NOT(ISERROR(SEARCH("S",AM165)))</formula>
    </cfRule>
  </conditionalFormatting>
  <conditionalFormatting sqref="AM168:AM179">
    <cfRule type="containsText" dxfId="6" priority="2624" operator="between" text="I">
      <formula>NOT(ISERROR(SEARCH("I",AM168)))</formula>
    </cfRule>
    <cfRule type="containsText" dxfId="7" priority="2625" operator="between" text="A">
      <formula>NOT(ISERROR(SEARCH("A",AM168)))</formula>
    </cfRule>
  </conditionalFormatting>
  <conditionalFormatting sqref="AN44:AN192">
    <cfRule type="containsText" dxfId="3" priority="2671" operator="between" text="OFF">
      <formula>NOT(ISERROR(SEARCH("OFF",AN44)))</formula>
    </cfRule>
    <cfRule type="containsText" dxfId="4" priority="2672" operator="between" text="OFF">
      <formula>NOT(ISERROR(SEARCH("OFF",AN44)))</formula>
    </cfRule>
    <cfRule type="containsText" dxfId="5" priority="2673" operator="between" text="S">
      <formula>NOT(ISERROR(SEARCH("S",AN44)))</formula>
    </cfRule>
    <cfRule type="containsText" dxfId="6" priority="2674" operator="between" text="I">
      <formula>NOT(ISERROR(SEARCH("I",AN44)))</formula>
    </cfRule>
    <cfRule type="containsText" dxfId="7" priority="2675" operator="between" text="A">
      <formula>NOT(ISERROR(SEARCH("A",AN44)))</formula>
    </cfRule>
    <cfRule type="containsText" dxfId="8" priority="2676" operator="between" text="L">
      <formula>NOT(ISERROR(SEARCH("L",AN44)))</formula>
    </cfRule>
    <cfRule type="containsText" dxfId="6" priority="2677" operator="between" text="A">
      <formula>NOT(ISERROR(SEARCH("A",AN44)))</formula>
    </cfRule>
    <cfRule type="containsText" dxfId="7" priority="2678" operator="between" text="S">
      <formula>NOT(ISERROR(SEARCH("S",AN44)))</formula>
    </cfRule>
    <cfRule type="containsText" dxfId="5" priority="2679" operator="between" text="OFF">
      <formula>NOT(ISERROR(SEARCH("OFF",AN44)))</formula>
    </cfRule>
    <cfRule type="containsText" dxfId="7" priority="2680" operator="between" text="OFF">
      <formula>NOT(ISERROR(SEARCH("OFF",AN44)))</formula>
    </cfRule>
  </conditionalFormatting>
  <conditionalFormatting sqref="E12:AK103">
    <cfRule type="containsText" dxfId="3" priority="661" operator="between" text="OFF">
      <formula>NOT(ISERROR(SEARCH("OFF",E12)))</formula>
    </cfRule>
    <cfRule type="containsText" dxfId="4" priority="662" operator="between" text="OFF">
      <formula>NOT(ISERROR(SEARCH("OFF",E12)))</formula>
    </cfRule>
    <cfRule type="containsText" dxfId="5" priority="663" operator="between" text="S">
      <formula>NOT(ISERROR(SEARCH("S",E12)))</formula>
    </cfRule>
  </conditionalFormatting>
  <conditionalFormatting sqref="E105:AK163">
    <cfRule type="containsText" dxfId="3" priority="671" operator="between" text="OFF">
      <formula>NOT(ISERROR(SEARCH("OFF",E105)))</formula>
    </cfRule>
    <cfRule type="containsText" dxfId="4" priority="672" operator="between" text="OFF">
      <formula>NOT(ISERROR(SEARCH("OFF",E105)))</formula>
    </cfRule>
    <cfRule type="containsText" dxfId="5" priority="673" operator="between" text="S">
      <formula>NOT(ISERROR(SEARCH("S",E105)))</formula>
    </cfRule>
  </conditionalFormatting>
  <conditionalFormatting sqref="X164:Y165">
    <cfRule type="containsText" dxfId="3" priority="2681" operator="between" text="OFF">
      <formula>NOT(ISERROR(SEARCH("OFF",X164)))</formula>
    </cfRule>
    <cfRule type="containsText" dxfId="4" priority="2682" operator="between" text="OFF">
      <formula>NOT(ISERROR(SEARCH("OFF",X164)))</formula>
    </cfRule>
    <cfRule type="containsText" dxfId="5" priority="2683" operator="between" text="S">
      <formula>NOT(ISERROR(SEARCH("S",X164)))</formula>
    </cfRule>
    <cfRule type="containsText" dxfId="6" priority="2684" operator="between" text="I">
      <formula>NOT(ISERROR(SEARCH("I",X164)))</formula>
    </cfRule>
    <cfRule type="containsText" dxfId="7" priority="2685" operator="between" text="A">
      <formula>NOT(ISERROR(SEARCH("A",X164)))</formula>
    </cfRule>
    <cfRule type="containsText" dxfId="8" priority="2686" operator="between" text="L">
      <formula>NOT(ISERROR(SEARCH("L",X164)))</formula>
    </cfRule>
    <cfRule type="containsText" dxfId="6" priority="2687" operator="between" text="A">
      <formula>NOT(ISERROR(SEARCH("A",X164)))</formula>
    </cfRule>
    <cfRule type="containsText" dxfId="7" priority="2688" operator="between" text="S">
      <formula>NOT(ISERROR(SEARCH("S",X164)))</formula>
    </cfRule>
    <cfRule type="containsText" dxfId="5" priority="2689" operator="between" text="OFF">
      <formula>NOT(ISERROR(SEARCH("OFF",X164)))</formula>
    </cfRule>
    <cfRule type="containsText" dxfId="7" priority="2690" operator="between" text="OFF">
      <formula>NOT(ISERROR(SEARCH("OFF",X164)))</formula>
    </cfRule>
  </conditionalFormatting>
  <conditionalFormatting sqref="E166:AL179">
    <cfRule type="containsText" dxfId="3" priority="61" operator="between" text="OFF">
      <formula>NOT(ISERROR(SEARCH("OFF",E166)))</formula>
    </cfRule>
    <cfRule type="containsText" dxfId="4" priority="62" operator="between" text="OFF">
      <formula>NOT(ISERROR(SEARCH("OFF",E166)))</formula>
    </cfRule>
    <cfRule type="containsText" dxfId="5" priority="63" operator="between" text="S">
      <formula>NOT(ISERROR(SEARCH("S",E166)))</formula>
    </cfRule>
  </conditionalFormatting>
  <conditionalFormatting sqref="E168:AK169">
    <cfRule type="containsText" dxfId="8" priority="2396" operator="between" text="L">
      <formula>NOT(ISERROR(SEARCH("L",E168)))</formula>
    </cfRule>
  </conditionalFormatting>
  <conditionalFormatting sqref="E168:AK179">
    <cfRule type="containsText" dxfId="6" priority="2394" operator="between" text="I">
      <formula>NOT(ISERROR(SEARCH("I",E168)))</formula>
    </cfRule>
    <cfRule type="containsText" dxfId="7" priority="2395" operator="between" text="A">
      <formula>NOT(ISERROR(SEARCH("A",E168)))</formula>
    </cfRule>
  </conditionalFormatting>
  <conditionalFormatting sqref="F168:AK169">
    <cfRule type="containsText" dxfId="6" priority="2397" operator="between" text="A">
      <formula>NOT(ISERROR(SEARCH("A",F168)))</formula>
    </cfRule>
  </conditionalFormatting>
  <conditionalFormatting sqref="Z195:AP200">
    <cfRule type="containsText" dxfId="3" priority="31" operator="between" text="OFF">
      <formula>NOT(ISERROR(SEARCH("OFF",Z195)))</formula>
    </cfRule>
    <cfRule type="containsText" dxfId="4" priority="32" operator="between" text="OFF">
      <formula>NOT(ISERROR(SEARCH("OFF",Z195)))</formula>
    </cfRule>
    <cfRule type="containsText" dxfId="5" priority="33" operator="between" text="S">
      <formula>NOT(ISERROR(SEARCH("S",Z195)))</formula>
    </cfRule>
    <cfRule type="containsText" dxfId="6" priority="34" operator="between" text="I">
      <formula>NOT(ISERROR(SEARCH("I",Z195)))</formula>
    </cfRule>
    <cfRule type="containsText" dxfId="7" priority="35" operator="between" text="A">
      <formula>NOT(ISERROR(SEARCH("A",Z195)))</formula>
    </cfRule>
    <cfRule type="containsText" dxfId="8" priority="36" operator="between" text="L">
      <formula>NOT(ISERROR(SEARCH("L",Z195)))</formula>
    </cfRule>
    <cfRule type="containsText" dxfId="6" priority="37" operator="between" text="A">
      <formula>NOT(ISERROR(SEARCH("A",Z195)))</formula>
    </cfRule>
    <cfRule type="containsText" dxfId="7" priority="38" operator="between" text="S">
      <formula>NOT(ISERROR(SEARCH("S",Z195)))</formula>
    </cfRule>
    <cfRule type="containsText" dxfId="5" priority="39" operator="between" text="OFF">
      <formula>NOT(ISERROR(SEARCH("OFF",Z195)))</formula>
    </cfRule>
    <cfRule type="containsText" dxfId="7" priority="40" operator="between" text="OFF">
      <formula>NOT(ISERROR(SEARCH("OFF",Z195)))</formula>
    </cfRule>
  </conditionalFormatting>
  <printOptions horizontalCentered="1"/>
  <pageMargins left="0" right="0" top="0" bottom="0" header="0" footer="0"/>
  <pageSetup paperSize="9" scale="23" orientation="portrait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S258"/>
  <sheetViews>
    <sheetView zoomScale="70" zoomScaleNormal="70" topLeftCell="A10" workbookViewId="0">
      <pane xSplit="2" ySplit="2" topLeftCell="W12" activePane="bottomRight" state="frozen"/>
      <selection/>
      <selection pane="topRight"/>
      <selection pane="bottomLeft"/>
      <selection pane="bottomRight" activeCell="AL10" sqref="AL10:AS12"/>
    </sheetView>
  </sheetViews>
  <sheetFormatPr defaultColWidth="9" defaultRowHeight="14.5"/>
  <cols>
    <col min="1" max="1" width="10.3636363636364" hidden="1" customWidth="1"/>
    <col min="2" max="2" width="18.5454545454545" customWidth="1"/>
    <col min="3" max="3" width="14.6363636363636" customWidth="1"/>
    <col min="4" max="4" width="15.0909090909091" customWidth="1"/>
    <col min="5" max="28" width="7.90909090909091" customWidth="1"/>
    <col min="29" max="35" width="7.90909090909091" style="22" customWidth="1"/>
    <col min="36" max="36" width="8" style="116" customWidth="1"/>
    <col min="37" max="37" width="4.09090909090909" customWidth="1"/>
    <col min="38" max="38" width="6.90909090909091" customWidth="1"/>
    <col min="39" max="40" width="6.36363636363636" customWidth="1"/>
    <col min="41" max="41" width="7" customWidth="1"/>
    <col min="42" max="42" width="7.36363636363636" customWidth="1"/>
    <col min="43" max="43" width="24.0909090909091" customWidth="1"/>
    <col min="44" max="45" width="15.6363636363636" customWidth="1"/>
    <col min="46" max="46" width="9" customWidth="1"/>
  </cols>
  <sheetData>
    <row r="2" ht="20.15" customHeight="1" spans="1:4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1"/>
      <c r="AD2" s="31"/>
      <c r="AE2" s="31"/>
      <c r="AF2" s="31"/>
      <c r="AG2" s="31"/>
      <c r="AH2" s="31"/>
      <c r="AI2" s="31"/>
      <c r="AJ2" s="133"/>
    </row>
    <row r="3" ht="20.15" customHeight="1" spans="1:4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1"/>
      <c r="AD3" s="31"/>
      <c r="AE3" s="31"/>
      <c r="AF3" s="31"/>
      <c r="AG3" s="31"/>
      <c r="AH3" s="31"/>
      <c r="AI3" s="31"/>
      <c r="AJ3" s="133"/>
    </row>
    <row r="4" ht="20.15" customHeight="1" spans="1:45">
      <c r="A4" s="40"/>
      <c r="B4" s="41"/>
      <c r="C4" s="41"/>
      <c r="D4" s="41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134"/>
    </row>
    <row r="5" ht="20.15" customHeight="1" spans="1:45">
      <c r="A5" s="44"/>
      <c r="B5" s="45"/>
      <c r="C5" s="45"/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134"/>
    </row>
    <row r="6" ht="20.15" customHeight="1" spans="1:45">
      <c r="A6" s="44"/>
      <c r="B6" s="45"/>
      <c r="C6" s="45"/>
      <c r="D6" s="45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134"/>
    </row>
    <row r="7" ht="20.15" customHeight="1" spans="1:45">
      <c r="A7" s="44"/>
      <c r="B7" s="45"/>
      <c r="C7" s="45"/>
      <c r="D7" s="45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135"/>
    </row>
    <row r="8" ht="20.15" customHeight="1" spans="1:45">
      <c r="A8" s="53"/>
      <c r="B8" s="54"/>
      <c r="C8" s="54"/>
      <c r="D8" s="54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135"/>
    </row>
    <row r="9" ht="20.15" customHeight="1" spans="1:4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1"/>
      <c r="AD9" s="31"/>
      <c r="AE9" s="31"/>
      <c r="AF9" s="31"/>
      <c r="AG9" s="31"/>
      <c r="AH9" s="31"/>
      <c r="AI9" s="31"/>
      <c r="AJ9" s="133"/>
    </row>
    <row r="10" s="20" customFormat="1" ht="16.5" spans="1:45">
      <c r="A10" s="1" t="s">
        <v>0</v>
      </c>
      <c r="B10" s="1" t="s">
        <v>1</v>
      </c>
      <c r="C10" s="2" t="s">
        <v>2</v>
      </c>
      <c r="D10" s="2" t="s">
        <v>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39"/>
      <c r="AK10" s="56"/>
      <c r="AL10" s="23" t="s">
        <v>5</v>
      </c>
      <c r="AM10" s="24"/>
      <c r="AN10" s="24"/>
      <c r="AO10" s="25"/>
      <c r="AP10" s="2" t="s">
        <v>6</v>
      </c>
      <c r="AQ10" s="2" t="s">
        <v>5</v>
      </c>
      <c r="AR10" s="26" t="s">
        <v>8</v>
      </c>
      <c r="AS10" s="27" t="s">
        <v>9</v>
      </c>
    </row>
    <row r="11" s="21" customFormat="1" ht="23.15" customHeight="1" spans="1:45">
      <c r="A11" s="1"/>
      <c r="B11" s="1"/>
      <c r="C11" s="32"/>
      <c r="D11" s="32"/>
      <c r="E11" s="58">
        <v>21</v>
      </c>
      <c r="F11" s="58">
        <v>22</v>
      </c>
      <c r="G11" s="58">
        <v>23</v>
      </c>
      <c r="H11" s="58">
        <v>24</v>
      </c>
      <c r="I11" s="58">
        <v>25</v>
      </c>
      <c r="J11" s="58">
        <v>26</v>
      </c>
      <c r="K11" s="58">
        <v>27</v>
      </c>
      <c r="L11" s="58">
        <v>28</v>
      </c>
      <c r="M11" s="58">
        <v>29</v>
      </c>
      <c r="N11" s="58">
        <v>30</v>
      </c>
      <c r="O11" s="58">
        <v>1</v>
      </c>
      <c r="P11" s="58">
        <v>2</v>
      </c>
      <c r="Q11" s="58">
        <v>3</v>
      </c>
      <c r="R11" s="58">
        <v>4</v>
      </c>
      <c r="S11" s="58">
        <v>5</v>
      </c>
      <c r="T11" s="58">
        <v>6</v>
      </c>
      <c r="U11" s="58">
        <v>7</v>
      </c>
      <c r="V11" s="58">
        <v>8</v>
      </c>
      <c r="W11" s="58">
        <v>9</v>
      </c>
      <c r="X11" s="58">
        <v>10</v>
      </c>
      <c r="Y11" s="58">
        <v>11</v>
      </c>
      <c r="Z11" s="58">
        <v>12</v>
      </c>
      <c r="AA11" s="58">
        <v>13</v>
      </c>
      <c r="AB11" s="58">
        <v>14</v>
      </c>
      <c r="AC11" s="58">
        <v>15</v>
      </c>
      <c r="AD11" s="58">
        <v>16</v>
      </c>
      <c r="AE11" s="58">
        <v>17</v>
      </c>
      <c r="AF11" s="58">
        <v>18</v>
      </c>
      <c r="AG11" s="58">
        <v>19</v>
      </c>
      <c r="AH11" s="58">
        <v>20</v>
      </c>
      <c r="AI11" s="58"/>
      <c r="AJ11" s="140"/>
      <c r="AK11" s="148" t="s">
        <v>10</v>
      </c>
      <c r="AL11" s="11" t="s">
        <v>11</v>
      </c>
      <c r="AM11" s="11" t="s">
        <v>12</v>
      </c>
      <c r="AN11" s="11" t="s">
        <v>13</v>
      </c>
      <c r="AO11" s="11" t="s">
        <v>14</v>
      </c>
      <c r="AP11" s="32"/>
      <c r="AQ11" s="32"/>
      <c r="AR11" s="33"/>
      <c r="AS11" s="34"/>
    </row>
    <row r="12" s="105" customFormat="1" ht="15" customHeight="1" spans="1:45">
      <c r="A12" s="68">
        <v>1</v>
      </c>
      <c r="B12" s="149" t="s">
        <v>456</v>
      </c>
      <c r="C12" s="150" t="s">
        <v>59</v>
      </c>
      <c r="D12" s="149" t="s">
        <v>227</v>
      </c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113"/>
      <c r="AK12" s="151">
        <f t="shared" ref="AK12:AK75" si="0">COUNTIF(E12:AI12,"H")</f>
        <v>0</v>
      </c>
      <c r="AL12" s="35">
        <f t="shared" ref="AL12:AL75" si="1">COUNTIF(E12:AI12,"S")</f>
        <v>0</v>
      </c>
      <c r="AM12" s="36">
        <f t="shared" ref="AM12:AM75" si="2">COUNTIF(E12:AI12,"I")</f>
        <v>0</v>
      </c>
      <c r="AN12" s="35">
        <f t="shared" ref="AN12:AN75" si="3">COUNTIF(E12:AI12,"A")</f>
        <v>0</v>
      </c>
      <c r="AO12" s="36">
        <f t="shared" ref="AO12:AO75" si="4">COUNTIF(E12:AI12,"OFF")</f>
        <v>0</v>
      </c>
      <c r="AP12" s="37">
        <f t="shared" ref="AP12:AP75" si="5">SUM(AK12:AN12)</f>
        <v>0</v>
      </c>
      <c r="AQ12" s="37" t="s">
        <v>457</v>
      </c>
      <c r="AR12" s="38">
        <v>16</v>
      </c>
      <c r="AS12" s="39">
        <f t="shared" ref="AS12:AS75" si="6">AP12/AR12</f>
        <v>0</v>
      </c>
    </row>
    <row r="13" s="105" customFormat="1" ht="15" customHeight="1" spans="1:45">
      <c r="A13" s="68">
        <v>2</v>
      </c>
      <c r="B13" s="149" t="s">
        <v>419</v>
      </c>
      <c r="C13" s="150" t="s">
        <v>59</v>
      </c>
      <c r="D13" s="152" t="s">
        <v>178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 t="s">
        <v>11</v>
      </c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113"/>
      <c r="AK13" s="151">
        <f t="shared" si="0"/>
        <v>0</v>
      </c>
      <c r="AL13" s="35">
        <f t="shared" si="1"/>
        <v>1</v>
      </c>
      <c r="AM13" s="36">
        <f t="shared" si="2"/>
        <v>0</v>
      </c>
      <c r="AN13" s="35">
        <f t="shared" si="3"/>
        <v>0</v>
      </c>
      <c r="AO13" s="36">
        <f t="shared" si="4"/>
        <v>0</v>
      </c>
      <c r="AP13" s="37">
        <f t="shared" si="5"/>
        <v>1</v>
      </c>
      <c r="AQ13" s="43" t="s">
        <v>382</v>
      </c>
      <c r="AR13" s="38">
        <v>16</v>
      </c>
      <c r="AS13" s="39">
        <f t="shared" si="6"/>
        <v>0.0625</v>
      </c>
    </row>
    <row r="14" s="105" customFormat="1" ht="15" customHeight="1" spans="1:45">
      <c r="A14" s="68">
        <v>3</v>
      </c>
      <c r="B14" s="149" t="s">
        <v>116</v>
      </c>
      <c r="C14" s="150" t="s">
        <v>59</v>
      </c>
      <c r="D14" s="152" t="s">
        <v>236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113"/>
      <c r="AK14" s="151">
        <f t="shared" si="0"/>
        <v>0</v>
      </c>
      <c r="AL14" s="35">
        <f t="shared" si="1"/>
        <v>0</v>
      </c>
      <c r="AM14" s="35">
        <f t="shared" si="2"/>
        <v>0</v>
      </c>
      <c r="AN14" s="47">
        <f t="shared" si="3"/>
        <v>0</v>
      </c>
      <c r="AO14" s="36">
        <f t="shared" si="4"/>
        <v>0</v>
      </c>
      <c r="AP14" s="48">
        <f t="shared" si="5"/>
        <v>0</v>
      </c>
      <c r="AQ14" s="49"/>
      <c r="AR14" s="38">
        <v>16</v>
      </c>
      <c r="AS14" s="39">
        <f t="shared" si="6"/>
        <v>0</v>
      </c>
    </row>
    <row r="15" s="105" customFormat="1" ht="15" customHeight="1" spans="1:45">
      <c r="A15" s="68">
        <v>4</v>
      </c>
      <c r="B15" s="153" t="s">
        <v>458</v>
      </c>
      <c r="C15" s="153" t="s">
        <v>165</v>
      </c>
      <c r="D15" s="152" t="s">
        <v>178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113"/>
      <c r="AK15" s="151">
        <f t="shared" si="0"/>
        <v>0</v>
      </c>
      <c r="AL15" s="35">
        <f t="shared" si="1"/>
        <v>0</v>
      </c>
      <c r="AM15" s="36">
        <f t="shared" si="2"/>
        <v>0</v>
      </c>
      <c r="AN15" s="36">
        <f t="shared" si="3"/>
        <v>0</v>
      </c>
      <c r="AO15" s="36">
        <f t="shared" si="4"/>
        <v>0</v>
      </c>
      <c r="AP15" s="37">
        <f t="shared" si="5"/>
        <v>0</v>
      </c>
      <c r="AQ15" s="37"/>
      <c r="AR15" s="38">
        <v>16</v>
      </c>
      <c r="AS15" s="39">
        <f t="shared" si="6"/>
        <v>0</v>
      </c>
    </row>
    <row r="16" s="105" customFormat="1" ht="15" customHeight="1" spans="1:45">
      <c r="A16" s="68">
        <v>5</v>
      </c>
      <c r="B16" s="149" t="s">
        <v>22</v>
      </c>
      <c r="C16" s="149" t="s">
        <v>16</v>
      </c>
      <c r="D16" s="149" t="str">
        <f>VLOOKUP(B16,'[1]MASTER DATA 2025'!$C$3:$E$279,3,0)</f>
        <v>0Tahun9 Bulan</v>
      </c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113"/>
      <c r="AK16" s="151">
        <f t="shared" si="0"/>
        <v>0</v>
      </c>
      <c r="AL16" s="35">
        <f t="shared" si="1"/>
        <v>0</v>
      </c>
      <c r="AM16" s="36">
        <f t="shared" si="2"/>
        <v>0</v>
      </c>
      <c r="AN16" s="36">
        <f t="shared" si="3"/>
        <v>0</v>
      </c>
      <c r="AO16" s="36">
        <f t="shared" si="4"/>
        <v>0</v>
      </c>
      <c r="AP16" s="37">
        <f t="shared" si="5"/>
        <v>0</v>
      </c>
      <c r="AQ16" s="52"/>
      <c r="AR16" s="38">
        <v>16</v>
      </c>
      <c r="AS16" s="39">
        <f t="shared" si="6"/>
        <v>0</v>
      </c>
    </row>
    <row r="17" s="105" customFormat="1" ht="15" customHeight="1" spans="1:45">
      <c r="A17" s="68">
        <v>6</v>
      </c>
      <c r="B17" s="154" t="s">
        <v>23</v>
      </c>
      <c r="C17" s="154" t="s">
        <v>16</v>
      </c>
      <c r="D17" s="152" t="s">
        <v>503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113"/>
      <c r="AK17" s="151">
        <f t="shared" si="0"/>
        <v>0</v>
      </c>
      <c r="AL17" s="35">
        <f t="shared" si="1"/>
        <v>0</v>
      </c>
      <c r="AM17" s="36">
        <f t="shared" si="2"/>
        <v>0</v>
      </c>
      <c r="AN17" s="35">
        <f t="shared" si="3"/>
        <v>0</v>
      </c>
      <c r="AO17" s="36">
        <f t="shared" si="4"/>
        <v>0</v>
      </c>
      <c r="AP17" s="37">
        <f t="shared" si="5"/>
        <v>0</v>
      </c>
      <c r="AQ17" s="43" t="s">
        <v>459</v>
      </c>
      <c r="AR17" s="38">
        <v>16</v>
      </c>
      <c r="AS17" s="39">
        <f t="shared" si="6"/>
        <v>0</v>
      </c>
    </row>
    <row r="18" s="105" customFormat="1" ht="15" customHeight="1" spans="1:45">
      <c r="A18" s="68">
        <v>7</v>
      </c>
      <c r="B18" s="154" t="s">
        <v>24</v>
      </c>
      <c r="C18" s="154" t="s">
        <v>16</v>
      </c>
      <c r="D18" s="149" t="str">
        <f>VLOOKUP(B18,'[1]MASTER DATA 2025'!$C$3:$E$279,3,0)</f>
        <v>2Tahun1 Bulan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113"/>
      <c r="AK18" s="151">
        <f t="shared" si="0"/>
        <v>0</v>
      </c>
      <c r="AL18" s="36">
        <f t="shared" si="1"/>
        <v>0</v>
      </c>
      <c r="AM18" s="35">
        <f t="shared" si="2"/>
        <v>0</v>
      </c>
      <c r="AN18" s="36">
        <f t="shared" si="3"/>
        <v>0</v>
      </c>
      <c r="AO18" s="36">
        <f t="shared" si="4"/>
        <v>0</v>
      </c>
      <c r="AP18" s="37">
        <f t="shared" si="5"/>
        <v>0</v>
      </c>
      <c r="AQ18" s="37"/>
      <c r="AR18" s="38">
        <v>16</v>
      </c>
      <c r="AS18" s="39">
        <f t="shared" si="6"/>
        <v>0</v>
      </c>
    </row>
    <row r="19" s="105" customFormat="1" ht="15" customHeight="1" spans="1:45">
      <c r="A19" s="68">
        <v>8</v>
      </c>
      <c r="B19" s="154" t="s">
        <v>378</v>
      </c>
      <c r="C19" s="150" t="s">
        <v>16</v>
      </c>
      <c r="D19" s="152" t="s">
        <v>178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113"/>
      <c r="AK19" s="151">
        <f t="shared" si="0"/>
        <v>0</v>
      </c>
      <c r="AL19" s="35">
        <f t="shared" si="1"/>
        <v>0</v>
      </c>
      <c r="AM19" s="36">
        <f t="shared" si="2"/>
        <v>0</v>
      </c>
      <c r="AN19" s="36">
        <f t="shared" si="3"/>
        <v>0</v>
      </c>
      <c r="AO19" s="36">
        <f t="shared" si="4"/>
        <v>0</v>
      </c>
      <c r="AP19" s="37">
        <f t="shared" si="5"/>
        <v>0</v>
      </c>
      <c r="AQ19" s="43" t="s">
        <v>336</v>
      </c>
      <c r="AR19" s="38">
        <v>16</v>
      </c>
      <c r="AS19" s="39">
        <f t="shared" si="6"/>
        <v>0</v>
      </c>
    </row>
    <row r="20" s="105" customFormat="1" ht="15" customHeight="1" spans="1:45">
      <c r="A20" s="68">
        <v>9</v>
      </c>
      <c r="B20" s="154" t="s">
        <v>27</v>
      </c>
      <c r="C20" s="150" t="s">
        <v>16</v>
      </c>
      <c r="D20" s="149" t="str">
        <f>VLOOKUP(B20,'[1]MASTER DATA 2025'!$C$3:$E$279,3,0)</f>
        <v>0Tahun11 Bulan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113"/>
      <c r="AK20" s="151">
        <f t="shared" si="0"/>
        <v>0</v>
      </c>
      <c r="AL20" s="35">
        <f t="shared" si="1"/>
        <v>0</v>
      </c>
      <c r="AM20" s="36">
        <f t="shared" si="2"/>
        <v>0</v>
      </c>
      <c r="AN20" s="36">
        <f t="shared" si="3"/>
        <v>0</v>
      </c>
      <c r="AO20" s="36">
        <f t="shared" si="4"/>
        <v>0</v>
      </c>
      <c r="AP20" s="37">
        <f t="shared" si="5"/>
        <v>0</v>
      </c>
      <c r="AQ20" s="130" t="s">
        <v>193</v>
      </c>
      <c r="AR20" s="38">
        <v>16</v>
      </c>
      <c r="AS20" s="39">
        <f t="shared" si="6"/>
        <v>0</v>
      </c>
    </row>
    <row r="21" s="105" customFormat="1" ht="15" customHeight="1" spans="1:45">
      <c r="A21" s="68">
        <v>10</v>
      </c>
      <c r="B21" s="154" t="s">
        <v>28</v>
      </c>
      <c r="C21" s="150" t="s">
        <v>16</v>
      </c>
      <c r="D21" s="152" t="s">
        <v>196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113"/>
      <c r="AK21" s="151">
        <f t="shared" si="0"/>
        <v>0</v>
      </c>
      <c r="AL21" s="35">
        <f t="shared" si="1"/>
        <v>0</v>
      </c>
      <c r="AM21" s="36">
        <f t="shared" si="2"/>
        <v>0</v>
      </c>
      <c r="AN21" s="36">
        <f t="shared" si="3"/>
        <v>0</v>
      </c>
      <c r="AO21" s="36">
        <f t="shared" si="4"/>
        <v>0</v>
      </c>
      <c r="AP21" s="37">
        <f t="shared" si="5"/>
        <v>0</v>
      </c>
      <c r="AQ21" s="43" t="s">
        <v>336</v>
      </c>
      <c r="AR21" s="38">
        <v>16</v>
      </c>
      <c r="AS21" s="39">
        <f t="shared" si="6"/>
        <v>0</v>
      </c>
    </row>
    <row r="22" s="105" customFormat="1" ht="15" customHeight="1" spans="1:45">
      <c r="A22" s="68">
        <v>11</v>
      </c>
      <c r="B22" s="155" t="s">
        <v>29</v>
      </c>
      <c r="C22" s="150" t="s">
        <v>16</v>
      </c>
      <c r="D22" s="149" t="s">
        <v>153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113"/>
      <c r="AK22" s="151">
        <f t="shared" si="0"/>
        <v>0</v>
      </c>
      <c r="AL22" s="35">
        <f t="shared" si="1"/>
        <v>0</v>
      </c>
      <c r="AM22" s="36">
        <f t="shared" si="2"/>
        <v>0</v>
      </c>
      <c r="AN22" s="36">
        <f t="shared" si="3"/>
        <v>0</v>
      </c>
      <c r="AO22" s="36">
        <f t="shared" si="4"/>
        <v>0</v>
      </c>
      <c r="AP22" s="37">
        <f t="shared" si="5"/>
        <v>0</v>
      </c>
      <c r="AQ22" s="37" t="s">
        <v>303</v>
      </c>
      <c r="AR22" s="38">
        <v>16</v>
      </c>
      <c r="AS22" s="39">
        <f t="shared" si="6"/>
        <v>0</v>
      </c>
    </row>
    <row r="23" s="105" customFormat="1" ht="15" customHeight="1" spans="1:45">
      <c r="A23" s="68">
        <v>12</v>
      </c>
      <c r="B23" s="155" t="s">
        <v>30</v>
      </c>
      <c r="C23" s="150" t="s">
        <v>16</v>
      </c>
      <c r="D23" s="149" t="str">
        <f>VLOOKUP(B23,'[1]MASTER DATA 2025'!$C$3:$E$279,3,0)</f>
        <v>1Tahun1 Bulan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113"/>
      <c r="AK23" s="151">
        <f t="shared" si="0"/>
        <v>0</v>
      </c>
      <c r="AL23" s="35">
        <f t="shared" si="1"/>
        <v>0</v>
      </c>
      <c r="AM23" s="35">
        <f t="shared" si="2"/>
        <v>0</v>
      </c>
      <c r="AN23" s="35">
        <f t="shared" si="3"/>
        <v>0</v>
      </c>
      <c r="AO23" s="36">
        <f t="shared" si="4"/>
        <v>0</v>
      </c>
      <c r="AP23" s="37">
        <f t="shared" si="5"/>
        <v>0</v>
      </c>
      <c r="AQ23" s="37" t="s">
        <v>25</v>
      </c>
      <c r="AR23" s="38">
        <v>16</v>
      </c>
      <c r="AS23" s="39">
        <f t="shared" si="6"/>
        <v>0</v>
      </c>
    </row>
    <row r="24" s="105" customFormat="1" ht="15" customHeight="1" spans="1:45">
      <c r="A24" s="68">
        <v>13</v>
      </c>
      <c r="B24" s="155" t="s">
        <v>31</v>
      </c>
      <c r="C24" s="150" t="s">
        <v>16</v>
      </c>
      <c r="D24" s="152" t="s">
        <v>250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 t="s">
        <v>11</v>
      </c>
      <c r="AG24" s="62"/>
      <c r="AH24" s="62"/>
      <c r="AI24" s="62"/>
      <c r="AJ24" s="113"/>
      <c r="AK24" s="151">
        <f t="shared" si="0"/>
        <v>0</v>
      </c>
      <c r="AL24" s="35">
        <f t="shared" si="1"/>
        <v>1</v>
      </c>
      <c r="AM24" s="35">
        <f t="shared" si="2"/>
        <v>0</v>
      </c>
      <c r="AN24" s="36">
        <f t="shared" si="3"/>
        <v>0</v>
      </c>
      <c r="AO24" s="36">
        <f t="shared" si="4"/>
        <v>0</v>
      </c>
      <c r="AP24" s="37">
        <f t="shared" si="5"/>
        <v>1</v>
      </c>
      <c r="AQ24" s="43" t="s">
        <v>423</v>
      </c>
      <c r="AR24" s="38">
        <v>16</v>
      </c>
      <c r="AS24" s="39">
        <f t="shared" si="6"/>
        <v>0.0625</v>
      </c>
    </row>
    <row r="25" s="105" customFormat="1" ht="15" customHeight="1" spans="1:45">
      <c r="A25" s="68">
        <v>14</v>
      </c>
      <c r="B25" s="154" t="s">
        <v>32</v>
      </c>
      <c r="C25" s="150" t="s">
        <v>16</v>
      </c>
      <c r="D25" s="149" t="str">
        <f>VLOOKUP(B25,'[1]MASTER DATA 2025'!$C$3:$E$279,3,0)</f>
        <v>0Tahun9 Bulan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113"/>
      <c r="AK25" s="151">
        <f t="shared" si="0"/>
        <v>0</v>
      </c>
      <c r="AL25" s="35">
        <f t="shared" si="1"/>
        <v>0</v>
      </c>
      <c r="AM25" s="35">
        <f t="shared" si="2"/>
        <v>0</v>
      </c>
      <c r="AN25" s="47">
        <f t="shared" si="3"/>
        <v>0</v>
      </c>
      <c r="AO25" s="36">
        <f t="shared" si="4"/>
        <v>0</v>
      </c>
      <c r="AP25" s="37">
        <f t="shared" si="5"/>
        <v>0</v>
      </c>
      <c r="AQ25" s="38" t="s">
        <v>168</v>
      </c>
      <c r="AR25" s="38">
        <v>16</v>
      </c>
      <c r="AS25" s="39">
        <f t="shared" si="6"/>
        <v>0</v>
      </c>
    </row>
    <row r="26" s="105" customFormat="1" ht="15" customHeight="1" spans="1:45">
      <c r="A26" s="68">
        <v>15</v>
      </c>
      <c r="B26" s="154" t="s">
        <v>33</v>
      </c>
      <c r="C26" s="150" t="s">
        <v>16</v>
      </c>
      <c r="D26" s="149" t="s">
        <v>163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113"/>
      <c r="AK26" s="151">
        <f t="shared" si="0"/>
        <v>0</v>
      </c>
      <c r="AL26" s="35">
        <f t="shared" si="1"/>
        <v>0</v>
      </c>
      <c r="AM26" s="36">
        <f t="shared" si="2"/>
        <v>0</v>
      </c>
      <c r="AN26" s="36">
        <f t="shared" si="3"/>
        <v>0</v>
      </c>
      <c r="AO26" s="36">
        <f t="shared" si="4"/>
        <v>0</v>
      </c>
      <c r="AP26" s="37">
        <f t="shared" si="5"/>
        <v>0</v>
      </c>
      <c r="AQ26" s="37" t="s">
        <v>337</v>
      </c>
      <c r="AR26" s="38">
        <v>16</v>
      </c>
      <c r="AS26" s="39">
        <f t="shared" si="6"/>
        <v>0</v>
      </c>
    </row>
    <row r="27" s="105" customFormat="1" ht="15" customHeight="1" spans="1:45">
      <c r="A27" s="68">
        <v>16</v>
      </c>
      <c r="B27" s="154" t="s">
        <v>504</v>
      </c>
      <c r="C27" s="150" t="s">
        <v>16</v>
      </c>
      <c r="D27" s="152" t="s">
        <v>112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 t="s">
        <v>11</v>
      </c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113"/>
      <c r="AK27" s="151">
        <f t="shared" si="0"/>
        <v>0</v>
      </c>
      <c r="AL27" s="131">
        <f t="shared" si="1"/>
        <v>1</v>
      </c>
      <c r="AM27" s="103">
        <f t="shared" si="2"/>
        <v>0</v>
      </c>
      <c r="AN27" s="103">
        <f t="shared" si="3"/>
        <v>0</v>
      </c>
      <c r="AO27" s="103">
        <f t="shared" si="4"/>
        <v>0</v>
      </c>
      <c r="AP27" s="128">
        <f t="shared" si="5"/>
        <v>1</v>
      </c>
      <c r="AQ27" s="43" t="s">
        <v>382</v>
      </c>
      <c r="AR27" s="38">
        <v>16</v>
      </c>
      <c r="AS27" s="39">
        <f t="shared" si="6"/>
        <v>0.0625</v>
      </c>
    </row>
    <row r="28" s="105" customFormat="1" ht="15" customHeight="1" spans="1:45">
      <c r="A28" s="68">
        <v>17</v>
      </c>
      <c r="B28" s="154" t="s">
        <v>35</v>
      </c>
      <c r="C28" s="150" t="s">
        <v>16</v>
      </c>
      <c r="D28" s="152" t="s">
        <v>266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113"/>
      <c r="AK28" s="151">
        <f t="shared" si="0"/>
        <v>0</v>
      </c>
      <c r="AL28" s="43">
        <f t="shared" si="1"/>
        <v>0</v>
      </c>
      <c r="AM28" s="66">
        <f t="shared" si="2"/>
        <v>0</v>
      </c>
      <c r="AN28" s="66">
        <f t="shared" si="3"/>
        <v>0</v>
      </c>
      <c r="AO28" s="66">
        <f t="shared" si="4"/>
        <v>0</v>
      </c>
      <c r="AP28" s="43">
        <f t="shared" si="5"/>
        <v>0</v>
      </c>
      <c r="AQ28" s="43" t="s">
        <v>460</v>
      </c>
      <c r="AR28" s="68">
        <v>16</v>
      </c>
      <c r="AS28" s="39">
        <f t="shared" si="6"/>
        <v>0</v>
      </c>
    </row>
    <row r="29" s="105" customFormat="1" ht="15" customHeight="1" spans="1:45">
      <c r="A29" s="68">
        <v>18</v>
      </c>
      <c r="B29" s="149" t="s">
        <v>36</v>
      </c>
      <c r="C29" s="150" t="s">
        <v>20</v>
      </c>
      <c r="D29" s="149" t="s">
        <v>242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 t="s">
        <v>11</v>
      </c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113"/>
      <c r="AK29" s="151">
        <f t="shared" si="0"/>
        <v>0</v>
      </c>
      <c r="AL29" s="35">
        <f t="shared" si="1"/>
        <v>1</v>
      </c>
      <c r="AM29" s="35">
        <f t="shared" si="2"/>
        <v>0</v>
      </c>
      <c r="AN29" s="47">
        <f t="shared" si="3"/>
        <v>0</v>
      </c>
      <c r="AO29" s="36">
        <f t="shared" si="4"/>
        <v>0</v>
      </c>
      <c r="AP29" s="35">
        <f t="shared" si="5"/>
        <v>1</v>
      </c>
      <c r="AQ29" s="35" t="s">
        <v>305</v>
      </c>
      <c r="AR29" s="38">
        <v>16</v>
      </c>
      <c r="AS29" s="39">
        <f t="shared" si="6"/>
        <v>0.0625</v>
      </c>
    </row>
    <row r="30" s="105" customFormat="1" ht="15" customHeight="1" spans="1:45">
      <c r="A30" s="68">
        <v>19</v>
      </c>
      <c r="B30" s="154" t="s">
        <v>38</v>
      </c>
      <c r="C30" s="150" t="s">
        <v>16</v>
      </c>
      <c r="D30" s="152" t="s">
        <v>414</v>
      </c>
      <c r="E30" s="62"/>
      <c r="F30" s="62" t="s">
        <v>11</v>
      </c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113"/>
      <c r="AK30" s="151">
        <f t="shared" si="0"/>
        <v>0</v>
      </c>
      <c r="AL30" s="35">
        <f t="shared" si="1"/>
        <v>1</v>
      </c>
      <c r="AM30" s="35">
        <f t="shared" si="2"/>
        <v>0</v>
      </c>
      <c r="AN30" s="35">
        <f t="shared" si="3"/>
        <v>0</v>
      </c>
      <c r="AO30" s="36">
        <f t="shared" si="4"/>
        <v>0</v>
      </c>
      <c r="AP30" s="37">
        <f t="shared" si="5"/>
        <v>1</v>
      </c>
      <c r="AQ30" s="52" t="s">
        <v>208</v>
      </c>
      <c r="AR30" s="38">
        <v>16</v>
      </c>
      <c r="AS30" s="39">
        <f t="shared" si="6"/>
        <v>0.0625</v>
      </c>
    </row>
    <row r="31" s="105" customFormat="1" ht="15" customHeight="1" spans="1:45">
      <c r="A31" s="68">
        <v>20</v>
      </c>
      <c r="B31" s="154" t="s">
        <v>39</v>
      </c>
      <c r="C31" s="150" t="s">
        <v>16</v>
      </c>
      <c r="D31" s="152" t="s">
        <v>273</v>
      </c>
      <c r="E31" s="62"/>
      <c r="F31" s="62" t="s">
        <v>11</v>
      </c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113"/>
      <c r="AK31" s="151">
        <f t="shared" si="0"/>
        <v>0</v>
      </c>
      <c r="AL31" s="35">
        <f t="shared" si="1"/>
        <v>1</v>
      </c>
      <c r="AM31" s="36">
        <f t="shared" si="2"/>
        <v>0</v>
      </c>
      <c r="AN31" s="36">
        <f t="shared" si="3"/>
        <v>0</v>
      </c>
      <c r="AO31" s="36">
        <f t="shared" si="4"/>
        <v>0</v>
      </c>
      <c r="AP31" s="37">
        <f t="shared" si="5"/>
        <v>1</v>
      </c>
      <c r="AQ31" s="156" t="s">
        <v>239</v>
      </c>
      <c r="AR31" s="38">
        <v>16</v>
      </c>
      <c r="AS31" s="39">
        <f t="shared" si="6"/>
        <v>0.0625</v>
      </c>
    </row>
    <row r="32" s="105" customFormat="1" ht="15" customHeight="1" spans="1:45">
      <c r="A32" s="68">
        <v>21</v>
      </c>
      <c r="B32" s="154" t="s">
        <v>41</v>
      </c>
      <c r="C32" s="150" t="s">
        <v>16</v>
      </c>
      <c r="D32" s="152" t="s">
        <v>153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 t="s">
        <v>11</v>
      </c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113"/>
      <c r="AK32" s="151">
        <f t="shared" si="0"/>
        <v>0</v>
      </c>
      <c r="AL32" s="35">
        <f t="shared" si="1"/>
        <v>1</v>
      </c>
      <c r="AM32" s="35">
        <f t="shared" si="2"/>
        <v>0</v>
      </c>
      <c r="AN32" s="36">
        <f t="shared" si="3"/>
        <v>0</v>
      </c>
      <c r="AO32" s="36">
        <f t="shared" si="4"/>
        <v>0</v>
      </c>
      <c r="AP32" s="37">
        <f t="shared" si="5"/>
        <v>1</v>
      </c>
      <c r="AQ32" s="43" t="s">
        <v>382</v>
      </c>
      <c r="AR32" s="38">
        <v>16</v>
      </c>
      <c r="AS32" s="39">
        <f t="shared" si="6"/>
        <v>0.0625</v>
      </c>
    </row>
    <row r="33" s="105" customFormat="1" ht="15" customHeight="1" spans="1:45">
      <c r="A33" s="68">
        <v>22</v>
      </c>
      <c r="B33" s="154" t="s">
        <v>43</v>
      </c>
      <c r="C33" s="150" t="s">
        <v>16</v>
      </c>
      <c r="D33" s="149" t="str">
        <f>VLOOKUP(B33,'[1]MASTER DATA 2025'!$C$3:$E$279,3,0)</f>
        <v>2Tahun3 Bulan</v>
      </c>
      <c r="E33" s="62"/>
      <c r="F33" s="62"/>
      <c r="G33" s="62"/>
      <c r="H33" s="62"/>
      <c r="I33" s="62" t="s">
        <v>11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 t="s">
        <v>11</v>
      </c>
      <c r="AI33" s="62"/>
      <c r="AJ33" s="113"/>
      <c r="AK33" s="151">
        <f t="shared" si="0"/>
        <v>0</v>
      </c>
      <c r="AL33" s="35">
        <f t="shared" si="1"/>
        <v>2</v>
      </c>
      <c r="AM33" s="36">
        <f t="shared" si="2"/>
        <v>0</v>
      </c>
      <c r="AN33" s="36">
        <f t="shared" si="3"/>
        <v>0</v>
      </c>
      <c r="AO33" s="36">
        <f t="shared" si="4"/>
        <v>0</v>
      </c>
      <c r="AP33" s="37">
        <f t="shared" si="5"/>
        <v>2</v>
      </c>
      <c r="AQ33" s="43"/>
      <c r="AR33" s="38">
        <v>16</v>
      </c>
      <c r="AS33" s="39">
        <f t="shared" si="6"/>
        <v>0.125</v>
      </c>
    </row>
    <row r="34" s="105" customFormat="1" ht="15" customHeight="1" spans="1:45">
      <c r="A34" s="68">
        <v>23</v>
      </c>
      <c r="B34" s="157" t="s">
        <v>44</v>
      </c>
      <c r="C34" s="150" t="s">
        <v>16</v>
      </c>
      <c r="D34" s="149" t="s">
        <v>268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113"/>
      <c r="AK34" s="151">
        <f t="shared" si="0"/>
        <v>0</v>
      </c>
      <c r="AL34" s="35">
        <f t="shared" si="1"/>
        <v>0</v>
      </c>
      <c r="AM34" s="35">
        <f t="shared" si="2"/>
        <v>0</v>
      </c>
      <c r="AN34" s="36">
        <f t="shared" si="3"/>
        <v>0</v>
      </c>
      <c r="AO34" s="36">
        <f t="shared" si="4"/>
        <v>0</v>
      </c>
      <c r="AP34" s="37">
        <f t="shared" si="5"/>
        <v>0</v>
      </c>
      <c r="AQ34" s="43" t="s">
        <v>193</v>
      </c>
      <c r="AR34" s="38">
        <v>16</v>
      </c>
      <c r="AS34" s="39">
        <f t="shared" si="6"/>
        <v>0</v>
      </c>
    </row>
    <row r="35" s="105" customFormat="1" ht="15" customHeight="1" spans="1:45">
      <c r="A35" s="68">
        <v>24</v>
      </c>
      <c r="B35" s="154" t="s">
        <v>117</v>
      </c>
      <c r="C35" s="150" t="s">
        <v>16</v>
      </c>
      <c r="D35" s="152" t="s">
        <v>112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113"/>
      <c r="AK35" s="151">
        <f t="shared" si="0"/>
        <v>0</v>
      </c>
      <c r="AL35" s="35">
        <f t="shared" si="1"/>
        <v>0</v>
      </c>
      <c r="AM35" s="36">
        <f t="shared" si="2"/>
        <v>0</v>
      </c>
      <c r="AN35" s="35">
        <f t="shared" si="3"/>
        <v>0</v>
      </c>
      <c r="AO35" s="36">
        <f t="shared" si="4"/>
        <v>0</v>
      </c>
      <c r="AP35" s="37">
        <f t="shared" si="5"/>
        <v>0</v>
      </c>
      <c r="AQ35" s="147" t="s">
        <v>382</v>
      </c>
      <c r="AR35" s="38">
        <v>16</v>
      </c>
      <c r="AS35" s="39">
        <f t="shared" si="6"/>
        <v>0</v>
      </c>
    </row>
    <row r="36" s="105" customFormat="1" ht="15" customHeight="1" spans="1:45">
      <c r="A36" s="68">
        <v>25</v>
      </c>
      <c r="B36" s="154" t="s">
        <v>462</v>
      </c>
      <c r="C36" s="150" t="s">
        <v>463</v>
      </c>
      <c r="D36" s="152" t="s">
        <v>178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113"/>
      <c r="AK36" s="151">
        <f t="shared" si="0"/>
        <v>0</v>
      </c>
      <c r="AL36" s="35">
        <f t="shared" si="1"/>
        <v>0</v>
      </c>
      <c r="AM36" s="35">
        <f t="shared" si="2"/>
        <v>0</v>
      </c>
      <c r="AN36" s="35">
        <f t="shared" si="3"/>
        <v>0</v>
      </c>
      <c r="AO36" s="36">
        <f t="shared" si="4"/>
        <v>0</v>
      </c>
      <c r="AP36" s="37">
        <f t="shared" si="5"/>
        <v>0</v>
      </c>
      <c r="AQ36" s="156" t="s">
        <v>171</v>
      </c>
      <c r="AR36" s="38">
        <v>16</v>
      </c>
      <c r="AS36" s="39">
        <f t="shared" si="6"/>
        <v>0</v>
      </c>
    </row>
    <row r="37" s="105" customFormat="1" ht="15" customHeight="1" spans="1:45">
      <c r="A37" s="68">
        <v>26</v>
      </c>
      <c r="B37" s="149" t="s">
        <v>464</v>
      </c>
      <c r="C37" s="150" t="s">
        <v>16</v>
      </c>
      <c r="D37" s="152" t="s">
        <v>503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 t="s">
        <v>11</v>
      </c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113"/>
      <c r="AK37" s="151">
        <f t="shared" si="0"/>
        <v>0</v>
      </c>
      <c r="AL37" s="35">
        <f t="shared" si="1"/>
        <v>1</v>
      </c>
      <c r="AM37" s="36">
        <f t="shared" si="2"/>
        <v>0</v>
      </c>
      <c r="AN37" s="36">
        <f t="shared" si="3"/>
        <v>0</v>
      </c>
      <c r="AO37" s="36">
        <f t="shared" si="4"/>
        <v>0</v>
      </c>
      <c r="AP37" s="37">
        <f t="shared" si="5"/>
        <v>1</v>
      </c>
      <c r="AQ37" s="156" t="s">
        <v>201</v>
      </c>
      <c r="AR37" s="38">
        <v>16</v>
      </c>
      <c r="AS37" s="39">
        <f t="shared" si="6"/>
        <v>0.0625</v>
      </c>
    </row>
    <row r="38" s="105" customFormat="1" ht="15" customHeight="1" spans="1:45">
      <c r="A38" s="68">
        <v>27</v>
      </c>
      <c r="B38" s="149" t="s">
        <v>48</v>
      </c>
      <c r="C38" s="150" t="s">
        <v>16</v>
      </c>
      <c r="D38" s="149" t="s">
        <v>217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113"/>
      <c r="AK38" s="151">
        <f t="shared" si="0"/>
        <v>0</v>
      </c>
      <c r="AL38" s="35">
        <f t="shared" si="1"/>
        <v>0</v>
      </c>
      <c r="AM38" s="35">
        <f t="shared" si="2"/>
        <v>0</v>
      </c>
      <c r="AN38" s="35">
        <f t="shared" si="3"/>
        <v>0</v>
      </c>
      <c r="AO38" s="36">
        <f t="shared" si="4"/>
        <v>0</v>
      </c>
      <c r="AP38" s="37">
        <f t="shared" si="5"/>
        <v>0</v>
      </c>
      <c r="AQ38" s="43" t="s">
        <v>336</v>
      </c>
      <c r="AR38" s="38">
        <v>16</v>
      </c>
      <c r="AS38" s="39">
        <f t="shared" si="6"/>
        <v>0</v>
      </c>
    </row>
    <row r="39" s="105" customFormat="1" ht="15" customHeight="1" spans="1:45">
      <c r="A39" s="68">
        <v>28</v>
      </c>
      <c r="B39" s="149" t="s">
        <v>49</v>
      </c>
      <c r="C39" s="150" t="s">
        <v>16</v>
      </c>
      <c r="D39" s="149" t="str">
        <f>VLOOKUP(B39,'[1]MASTER DATA 2025'!$C$3:$E$279,3,0)</f>
        <v>0Tahun2 Bulan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113"/>
      <c r="AK39" s="151">
        <f t="shared" si="0"/>
        <v>0</v>
      </c>
      <c r="AL39" s="35">
        <f t="shared" si="1"/>
        <v>0</v>
      </c>
      <c r="AM39" s="36">
        <f t="shared" si="2"/>
        <v>0</v>
      </c>
      <c r="AN39" s="35">
        <f t="shared" si="3"/>
        <v>0</v>
      </c>
      <c r="AO39" s="36">
        <f t="shared" si="4"/>
        <v>0</v>
      </c>
      <c r="AP39" s="37">
        <f t="shared" si="5"/>
        <v>0</v>
      </c>
      <c r="AQ39" s="49" t="s">
        <v>118</v>
      </c>
      <c r="AR39" s="38">
        <v>16</v>
      </c>
      <c r="AS39" s="39">
        <f t="shared" si="6"/>
        <v>0</v>
      </c>
    </row>
    <row r="40" s="105" customFormat="1" ht="15" customHeight="1" spans="1:45">
      <c r="A40" s="68">
        <v>29</v>
      </c>
      <c r="B40" s="158" t="s">
        <v>50</v>
      </c>
      <c r="C40" s="150" t="s">
        <v>16</v>
      </c>
      <c r="D40" s="149" t="str">
        <f>VLOOKUP(B40,'[1]MASTER DATA 2025'!$C$3:$E$279,3,0)</f>
        <v>1Tahun1 Bulan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113"/>
      <c r="AK40" s="151">
        <f t="shared" si="0"/>
        <v>0</v>
      </c>
      <c r="AL40" s="35">
        <f t="shared" si="1"/>
        <v>0</v>
      </c>
      <c r="AM40" s="36">
        <f t="shared" si="2"/>
        <v>0</v>
      </c>
      <c r="AN40" s="36">
        <f t="shared" si="3"/>
        <v>0</v>
      </c>
      <c r="AO40" s="36">
        <f t="shared" si="4"/>
        <v>0</v>
      </c>
      <c r="AP40" s="128">
        <f t="shared" si="5"/>
        <v>0</v>
      </c>
      <c r="AQ40" s="128" t="s">
        <v>336</v>
      </c>
      <c r="AR40" s="38">
        <v>16</v>
      </c>
      <c r="AS40" s="72">
        <f t="shared" si="6"/>
        <v>0</v>
      </c>
    </row>
    <row r="41" s="105" customFormat="1" ht="15" customHeight="1" spans="1:45">
      <c r="A41" s="68">
        <v>30</v>
      </c>
      <c r="B41" s="154" t="s">
        <v>51</v>
      </c>
      <c r="C41" s="150" t="s">
        <v>16</v>
      </c>
      <c r="D41" s="149" t="s">
        <v>217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 t="s">
        <v>11</v>
      </c>
      <c r="AH41" s="62"/>
      <c r="AI41" s="62"/>
      <c r="AJ41" s="113"/>
      <c r="AK41" s="151">
        <f t="shared" si="0"/>
        <v>0</v>
      </c>
      <c r="AL41" s="35">
        <f t="shared" si="1"/>
        <v>1</v>
      </c>
      <c r="AM41" s="36">
        <f t="shared" si="2"/>
        <v>0</v>
      </c>
      <c r="AN41" s="36">
        <f t="shared" si="3"/>
        <v>0</v>
      </c>
      <c r="AO41" s="36">
        <f t="shared" si="4"/>
        <v>0</v>
      </c>
      <c r="AP41" s="37">
        <f t="shared" si="5"/>
        <v>1</v>
      </c>
      <c r="AQ41" s="43" t="s">
        <v>193</v>
      </c>
      <c r="AR41" s="38">
        <v>26</v>
      </c>
      <c r="AS41" s="39">
        <f t="shared" si="6"/>
        <v>0.0384615384615385</v>
      </c>
    </row>
    <row r="42" s="105" customFormat="1" ht="15" customHeight="1" spans="1:45">
      <c r="A42" s="68">
        <v>31</v>
      </c>
      <c r="B42" s="154" t="s">
        <v>52</v>
      </c>
      <c r="C42" s="150" t="s">
        <v>339</v>
      </c>
      <c r="D42" s="149" t="s">
        <v>394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113"/>
      <c r="AK42" s="151">
        <f t="shared" si="0"/>
        <v>0</v>
      </c>
      <c r="AL42" s="35">
        <f t="shared" si="1"/>
        <v>0</v>
      </c>
      <c r="AM42" s="36">
        <f t="shared" si="2"/>
        <v>0</v>
      </c>
      <c r="AN42" s="36">
        <f t="shared" si="3"/>
        <v>0</v>
      </c>
      <c r="AO42" s="36">
        <f t="shared" si="4"/>
        <v>0</v>
      </c>
      <c r="AP42" s="37">
        <f t="shared" si="5"/>
        <v>0</v>
      </c>
      <c r="AQ42" s="43" t="s">
        <v>193</v>
      </c>
      <c r="AR42" s="38">
        <v>26</v>
      </c>
      <c r="AS42" s="39">
        <f t="shared" si="6"/>
        <v>0</v>
      </c>
    </row>
    <row r="43" s="105" customFormat="1" ht="15" customHeight="1" spans="1:45">
      <c r="A43" s="68">
        <v>32</v>
      </c>
      <c r="B43" s="149" t="s">
        <v>464</v>
      </c>
      <c r="C43" s="150" t="s">
        <v>16</v>
      </c>
      <c r="D43" s="149" t="s">
        <v>178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142"/>
      <c r="AK43" s="151">
        <f t="shared" si="0"/>
        <v>0</v>
      </c>
      <c r="AL43" s="35">
        <f t="shared" si="1"/>
        <v>0</v>
      </c>
      <c r="AM43" s="36">
        <f t="shared" si="2"/>
        <v>0</v>
      </c>
      <c r="AN43" s="36">
        <f t="shared" si="3"/>
        <v>0</v>
      </c>
      <c r="AO43" s="36">
        <f t="shared" si="4"/>
        <v>0</v>
      </c>
      <c r="AP43" s="37">
        <f t="shared" si="5"/>
        <v>0</v>
      </c>
      <c r="AQ43" s="37" t="s">
        <v>25</v>
      </c>
      <c r="AR43" s="38">
        <v>26</v>
      </c>
      <c r="AS43" s="39">
        <f t="shared" si="6"/>
        <v>0</v>
      </c>
    </row>
    <row r="44" s="105" customFormat="1" ht="15" customHeight="1" spans="1:45">
      <c r="A44" s="68">
        <v>33</v>
      </c>
      <c r="B44" s="155" t="s">
        <v>54</v>
      </c>
      <c r="C44" s="150" t="s">
        <v>16</v>
      </c>
      <c r="D44" s="149" t="str">
        <f>VLOOKUP(B44,'[1]MASTER DATA 2025'!$C$3:$E$279,3,0)</f>
        <v>1Tahun2 Bulan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113"/>
      <c r="AK44" s="151">
        <f t="shared" si="0"/>
        <v>0</v>
      </c>
      <c r="AL44" s="35">
        <f t="shared" si="1"/>
        <v>0</v>
      </c>
      <c r="AM44" s="36">
        <f t="shared" si="2"/>
        <v>0</v>
      </c>
      <c r="AN44" s="36">
        <f t="shared" si="3"/>
        <v>0</v>
      </c>
      <c r="AO44" s="36">
        <f t="shared" si="4"/>
        <v>0</v>
      </c>
      <c r="AP44" s="37">
        <f t="shared" si="5"/>
        <v>0</v>
      </c>
      <c r="AQ44" s="37" t="s">
        <v>25</v>
      </c>
      <c r="AR44" s="38">
        <v>26</v>
      </c>
      <c r="AS44" s="39">
        <f t="shared" si="6"/>
        <v>0</v>
      </c>
    </row>
    <row r="45" s="105" customFormat="1" ht="15" customHeight="1" spans="1:45">
      <c r="A45" s="68">
        <v>34</v>
      </c>
      <c r="B45" s="158" t="s">
        <v>383</v>
      </c>
      <c r="C45" s="150" t="s">
        <v>16</v>
      </c>
      <c r="D45" s="149" t="s">
        <v>178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113"/>
      <c r="AK45" s="151">
        <f t="shared" si="0"/>
        <v>0</v>
      </c>
      <c r="AL45" s="35">
        <f t="shared" si="1"/>
        <v>0</v>
      </c>
      <c r="AM45" s="36">
        <f t="shared" si="2"/>
        <v>0</v>
      </c>
      <c r="AN45" s="36">
        <f t="shared" si="3"/>
        <v>0</v>
      </c>
      <c r="AO45" s="36">
        <f t="shared" si="4"/>
        <v>0</v>
      </c>
      <c r="AP45" s="37">
        <f t="shared" si="5"/>
        <v>0</v>
      </c>
      <c r="AQ45" s="43" t="s">
        <v>424</v>
      </c>
      <c r="AR45" s="38">
        <v>26</v>
      </c>
      <c r="AS45" s="39">
        <f t="shared" si="6"/>
        <v>0</v>
      </c>
    </row>
    <row r="46" s="105" customFormat="1" ht="15" customHeight="1" spans="1:45">
      <c r="A46" s="68">
        <v>35</v>
      </c>
      <c r="B46" s="154" t="s">
        <v>465</v>
      </c>
      <c r="C46" s="150" t="s">
        <v>16</v>
      </c>
      <c r="D46" s="149" t="s">
        <v>178</v>
      </c>
      <c r="E46" s="62" t="s">
        <v>11</v>
      </c>
      <c r="F46" s="62" t="s">
        <v>11</v>
      </c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113"/>
      <c r="AK46" s="151">
        <f t="shared" si="0"/>
        <v>0</v>
      </c>
      <c r="AL46" s="35">
        <f t="shared" si="1"/>
        <v>2</v>
      </c>
      <c r="AM46" s="36">
        <f t="shared" si="2"/>
        <v>0</v>
      </c>
      <c r="AN46" s="35">
        <f t="shared" si="3"/>
        <v>0</v>
      </c>
      <c r="AO46" s="36">
        <f t="shared" si="4"/>
        <v>0</v>
      </c>
      <c r="AP46" s="37">
        <f t="shared" si="5"/>
        <v>2</v>
      </c>
      <c r="AQ46" s="129" t="s">
        <v>466</v>
      </c>
      <c r="AR46" s="38">
        <v>26</v>
      </c>
      <c r="AS46" s="39">
        <f t="shared" si="6"/>
        <v>0.0769230769230769</v>
      </c>
    </row>
    <row r="47" s="105" customFormat="1" ht="15" customHeight="1" spans="1:45">
      <c r="A47" s="68">
        <v>36</v>
      </c>
      <c r="B47" s="159" t="s">
        <v>57</v>
      </c>
      <c r="C47" s="150" t="s">
        <v>16</v>
      </c>
      <c r="D47" s="149" t="s">
        <v>266</v>
      </c>
      <c r="E47" s="62"/>
      <c r="F47" s="62"/>
      <c r="G47" s="62"/>
      <c r="H47" s="62"/>
      <c r="I47" s="62"/>
      <c r="J47" s="62" t="s">
        <v>12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113"/>
      <c r="AK47" s="151">
        <f t="shared" si="0"/>
        <v>0</v>
      </c>
      <c r="AL47" s="35">
        <f t="shared" si="1"/>
        <v>0</v>
      </c>
      <c r="AM47" s="36">
        <f t="shared" si="2"/>
        <v>1</v>
      </c>
      <c r="AN47" s="36">
        <f t="shared" si="3"/>
        <v>0</v>
      </c>
      <c r="AO47" s="36">
        <f t="shared" si="4"/>
        <v>0</v>
      </c>
      <c r="AP47" s="37">
        <f t="shared" si="5"/>
        <v>1</v>
      </c>
      <c r="AQ47" s="43" t="s">
        <v>425</v>
      </c>
      <c r="AR47" s="38">
        <v>26</v>
      </c>
      <c r="AS47" s="39">
        <f t="shared" si="6"/>
        <v>0.0384615384615385</v>
      </c>
    </row>
    <row r="48" s="105" customFormat="1" ht="15" customHeight="1" spans="1:45">
      <c r="A48" s="68">
        <v>37</v>
      </c>
      <c r="B48" s="149" t="s">
        <v>58</v>
      </c>
      <c r="C48" s="150" t="s">
        <v>59</v>
      </c>
      <c r="D48" s="149" t="s">
        <v>505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 t="s">
        <v>11</v>
      </c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113"/>
      <c r="AK48" s="151">
        <f t="shared" si="0"/>
        <v>0</v>
      </c>
      <c r="AL48" s="35">
        <f t="shared" si="1"/>
        <v>1</v>
      </c>
      <c r="AM48" s="36">
        <f t="shared" si="2"/>
        <v>0</v>
      </c>
      <c r="AN48" s="35">
        <f t="shared" si="3"/>
        <v>0</v>
      </c>
      <c r="AO48" s="36">
        <f t="shared" si="4"/>
        <v>0</v>
      </c>
      <c r="AP48" s="37">
        <f t="shared" si="5"/>
        <v>1</v>
      </c>
      <c r="AQ48" s="160" t="s">
        <v>427</v>
      </c>
      <c r="AR48" s="38">
        <v>26</v>
      </c>
      <c r="AS48" s="39">
        <f t="shared" si="6"/>
        <v>0.0384615384615385</v>
      </c>
    </row>
    <row r="49" s="105" customFormat="1" ht="15" customHeight="1" spans="1:45">
      <c r="A49" s="68">
        <v>38</v>
      </c>
      <c r="B49" s="149" t="s">
        <v>60</v>
      </c>
      <c r="C49" s="150" t="s">
        <v>61</v>
      </c>
      <c r="D49" s="149" t="str">
        <f>VLOOKUP(B49,'[1]MASTER DATA 2025'!$C$3:$E$279,3,0)</f>
        <v>0Tahun7 Bulan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113"/>
      <c r="AK49" s="151">
        <f t="shared" si="0"/>
        <v>0</v>
      </c>
      <c r="AL49" s="36">
        <f t="shared" si="1"/>
        <v>0</v>
      </c>
      <c r="AM49" s="36">
        <f t="shared" si="2"/>
        <v>0</v>
      </c>
      <c r="AN49" s="36">
        <f t="shared" si="3"/>
        <v>0</v>
      </c>
      <c r="AO49" s="36">
        <f t="shared" si="4"/>
        <v>0</v>
      </c>
      <c r="AP49" s="37">
        <f t="shared" si="5"/>
        <v>0</v>
      </c>
      <c r="AQ49" s="37"/>
      <c r="AR49" s="38">
        <v>26</v>
      </c>
      <c r="AS49" s="39">
        <f t="shared" si="6"/>
        <v>0</v>
      </c>
    </row>
    <row r="50" s="105" customFormat="1" ht="15" customHeight="1" spans="1:45">
      <c r="A50" s="68">
        <v>39</v>
      </c>
      <c r="B50" s="161" t="s">
        <v>62</v>
      </c>
      <c r="C50" s="150" t="s">
        <v>59</v>
      </c>
      <c r="D50" s="149" t="s">
        <v>506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 t="s">
        <v>11</v>
      </c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113"/>
      <c r="AK50" s="151">
        <f t="shared" si="0"/>
        <v>0</v>
      </c>
      <c r="AL50" s="35">
        <f t="shared" si="1"/>
        <v>1</v>
      </c>
      <c r="AM50" s="36">
        <f t="shared" si="2"/>
        <v>0</v>
      </c>
      <c r="AN50" s="36">
        <f t="shared" si="3"/>
        <v>0</v>
      </c>
      <c r="AO50" s="36">
        <f t="shared" si="4"/>
        <v>0</v>
      </c>
      <c r="AP50" s="37">
        <f t="shared" si="5"/>
        <v>1</v>
      </c>
      <c r="AQ50" s="156" t="s">
        <v>275</v>
      </c>
      <c r="AR50" s="38">
        <v>26</v>
      </c>
      <c r="AS50" s="39">
        <f t="shared" si="6"/>
        <v>0.0384615384615385</v>
      </c>
    </row>
    <row r="51" s="105" customFormat="1" ht="15" customHeight="1" spans="1:45">
      <c r="A51" s="68">
        <v>40</v>
      </c>
      <c r="B51" s="161" t="s">
        <v>63</v>
      </c>
      <c r="C51" s="150" t="s">
        <v>61</v>
      </c>
      <c r="D51" s="149" t="str">
        <f>VLOOKUP(B51,'[1]MASTER DATA 2025'!$C$3:$E$279,3,0)</f>
        <v>0Tahun9 Bulan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113"/>
      <c r="AK51" s="151">
        <f t="shared" si="0"/>
        <v>0</v>
      </c>
      <c r="AL51" s="35">
        <f t="shared" si="1"/>
        <v>0</v>
      </c>
      <c r="AM51" s="35">
        <f t="shared" si="2"/>
        <v>0</v>
      </c>
      <c r="AN51" s="36">
        <f t="shared" si="3"/>
        <v>0</v>
      </c>
      <c r="AO51" s="36">
        <f t="shared" si="4"/>
        <v>0</v>
      </c>
      <c r="AP51" s="37">
        <f t="shared" si="5"/>
        <v>0</v>
      </c>
      <c r="AQ51" s="37"/>
      <c r="AR51" s="38">
        <v>26</v>
      </c>
      <c r="AS51" s="39">
        <f t="shared" si="6"/>
        <v>0</v>
      </c>
    </row>
    <row r="52" s="105" customFormat="1" ht="15" customHeight="1" spans="1:45">
      <c r="A52" s="68">
        <v>41</v>
      </c>
      <c r="B52" s="161" t="s">
        <v>64</v>
      </c>
      <c r="C52" s="150" t="s">
        <v>61</v>
      </c>
      <c r="D52" s="149" t="str">
        <f>VLOOKUP(B52,'[1]MASTER DATA 2025'!$C$3:$E$279,3,0)</f>
        <v>3Tahun0 Bulan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113"/>
      <c r="AK52" s="151">
        <f t="shared" si="0"/>
        <v>0</v>
      </c>
      <c r="AL52" s="35">
        <f t="shared" si="1"/>
        <v>0</v>
      </c>
      <c r="AM52" s="36">
        <f t="shared" si="2"/>
        <v>0</v>
      </c>
      <c r="AN52" s="36">
        <f t="shared" si="3"/>
        <v>0</v>
      </c>
      <c r="AO52" s="36">
        <f t="shared" si="4"/>
        <v>0</v>
      </c>
      <c r="AP52" s="37">
        <f t="shared" si="5"/>
        <v>0</v>
      </c>
      <c r="AQ52" s="37"/>
      <c r="AR52" s="38">
        <v>26</v>
      </c>
      <c r="AS52" s="39">
        <f t="shared" si="6"/>
        <v>0</v>
      </c>
    </row>
    <row r="53" s="105" customFormat="1" ht="15" customHeight="1" spans="1:45">
      <c r="A53" s="68">
        <v>42</v>
      </c>
      <c r="B53" s="154" t="s">
        <v>65</v>
      </c>
      <c r="C53" s="150" t="s">
        <v>16</v>
      </c>
      <c r="D53" s="149" t="s">
        <v>236</v>
      </c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113"/>
      <c r="AK53" s="151">
        <f t="shared" si="0"/>
        <v>0</v>
      </c>
      <c r="AL53" s="35">
        <f t="shared" si="1"/>
        <v>0</v>
      </c>
      <c r="AM53" s="36">
        <f t="shared" si="2"/>
        <v>0</v>
      </c>
      <c r="AN53" s="36">
        <f t="shared" si="3"/>
        <v>0</v>
      </c>
      <c r="AO53" s="36">
        <f t="shared" si="4"/>
        <v>0</v>
      </c>
      <c r="AP53" s="37">
        <f t="shared" si="5"/>
        <v>0</v>
      </c>
      <c r="AQ53" s="37"/>
      <c r="AR53" s="38">
        <v>26</v>
      </c>
      <c r="AS53" s="39">
        <f t="shared" si="6"/>
        <v>0</v>
      </c>
    </row>
    <row r="54" s="105" customFormat="1" ht="15" customHeight="1" spans="1:45">
      <c r="A54" s="68">
        <v>43</v>
      </c>
      <c r="B54" s="154" t="s">
        <v>66</v>
      </c>
      <c r="C54" s="150" t="s">
        <v>16</v>
      </c>
      <c r="D54" s="149" t="s">
        <v>242</v>
      </c>
      <c r="E54" s="62"/>
      <c r="F54" s="62" t="s">
        <v>11</v>
      </c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 t="s">
        <v>11</v>
      </c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113"/>
      <c r="AK54" s="151">
        <f t="shared" si="0"/>
        <v>0</v>
      </c>
      <c r="AL54" s="35">
        <f t="shared" si="1"/>
        <v>2</v>
      </c>
      <c r="AM54" s="35">
        <f t="shared" si="2"/>
        <v>0</v>
      </c>
      <c r="AN54" s="47">
        <f t="shared" si="3"/>
        <v>0</v>
      </c>
      <c r="AO54" s="36">
        <f t="shared" si="4"/>
        <v>0</v>
      </c>
      <c r="AP54" s="37">
        <f t="shared" si="5"/>
        <v>2</v>
      </c>
      <c r="AQ54" s="43" t="s">
        <v>382</v>
      </c>
      <c r="AR54" s="38">
        <v>26</v>
      </c>
      <c r="AS54" s="39">
        <f t="shared" si="6"/>
        <v>0.0769230769230769</v>
      </c>
    </row>
    <row r="55" s="105" customFormat="1" ht="15" customHeight="1" spans="1:45">
      <c r="A55" s="68">
        <v>44</v>
      </c>
      <c r="B55" s="154" t="s">
        <v>385</v>
      </c>
      <c r="C55" s="150" t="s">
        <v>16</v>
      </c>
      <c r="D55" s="162" t="s">
        <v>180</v>
      </c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113"/>
      <c r="AK55" s="151">
        <f t="shared" si="0"/>
        <v>0</v>
      </c>
      <c r="AL55" s="35">
        <f t="shared" si="1"/>
        <v>0</v>
      </c>
      <c r="AM55" s="36">
        <f t="shared" si="2"/>
        <v>0</v>
      </c>
      <c r="AN55" s="36">
        <f t="shared" si="3"/>
        <v>0</v>
      </c>
      <c r="AO55" s="36">
        <f t="shared" si="4"/>
        <v>0</v>
      </c>
      <c r="AP55" s="37">
        <f t="shared" si="5"/>
        <v>0</v>
      </c>
      <c r="AQ55" s="43" t="s">
        <v>467</v>
      </c>
      <c r="AR55" s="38">
        <v>26</v>
      </c>
      <c r="AS55" s="39">
        <f t="shared" si="6"/>
        <v>0</v>
      </c>
    </row>
    <row r="56" s="105" customFormat="1" ht="15" customHeight="1" spans="1:45">
      <c r="A56" s="68">
        <v>45</v>
      </c>
      <c r="B56" s="154" t="s">
        <v>507</v>
      </c>
      <c r="C56" s="150" t="s">
        <v>59</v>
      </c>
      <c r="D56" s="152" t="s">
        <v>205</v>
      </c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 t="s">
        <v>11</v>
      </c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113"/>
      <c r="AK56" s="151">
        <f t="shared" si="0"/>
        <v>0</v>
      </c>
      <c r="AL56" s="35">
        <f t="shared" si="1"/>
        <v>1</v>
      </c>
      <c r="AM56" s="36">
        <f t="shared" si="2"/>
        <v>0</v>
      </c>
      <c r="AN56" s="35">
        <f t="shared" si="3"/>
        <v>0</v>
      </c>
      <c r="AO56" s="36">
        <f t="shared" si="4"/>
        <v>0</v>
      </c>
      <c r="AP56" s="37">
        <f t="shared" si="5"/>
        <v>1</v>
      </c>
      <c r="AQ56" s="37" t="s">
        <v>272</v>
      </c>
      <c r="AR56" s="38">
        <v>26</v>
      </c>
      <c r="AS56" s="39">
        <f t="shared" si="6"/>
        <v>0.0384615384615385</v>
      </c>
    </row>
    <row r="57" s="105" customFormat="1" ht="15" customHeight="1" spans="1:45">
      <c r="A57" s="68">
        <v>46</v>
      </c>
      <c r="B57" s="154" t="s">
        <v>69</v>
      </c>
      <c r="C57" s="150" t="s">
        <v>16</v>
      </c>
      <c r="D57" s="149" t="s">
        <v>344</v>
      </c>
      <c r="E57" s="62"/>
      <c r="F57" s="62"/>
      <c r="G57" s="62"/>
      <c r="H57" s="62"/>
      <c r="I57" s="62" t="s">
        <v>12</v>
      </c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113"/>
      <c r="AK57" s="151">
        <f t="shared" si="0"/>
        <v>0</v>
      </c>
      <c r="AL57" s="35">
        <f t="shared" si="1"/>
        <v>0</v>
      </c>
      <c r="AM57" s="36">
        <f t="shared" si="2"/>
        <v>1</v>
      </c>
      <c r="AN57" s="36">
        <f t="shared" si="3"/>
        <v>0</v>
      </c>
      <c r="AO57" s="36">
        <f t="shared" si="4"/>
        <v>0</v>
      </c>
      <c r="AP57" s="37">
        <f t="shared" si="5"/>
        <v>1</v>
      </c>
      <c r="AQ57" s="43" t="s">
        <v>193</v>
      </c>
      <c r="AR57" s="38">
        <v>26</v>
      </c>
      <c r="AS57" s="39">
        <f t="shared" si="6"/>
        <v>0.0384615384615385</v>
      </c>
    </row>
    <row r="58" s="105" customFormat="1" ht="15" customHeight="1" spans="1:45">
      <c r="A58" s="68">
        <v>47</v>
      </c>
      <c r="B58" s="154" t="s">
        <v>468</v>
      </c>
      <c r="C58" s="150" t="s">
        <v>16</v>
      </c>
      <c r="D58" s="15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113"/>
      <c r="AK58" s="151">
        <f t="shared" si="0"/>
        <v>0</v>
      </c>
      <c r="AL58" s="35">
        <f t="shared" si="1"/>
        <v>0</v>
      </c>
      <c r="AM58" s="36">
        <f t="shared" si="2"/>
        <v>0</v>
      </c>
      <c r="AN58" s="36">
        <f t="shared" si="3"/>
        <v>0</v>
      </c>
      <c r="AO58" s="36">
        <f t="shared" si="4"/>
        <v>0</v>
      </c>
      <c r="AP58" s="37">
        <f t="shared" si="5"/>
        <v>0</v>
      </c>
      <c r="AQ58" s="43" t="s">
        <v>336</v>
      </c>
      <c r="AR58" s="38">
        <v>26</v>
      </c>
      <c r="AS58" s="39">
        <f t="shared" si="6"/>
        <v>0</v>
      </c>
    </row>
    <row r="59" s="105" customFormat="1" ht="15" customHeight="1" spans="1:45">
      <c r="A59" s="68">
        <v>48</v>
      </c>
      <c r="B59" s="154" t="s">
        <v>71</v>
      </c>
      <c r="C59" s="150" t="s">
        <v>59</v>
      </c>
      <c r="D59" s="149" t="str">
        <f>VLOOKUP(B59,'[1]MASTER DATA 2025'!$C$3:$E$279,3,0)</f>
        <v>0Tahun5 Bulan</v>
      </c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113"/>
      <c r="AK59" s="151">
        <f t="shared" si="0"/>
        <v>0</v>
      </c>
      <c r="AL59" s="35">
        <f t="shared" si="1"/>
        <v>0</v>
      </c>
      <c r="AM59" s="36">
        <f t="shared" si="2"/>
        <v>0</v>
      </c>
      <c r="AN59" s="36">
        <f t="shared" si="3"/>
        <v>0</v>
      </c>
      <c r="AO59" s="36">
        <f t="shared" si="4"/>
        <v>0</v>
      </c>
      <c r="AP59" s="37">
        <f t="shared" si="5"/>
        <v>0</v>
      </c>
      <c r="AQ59" s="37" t="s">
        <v>25</v>
      </c>
      <c r="AR59" s="38">
        <v>26</v>
      </c>
      <c r="AS59" s="39">
        <f t="shared" si="6"/>
        <v>0</v>
      </c>
    </row>
    <row r="60" s="105" customFormat="1" ht="15" customHeight="1" spans="1:45">
      <c r="A60" s="68">
        <v>49</v>
      </c>
      <c r="B60" s="154" t="s">
        <v>72</v>
      </c>
      <c r="C60" s="163" t="s">
        <v>16</v>
      </c>
      <c r="D60" s="149" t="s">
        <v>153</v>
      </c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113"/>
      <c r="AK60" s="151">
        <f t="shared" si="0"/>
        <v>0</v>
      </c>
      <c r="AL60" s="35">
        <f t="shared" si="1"/>
        <v>0</v>
      </c>
      <c r="AM60" s="36">
        <f t="shared" si="2"/>
        <v>0</v>
      </c>
      <c r="AN60" s="35">
        <f t="shared" si="3"/>
        <v>0</v>
      </c>
      <c r="AO60" s="36">
        <f t="shared" si="4"/>
        <v>0</v>
      </c>
      <c r="AP60" s="37">
        <f t="shared" si="5"/>
        <v>0</v>
      </c>
      <c r="AQ60" s="43" t="s">
        <v>193</v>
      </c>
      <c r="AR60" s="38">
        <v>26</v>
      </c>
      <c r="AS60" s="39">
        <f t="shared" si="6"/>
        <v>0</v>
      </c>
    </row>
    <row r="61" s="105" customFormat="1" ht="15" customHeight="1" spans="1:45">
      <c r="A61" s="68">
        <v>50</v>
      </c>
      <c r="B61" s="154" t="s">
        <v>73</v>
      </c>
      <c r="C61" s="150" t="s">
        <v>16</v>
      </c>
      <c r="D61" s="152" t="s">
        <v>268</v>
      </c>
      <c r="E61" s="62"/>
      <c r="F61" s="62"/>
      <c r="G61" s="62"/>
      <c r="H61" s="62"/>
      <c r="I61" s="62" t="s">
        <v>11</v>
      </c>
      <c r="J61" s="62"/>
      <c r="K61" s="62"/>
      <c r="L61" s="62"/>
      <c r="M61" s="62"/>
      <c r="N61" s="62"/>
      <c r="O61" s="62"/>
      <c r="P61" s="62" t="s">
        <v>11</v>
      </c>
      <c r="Q61" s="62" t="s">
        <v>11</v>
      </c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113"/>
      <c r="AK61" s="151">
        <f t="shared" si="0"/>
        <v>0</v>
      </c>
      <c r="AL61" s="35">
        <f t="shared" si="1"/>
        <v>3</v>
      </c>
      <c r="AM61" s="36">
        <f t="shared" si="2"/>
        <v>0</v>
      </c>
      <c r="AN61" s="35">
        <f t="shared" si="3"/>
        <v>0</v>
      </c>
      <c r="AO61" s="36">
        <f t="shared" si="4"/>
        <v>0</v>
      </c>
      <c r="AP61" s="37">
        <f t="shared" si="5"/>
        <v>3</v>
      </c>
      <c r="AQ61" s="43" t="s">
        <v>193</v>
      </c>
      <c r="AR61" s="38">
        <v>26</v>
      </c>
      <c r="AS61" s="39">
        <f t="shared" si="6"/>
        <v>0.115384615384615</v>
      </c>
    </row>
    <row r="62" s="105" customFormat="1" ht="15" customHeight="1" spans="1:45">
      <c r="A62" s="68">
        <v>51</v>
      </c>
      <c r="B62" s="154" t="s">
        <v>74</v>
      </c>
      <c r="C62" s="150" t="s">
        <v>16</v>
      </c>
      <c r="D62" s="149" t="s">
        <v>267</v>
      </c>
      <c r="E62" s="62"/>
      <c r="F62" s="62"/>
      <c r="G62" s="62" t="s">
        <v>11</v>
      </c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 t="s">
        <v>40</v>
      </c>
      <c r="AG62" s="62"/>
      <c r="AH62" s="62"/>
      <c r="AI62" s="62"/>
      <c r="AJ62" s="113"/>
      <c r="AK62" s="151">
        <f t="shared" si="0"/>
        <v>0</v>
      </c>
      <c r="AL62" s="131">
        <f t="shared" si="1"/>
        <v>2</v>
      </c>
      <c r="AM62" s="103">
        <f t="shared" si="2"/>
        <v>0</v>
      </c>
      <c r="AN62" s="103">
        <f t="shared" si="3"/>
        <v>0</v>
      </c>
      <c r="AO62" s="103">
        <f t="shared" si="4"/>
        <v>0</v>
      </c>
      <c r="AP62" s="128">
        <f t="shared" si="5"/>
        <v>2</v>
      </c>
      <c r="AQ62" s="147" t="s">
        <v>428</v>
      </c>
      <c r="AR62" s="38">
        <v>26</v>
      </c>
      <c r="AS62" s="39">
        <f t="shared" si="6"/>
        <v>0.0769230769230769</v>
      </c>
    </row>
    <row r="63" s="105" customFormat="1" ht="15" customHeight="1" spans="1:45">
      <c r="A63" s="68">
        <v>52</v>
      </c>
      <c r="B63" s="154" t="s">
        <v>75</v>
      </c>
      <c r="C63" s="150" t="s">
        <v>16</v>
      </c>
      <c r="D63" s="149" t="s">
        <v>153</v>
      </c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113"/>
      <c r="AK63" s="151">
        <f t="shared" si="0"/>
        <v>0</v>
      </c>
      <c r="AL63" s="43">
        <f t="shared" si="1"/>
        <v>0</v>
      </c>
      <c r="AM63" s="43">
        <f t="shared" si="2"/>
        <v>0</v>
      </c>
      <c r="AN63" s="66">
        <f t="shared" si="3"/>
        <v>0</v>
      </c>
      <c r="AO63" s="66">
        <f t="shared" si="4"/>
        <v>0</v>
      </c>
      <c r="AP63" s="43">
        <f t="shared" si="5"/>
        <v>0</v>
      </c>
      <c r="AQ63" s="43" t="s">
        <v>429</v>
      </c>
      <c r="AR63" s="68">
        <v>26</v>
      </c>
      <c r="AS63" s="39">
        <f t="shared" si="6"/>
        <v>0</v>
      </c>
    </row>
    <row r="64" s="105" customFormat="1" ht="15" customHeight="1" spans="1:45">
      <c r="A64" s="68">
        <v>53</v>
      </c>
      <c r="B64" s="154" t="s">
        <v>76</v>
      </c>
      <c r="C64" s="150" t="s">
        <v>59</v>
      </c>
      <c r="D64" s="152" t="s">
        <v>236</v>
      </c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113"/>
      <c r="AK64" s="151">
        <f t="shared" si="0"/>
        <v>0</v>
      </c>
      <c r="AL64" s="35">
        <f t="shared" si="1"/>
        <v>0</v>
      </c>
      <c r="AM64" s="36">
        <f t="shared" si="2"/>
        <v>0</v>
      </c>
      <c r="AN64" s="36">
        <f t="shared" si="3"/>
        <v>0</v>
      </c>
      <c r="AO64" s="36">
        <f t="shared" si="4"/>
        <v>0</v>
      </c>
      <c r="AP64" s="35">
        <f t="shared" si="5"/>
        <v>0</v>
      </c>
      <c r="AQ64" s="43" t="s">
        <v>430</v>
      </c>
      <c r="AR64" s="38">
        <v>26</v>
      </c>
      <c r="AS64" s="39">
        <f t="shared" si="6"/>
        <v>0</v>
      </c>
    </row>
    <row r="65" s="105" customFormat="1" ht="15" customHeight="1" spans="1:45">
      <c r="A65" s="68">
        <v>54</v>
      </c>
      <c r="B65" s="154" t="s">
        <v>77</v>
      </c>
      <c r="C65" s="150" t="s">
        <v>16</v>
      </c>
      <c r="D65" s="152" t="s">
        <v>217</v>
      </c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113"/>
      <c r="AK65" s="151">
        <f t="shared" si="0"/>
        <v>0</v>
      </c>
      <c r="AL65" s="35">
        <f t="shared" si="1"/>
        <v>0</v>
      </c>
      <c r="AM65" s="36">
        <f t="shared" si="2"/>
        <v>0</v>
      </c>
      <c r="AN65" s="36">
        <f t="shared" si="3"/>
        <v>0</v>
      </c>
      <c r="AO65" s="36">
        <f t="shared" si="4"/>
        <v>0</v>
      </c>
      <c r="AP65" s="37">
        <f t="shared" si="5"/>
        <v>0</v>
      </c>
      <c r="AQ65" s="43" t="s">
        <v>193</v>
      </c>
      <c r="AR65" s="38">
        <v>26</v>
      </c>
      <c r="AS65" s="39">
        <f t="shared" si="6"/>
        <v>0</v>
      </c>
    </row>
    <row r="66" s="105" customFormat="1" ht="15" customHeight="1" spans="1:45">
      <c r="A66" s="68">
        <v>55</v>
      </c>
      <c r="B66" s="154" t="s">
        <v>78</v>
      </c>
      <c r="C66" s="150" t="s">
        <v>16</v>
      </c>
      <c r="D66" s="152" t="s">
        <v>508</v>
      </c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 t="s">
        <v>11</v>
      </c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113"/>
      <c r="AK66" s="151">
        <f t="shared" si="0"/>
        <v>0</v>
      </c>
      <c r="AL66" s="35">
        <f t="shared" si="1"/>
        <v>1</v>
      </c>
      <c r="AM66" s="36">
        <f t="shared" si="2"/>
        <v>0</v>
      </c>
      <c r="AN66" s="36">
        <f t="shared" si="3"/>
        <v>0</v>
      </c>
      <c r="AO66" s="36">
        <f t="shared" si="4"/>
        <v>0</v>
      </c>
      <c r="AP66" s="37">
        <f t="shared" si="5"/>
        <v>1</v>
      </c>
      <c r="AQ66" s="43" t="s">
        <v>431</v>
      </c>
      <c r="AR66" s="38">
        <v>26</v>
      </c>
      <c r="AS66" s="39">
        <f t="shared" si="6"/>
        <v>0.0384615384615385</v>
      </c>
    </row>
    <row r="67" s="105" customFormat="1" ht="15" customHeight="1" spans="1:45">
      <c r="A67" s="68">
        <v>56</v>
      </c>
      <c r="B67" s="154" t="s">
        <v>79</v>
      </c>
      <c r="C67" s="150" t="s">
        <v>16</v>
      </c>
      <c r="D67" s="152" t="s">
        <v>503</v>
      </c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113"/>
      <c r="AK67" s="151">
        <f t="shared" si="0"/>
        <v>0</v>
      </c>
      <c r="AL67" s="35">
        <f t="shared" si="1"/>
        <v>0</v>
      </c>
      <c r="AM67" s="36">
        <f t="shared" si="2"/>
        <v>0</v>
      </c>
      <c r="AN67" s="36">
        <f t="shared" si="3"/>
        <v>0</v>
      </c>
      <c r="AO67" s="36">
        <f t="shared" si="4"/>
        <v>0</v>
      </c>
      <c r="AP67" s="37">
        <f t="shared" si="5"/>
        <v>0</v>
      </c>
      <c r="AQ67" s="160" t="s">
        <v>388</v>
      </c>
      <c r="AR67" s="38">
        <v>26</v>
      </c>
      <c r="AS67" s="39">
        <f t="shared" si="6"/>
        <v>0</v>
      </c>
    </row>
    <row r="68" s="105" customFormat="1" ht="15" customHeight="1" spans="1:45">
      <c r="A68" s="68">
        <v>57</v>
      </c>
      <c r="B68" s="154" t="s">
        <v>469</v>
      </c>
      <c r="C68" s="150" t="s">
        <v>59</v>
      </c>
      <c r="D68" s="149" t="s">
        <v>178</v>
      </c>
      <c r="E68" s="62"/>
      <c r="F68" s="62" t="s">
        <v>13</v>
      </c>
      <c r="G68" s="62" t="s">
        <v>13</v>
      </c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113"/>
      <c r="AK68" s="151">
        <f t="shared" si="0"/>
        <v>0</v>
      </c>
      <c r="AL68" s="35">
        <f t="shared" si="1"/>
        <v>0</v>
      </c>
      <c r="AM68" s="35">
        <f t="shared" si="2"/>
        <v>0</v>
      </c>
      <c r="AN68" s="47">
        <f t="shared" si="3"/>
        <v>2</v>
      </c>
      <c r="AO68" s="36">
        <f t="shared" si="4"/>
        <v>0</v>
      </c>
      <c r="AP68" s="37">
        <f t="shared" si="5"/>
        <v>2</v>
      </c>
      <c r="AQ68" s="49" t="s">
        <v>193</v>
      </c>
      <c r="AR68" s="38">
        <v>26</v>
      </c>
      <c r="AS68" s="39">
        <f t="shared" si="6"/>
        <v>0.0769230769230769</v>
      </c>
    </row>
    <row r="69" s="105" customFormat="1" ht="15" customHeight="1" spans="1:45">
      <c r="A69" s="68">
        <v>58</v>
      </c>
      <c r="B69" s="154" t="s">
        <v>81</v>
      </c>
      <c r="C69" s="150" t="s">
        <v>16</v>
      </c>
      <c r="D69" s="152" t="s">
        <v>340</v>
      </c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113"/>
      <c r="AK69" s="151">
        <f t="shared" si="0"/>
        <v>0</v>
      </c>
      <c r="AL69" s="35">
        <f t="shared" si="1"/>
        <v>0</v>
      </c>
      <c r="AM69" s="36">
        <f t="shared" si="2"/>
        <v>0</v>
      </c>
      <c r="AN69" s="36">
        <f t="shared" si="3"/>
        <v>0</v>
      </c>
      <c r="AO69" s="36">
        <f t="shared" si="4"/>
        <v>0</v>
      </c>
      <c r="AP69" s="37">
        <f t="shared" si="5"/>
        <v>0</v>
      </c>
      <c r="AQ69" s="43" t="s">
        <v>193</v>
      </c>
      <c r="AR69" s="38">
        <v>26</v>
      </c>
      <c r="AS69" s="39">
        <f t="shared" si="6"/>
        <v>0</v>
      </c>
    </row>
    <row r="70" s="105" customFormat="1" ht="15" customHeight="1" spans="1:45">
      <c r="A70" s="68">
        <v>59</v>
      </c>
      <c r="B70" s="154" t="s">
        <v>432</v>
      </c>
      <c r="C70" s="150" t="s">
        <v>59</v>
      </c>
      <c r="D70" s="149" t="s">
        <v>178</v>
      </c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113"/>
      <c r="AK70" s="151">
        <f t="shared" si="0"/>
        <v>0</v>
      </c>
      <c r="AL70" s="35">
        <f t="shared" si="1"/>
        <v>0</v>
      </c>
      <c r="AM70" s="35">
        <f t="shared" si="2"/>
        <v>0</v>
      </c>
      <c r="AN70" s="47">
        <f t="shared" si="3"/>
        <v>0</v>
      </c>
      <c r="AO70" s="36">
        <f t="shared" si="4"/>
        <v>0</v>
      </c>
      <c r="AP70" s="37">
        <f t="shared" si="5"/>
        <v>0</v>
      </c>
      <c r="AQ70" s="43" t="s">
        <v>433</v>
      </c>
      <c r="AR70" s="38">
        <v>26</v>
      </c>
      <c r="AS70" s="39">
        <f t="shared" si="6"/>
        <v>0</v>
      </c>
    </row>
    <row r="71" s="105" customFormat="1" ht="15" customHeight="1" spans="1:45">
      <c r="A71" s="68">
        <v>60</v>
      </c>
      <c r="B71" s="154" t="s">
        <v>83</v>
      </c>
      <c r="C71" s="150" t="s">
        <v>16</v>
      </c>
      <c r="D71" s="149" t="str">
        <f>VLOOKUP(B71,'[1]MASTER DATA 2025'!$C$3:$E$279,3,0)</f>
        <v>2Tahun1 Bulan</v>
      </c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113"/>
      <c r="AK71" s="151">
        <f t="shared" si="0"/>
        <v>0</v>
      </c>
      <c r="AL71" s="131">
        <f t="shared" si="1"/>
        <v>0</v>
      </c>
      <c r="AM71" s="103">
        <f t="shared" si="2"/>
        <v>0</v>
      </c>
      <c r="AN71" s="103">
        <f t="shared" si="3"/>
        <v>0</v>
      </c>
      <c r="AO71" s="103">
        <f t="shared" si="4"/>
        <v>0</v>
      </c>
      <c r="AP71" s="128">
        <f t="shared" si="5"/>
        <v>0</v>
      </c>
      <c r="AQ71" s="128"/>
      <c r="AR71" s="38">
        <v>26</v>
      </c>
      <c r="AS71" s="39">
        <f t="shared" si="6"/>
        <v>0</v>
      </c>
    </row>
    <row r="72" s="105" customFormat="1" ht="15" customHeight="1" spans="1:45">
      <c r="A72" s="68">
        <v>61</v>
      </c>
      <c r="B72" s="154" t="s">
        <v>84</v>
      </c>
      <c r="C72" s="150" t="s">
        <v>59</v>
      </c>
      <c r="D72" s="149" t="s">
        <v>196</v>
      </c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113"/>
      <c r="AK72" s="151">
        <f t="shared" si="0"/>
        <v>0</v>
      </c>
      <c r="AL72" s="43">
        <f t="shared" si="1"/>
        <v>0</v>
      </c>
      <c r="AM72" s="66">
        <f t="shared" si="2"/>
        <v>0</v>
      </c>
      <c r="AN72" s="66">
        <f t="shared" si="3"/>
        <v>0</v>
      </c>
      <c r="AO72" s="66">
        <f t="shared" si="4"/>
        <v>0</v>
      </c>
      <c r="AP72" s="43">
        <f t="shared" si="5"/>
        <v>0</v>
      </c>
      <c r="AQ72" s="43" t="s">
        <v>434</v>
      </c>
      <c r="AR72" s="68">
        <v>26</v>
      </c>
      <c r="AS72" s="39">
        <f t="shared" si="6"/>
        <v>0</v>
      </c>
    </row>
    <row r="73" s="105" customFormat="1" ht="15" customHeight="1" spans="1:45">
      <c r="A73" s="68">
        <v>62</v>
      </c>
      <c r="B73" s="154" t="s">
        <v>85</v>
      </c>
      <c r="C73" s="150" t="s">
        <v>59</v>
      </c>
      <c r="D73" s="149" t="str">
        <f>VLOOKUP(B73,'[1]MASTER DATA 2025'!$C$3:$E$279,3,0)</f>
        <v>1Tahun3 Bulan</v>
      </c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 t="s">
        <v>11</v>
      </c>
      <c r="AI73" s="62"/>
      <c r="AJ73" s="113"/>
      <c r="AK73" s="151">
        <f t="shared" si="0"/>
        <v>0</v>
      </c>
      <c r="AL73" s="35">
        <f t="shared" si="1"/>
        <v>1</v>
      </c>
      <c r="AM73" s="35">
        <f t="shared" si="2"/>
        <v>0</v>
      </c>
      <c r="AN73" s="47">
        <f t="shared" si="3"/>
        <v>0</v>
      </c>
      <c r="AO73" s="36">
        <f t="shared" si="4"/>
        <v>0</v>
      </c>
      <c r="AP73" s="35">
        <f t="shared" si="5"/>
        <v>1</v>
      </c>
      <c r="AQ73" s="43" t="s">
        <v>382</v>
      </c>
      <c r="AR73" s="38">
        <v>26</v>
      </c>
      <c r="AS73" s="39">
        <f t="shared" si="6"/>
        <v>0.0384615384615385</v>
      </c>
    </row>
    <row r="74" s="105" customFormat="1" ht="15" customHeight="1" spans="1:45">
      <c r="A74" s="68">
        <v>63</v>
      </c>
      <c r="B74" s="154" t="s">
        <v>86</v>
      </c>
      <c r="C74" s="150" t="s">
        <v>59</v>
      </c>
      <c r="D74" s="149" t="s">
        <v>276</v>
      </c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113"/>
      <c r="AK74" s="151">
        <f t="shared" si="0"/>
        <v>0</v>
      </c>
      <c r="AL74" s="35">
        <f t="shared" si="1"/>
        <v>0</v>
      </c>
      <c r="AM74" s="35">
        <f t="shared" si="2"/>
        <v>0</v>
      </c>
      <c r="AN74" s="36">
        <f t="shared" si="3"/>
        <v>0</v>
      </c>
      <c r="AO74" s="36">
        <f t="shared" si="4"/>
        <v>0</v>
      </c>
      <c r="AP74" s="37">
        <f t="shared" si="5"/>
        <v>0</v>
      </c>
      <c r="AQ74" s="43" t="s">
        <v>389</v>
      </c>
      <c r="AR74" s="38">
        <v>26</v>
      </c>
      <c r="AS74" s="39">
        <f t="shared" si="6"/>
        <v>0</v>
      </c>
    </row>
    <row r="75" s="105" customFormat="1" ht="15" customHeight="1" spans="1:45">
      <c r="A75" s="68">
        <v>65</v>
      </c>
      <c r="B75" s="154" t="s">
        <v>88</v>
      </c>
      <c r="C75" s="150" t="s">
        <v>16</v>
      </c>
      <c r="D75" s="152" t="s">
        <v>250</v>
      </c>
      <c r="E75" s="62"/>
      <c r="F75" s="62"/>
      <c r="G75" s="62"/>
      <c r="H75" s="62"/>
      <c r="I75" s="62" t="s">
        <v>11</v>
      </c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113"/>
      <c r="AK75" s="151">
        <f t="shared" si="0"/>
        <v>0</v>
      </c>
      <c r="AL75" s="35">
        <f t="shared" si="1"/>
        <v>1</v>
      </c>
      <c r="AM75" s="36">
        <f t="shared" si="2"/>
        <v>0</v>
      </c>
      <c r="AN75" s="35">
        <f t="shared" si="3"/>
        <v>0</v>
      </c>
      <c r="AO75" s="36">
        <f t="shared" si="4"/>
        <v>0</v>
      </c>
      <c r="AP75" s="37">
        <f t="shared" si="5"/>
        <v>1</v>
      </c>
      <c r="AQ75" s="37" t="s">
        <v>390</v>
      </c>
      <c r="AR75" s="38">
        <v>26</v>
      </c>
      <c r="AS75" s="39">
        <f t="shared" si="6"/>
        <v>0.0384615384615385</v>
      </c>
    </row>
    <row r="76" s="105" customFormat="1" ht="15" customHeight="1" spans="1:45">
      <c r="A76" s="68">
        <v>66</v>
      </c>
      <c r="B76" s="154" t="s">
        <v>89</v>
      </c>
      <c r="C76" s="150" t="s">
        <v>16</v>
      </c>
      <c r="D76" s="149" t="str">
        <f>VLOOKUP(B76,'[1]MASTER DATA 2025'!$C$3:$E$279,3,0)</f>
        <v>0Tahun2 Bulan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113"/>
      <c r="AK76" s="151">
        <f t="shared" ref="AK76:AK139" si="7">COUNTIF(E76:AI76,"H")</f>
        <v>0</v>
      </c>
      <c r="AL76" s="35">
        <f t="shared" ref="AL76:AL139" si="8">COUNTIF(E76:AI76,"S")</f>
        <v>0</v>
      </c>
      <c r="AM76" s="36">
        <f t="shared" ref="AM76:AM139" si="9">COUNTIF(E76:AI76,"I")</f>
        <v>0</v>
      </c>
      <c r="AN76" s="35">
        <f t="shared" ref="AN76:AN139" si="10">COUNTIF(E76:AI76,"A")</f>
        <v>0</v>
      </c>
      <c r="AO76" s="36">
        <f t="shared" ref="AO76:AO129" si="11">COUNTIF(E76:AI76,"OFF")</f>
        <v>0</v>
      </c>
      <c r="AP76" s="37">
        <f t="shared" ref="AP76:AP139" si="12">SUM(AK76:AN76)</f>
        <v>0</v>
      </c>
      <c r="AQ76" s="37" t="s">
        <v>228</v>
      </c>
      <c r="AR76" s="38">
        <v>26</v>
      </c>
      <c r="AS76" s="39">
        <f t="shared" ref="AS76:AS90" si="13">AP76/AR76</f>
        <v>0</v>
      </c>
    </row>
    <row r="77" s="105" customFormat="1" ht="15" customHeight="1" spans="1:45">
      <c r="A77" s="68">
        <v>67</v>
      </c>
      <c r="B77" s="154" t="s">
        <v>90</v>
      </c>
      <c r="C77" s="150" t="s">
        <v>16</v>
      </c>
      <c r="D77" s="149" t="s">
        <v>231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113"/>
      <c r="AK77" s="151">
        <f t="shared" si="7"/>
        <v>0</v>
      </c>
      <c r="AL77" s="35">
        <f t="shared" si="8"/>
        <v>0</v>
      </c>
      <c r="AM77" s="36">
        <f t="shared" si="9"/>
        <v>0</v>
      </c>
      <c r="AN77" s="36">
        <f t="shared" si="10"/>
        <v>0</v>
      </c>
      <c r="AO77" s="36">
        <f t="shared" si="11"/>
        <v>0</v>
      </c>
      <c r="AP77" s="37">
        <f t="shared" si="12"/>
        <v>0</v>
      </c>
      <c r="AQ77" s="147" t="s">
        <v>470</v>
      </c>
      <c r="AR77" s="38">
        <v>26</v>
      </c>
      <c r="AS77" s="39">
        <f t="shared" si="13"/>
        <v>0</v>
      </c>
    </row>
    <row r="78" s="105" customFormat="1" ht="15" customHeight="1" spans="1:45">
      <c r="A78" s="68">
        <v>68</v>
      </c>
      <c r="B78" s="154" t="s">
        <v>471</v>
      </c>
      <c r="C78" s="150" t="s">
        <v>16</v>
      </c>
      <c r="D78" s="152" t="s">
        <v>178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 t="s">
        <v>11</v>
      </c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 t="s">
        <v>40</v>
      </c>
      <c r="AH78" s="62"/>
      <c r="AI78" s="62"/>
      <c r="AJ78" s="113"/>
      <c r="AK78" s="151">
        <f t="shared" si="7"/>
        <v>0</v>
      </c>
      <c r="AL78" s="35">
        <f t="shared" si="8"/>
        <v>2</v>
      </c>
      <c r="AM78" s="36">
        <f t="shared" si="9"/>
        <v>0</v>
      </c>
      <c r="AN78" s="36">
        <f t="shared" si="10"/>
        <v>0</v>
      </c>
      <c r="AO78" s="36">
        <f t="shared" si="11"/>
        <v>0</v>
      </c>
      <c r="AP78" s="37">
        <f t="shared" si="12"/>
        <v>2</v>
      </c>
      <c r="AQ78" s="37" t="s">
        <v>171</v>
      </c>
      <c r="AR78" s="38">
        <v>26</v>
      </c>
      <c r="AS78" s="39">
        <f t="shared" si="13"/>
        <v>0.0769230769230769</v>
      </c>
    </row>
    <row r="79" s="105" customFormat="1" ht="15" customHeight="1" spans="1:45">
      <c r="A79" s="68">
        <v>69</v>
      </c>
      <c r="B79" s="154" t="s">
        <v>473</v>
      </c>
      <c r="C79" s="150" t="s">
        <v>211</v>
      </c>
      <c r="D79" s="149" t="s">
        <v>180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113"/>
      <c r="AK79" s="151">
        <f t="shared" si="7"/>
        <v>0</v>
      </c>
      <c r="AL79" s="35">
        <f t="shared" si="8"/>
        <v>0</v>
      </c>
      <c r="AM79" s="36">
        <f t="shared" si="9"/>
        <v>0</v>
      </c>
      <c r="AN79" s="35">
        <f t="shared" si="10"/>
        <v>0</v>
      </c>
      <c r="AO79" s="36">
        <f t="shared" si="11"/>
        <v>0</v>
      </c>
      <c r="AP79" s="37">
        <f t="shared" si="12"/>
        <v>0</v>
      </c>
      <c r="AQ79" s="37" t="s">
        <v>228</v>
      </c>
      <c r="AR79" s="38">
        <v>26</v>
      </c>
      <c r="AS79" s="39">
        <f t="shared" si="13"/>
        <v>0</v>
      </c>
    </row>
    <row r="80" s="105" customFormat="1" ht="15" customHeight="1" spans="1:45">
      <c r="A80" s="68">
        <v>70</v>
      </c>
      <c r="B80" s="154" t="s">
        <v>93</v>
      </c>
      <c r="C80" s="150" t="s">
        <v>16</v>
      </c>
      <c r="D80" s="149" t="str">
        <f>VLOOKUP(B80,'[1]MASTER DATA 2025'!$C$3:$E$279,3,0)</f>
        <v>0Tahun2 Bulan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113"/>
      <c r="AK80" s="151">
        <f t="shared" si="7"/>
        <v>0</v>
      </c>
      <c r="AL80" s="35">
        <f t="shared" si="8"/>
        <v>0</v>
      </c>
      <c r="AM80" s="36">
        <f t="shared" si="9"/>
        <v>0</v>
      </c>
      <c r="AN80" s="35">
        <f t="shared" si="10"/>
        <v>0</v>
      </c>
      <c r="AO80" s="36">
        <f t="shared" si="11"/>
        <v>0</v>
      </c>
      <c r="AP80" s="37">
        <f t="shared" si="12"/>
        <v>0</v>
      </c>
      <c r="AQ80" s="37"/>
      <c r="AR80" s="38">
        <v>26</v>
      </c>
      <c r="AS80" s="39">
        <f t="shared" si="13"/>
        <v>0</v>
      </c>
    </row>
    <row r="81" s="105" customFormat="1" ht="15" customHeight="1" spans="1:45">
      <c r="A81" s="68">
        <v>71</v>
      </c>
      <c r="B81" s="154" t="s">
        <v>474</v>
      </c>
      <c r="C81" s="150" t="s">
        <v>16</v>
      </c>
      <c r="D81" s="149" t="s">
        <v>163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113"/>
      <c r="AK81" s="151">
        <f t="shared" si="7"/>
        <v>0</v>
      </c>
      <c r="AL81" s="131">
        <f t="shared" si="8"/>
        <v>0</v>
      </c>
      <c r="AM81" s="103">
        <f t="shared" si="9"/>
        <v>0</v>
      </c>
      <c r="AN81" s="103">
        <f t="shared" si="10"/>
        <v>0</v>
      </c>
      <c r="AO81" s="103">
        <f t="shared" si="11"/>
        <v>0</v>
      </c>
      <c r="AP81" s="128">
        <f t="shared" si="12"/>
        <v>0</v>
      </c>
      <c r="AQ81" s="128" t="s">
        <v>475</v>
      </c>
      <c r="AR81" s="38">
        <v>26</v>
      </c>
      <c r="AS81" s="39">
        <f t="shared" si="13"/>
        <v>0</v>
      </c>
    </row>
    <row r="82" s="105" customFormat="1" ht="15" customHeight="1" spans="1:45">
      <c r="A82" s="68">
        <v>72</v>
      </c>
      <c r="B82" s="154" t="s">
        <v>95</v>
      </c>
      <c r="C82" s="150" t="s">
        <v>59</v>
      </c>
      <c r="D82" s="152" t="s">
        <v>350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 t="s">
        <v>11</v>
      </c>
      <c r="AE82" s="62" t="s">
        <v>11</v>
      </c>
      <c r="AF82" s="62"/>
      <c r="AG82" s="62"/>
      <c r="AH82" s="62"/>
      <c r="AI82" s="62"/>
      <c r="AJ82" s="113"/>
      <c r="AK82" s="151">
        <f t="shared" si="7"/>
        <v>0</v>
      </c>
      <c r="AL82" s="43">
        <f t="shared" si="8"/>
        <v>2</v>
      </c>
      <c r="AM82" s="66">
        <f t="shared" si="9"/>
        <v>0</v>
      </c>
      <c r="AN82" s="66">
        <f t="shared" si="10"/>
        <v>0</v>
      </c>
      <c r="AO82" s="66">
        <f t="shared" si="11"/>
        <v>0</v>
      </c>
      <c r="AP82" s="43">
        <f t="shared" si="12"/>
        <v>2</v>
      </c>
      <c r="AQ82" s="43" t="s">
        <v>391</v>
      </c>
      <c r="AR82" s="68">
        <v>26</v>
      </c>
      <c r="AS82" s="39">
        <f t="shared" si="13"/>
        <v>0.0769230769230769</v>
      </c>
    </row>
    <row r="83" s="105" customFormat="1" ht="15" customHeight="1" spans="1:45">
      <c r="A83" s="68">
        <v>73</v>
      </c>
      <c r="B83" s="154" t="s">
        <v>96</v>
      </c>
      <c r="C83" s="150" t="s">
        <v>59</v>
      </c>
      <c r="D83" s="152" t="s">
        <v>392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 t="s">
        <v>11</v>
      </c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113"/>
      <c r="AK83" s="151">
        <f t="shared" si="7"/>
        <v>0</v>
      </c>
      <c r="AL83" s="35">
        <f t="shared" si="8"/>
        <v>1</v>
      </c>
      <c r="AM83" s="35">
        <f t="shared" si="9"/>
        <v>0</v>
      </c>
      <c r="AN83" s="47">
        <f t="shared" si="10"/>
        <v>0</v>
      </c>
      <c r="AO83" s="36">
        <f t="shared" si="11"/>
        <v>0</v>
      </c>
      <c r="AP83" s="35">
        <f t="shared" si="12"/>
        <v>1</v>
      </c>
      <c r="AQ83" s="43" t="s">
        <v>382</v>
      </c>
      <c r="AR83" s="38">
        <v>26</v>
      </c>
      <c r="AS83" s="39">
        <f t="shared" si="13"/>
        <v>0.0384615384615385</v>
      </c>
    </row>
    <row r="84" s="105" customFormat="1" ht="15" customHeight="1" spans="1:45">
      <c r="A84" s="68">
        <v>74</v>
      </c>
      <c r="B84" s="154" t="s">
        <v>97</v>
      </c>
      <c r="C84" s="150" t="s">
        <v>59</v>
      </c>
      <c r="D84" s="152" t="s">
        <v>503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113"/>
      <c r="AK84" s="151">
        <f t="shared" si="7"/>
        <v>0</v>
      </c>
      <c r="AL84" s="35">
        <f t="shared" si="8"/>
        <v>0</v>
      </c>
      <c r="AM84" s="35">
        <f t="shared" si="9"/>
        <v>0</v>
      </c>
      <c r="AN84" s="47">
        <f t="shared" si="10"/>
        <v>0</v>
      </c>
      <c r="AO84" s="36">
        <f t="shared" si="11"/>
        <v>0</v>
      </c>
      <c r="AP84" s="37">
        <f t="shared" si="12"/>
        <v>0</v>
      </c>
      <c r="AQ84" s="37" t="s">
        <v>278</v>
      </c>
      <c r="AR84" s="38">
        <v>26</v>
      </c>
      <c r="AS84" s="39">
        <f t="shared" si="13"/>
        <v>0</v>
      </c>
    </row>
    <row r="85" s="105" customFormat="1" ht="15" customHeight="1" spans="1:45">
      <c r="A85" s="68">
        <v>75</v>
      </c>
      <c r="B85" s="154" t="s">
        <v>98</v>
      </c>
      <c r="C85" s="150" t="s">
        <v>59</v>
      </c>
      <c r="D85" s="152" t="s">
        <v>250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113"/>
      <c r="AK85" s="151">
        <f t="shared" si="7"/>
        <v>0</v>
      </c>
      <c r="AL85" s="35">
        <f t="shared" si="8"/>
        <v>0</v>
      </c>
      <c r="AM85" s="36">
        <f t="shared" si="9"/>
        <v>0</v>
      </c>
      <c r="AN85" s="36">
        <f t="shared" si="10"/>
        <v>0</v>
      </c>
      <c r="AO85" s="36">
        <f t="shared" si="11"/>
        <v>0</v>
      </c>
      <c r="AP85" s="37">
        <f t="shared" si="12"/>
        <v>0</v>
      </c>
      <c r="AQ85" s="156" t="s">
        <v>275</v>
      </c>
      <c r="AR85" s="38">
        <v>26</v>
      </c>
      <c r="AS85" s="39">
        <f t="shared" si="13"/>
        <v>0</v>
      </c>
    </row>
    <row r="86" s="105" customFormat="1" ht="15" customHeight="1" spans="1:45">
      <c r="A86" s="68">
        <v>76</v>
      </c>
      <c r="B86" s="154" t="s">
        <v>99</v>
      </c>
      <c r="C86" s="150" t="s">
        <v>16</v>
      </c>
      <c r="D86" s="149" t="s">
        <v>350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113"/>
      <c r="AK86" s="151">
        <f t="shared" si="7"/>
        <v>0</v>
      </c>
      <c r="AL86" s="35">
        <f t="shared" si="8"/>
        <v>0</v>
      </c>
      <c r="AM86" s="36">
        <f t="shared" si="9"/>
        <v>0</v>
      </c>
      <c r="AN86" s="36">
        <f t="shared" si="10"/>
        <v>0</v>
      </c>
      <c r="AO86" s="36">
        <f t="shared" si="11"/>
        <v>0</v>
      </c>
      <c r="AP86" s="37">
        <f t="shared" si="12"/>
        <v>0</v>
      </c>
      <c r="AQ86" s="43" t="s">
        <v>336</v>
      </c>
      <c r="AR86" s="38">
        <v>26</v>
      </c>
      <c r="AS86" s="39">
        <f t="shared" si="13"/>
        <v>0</v>
      </c>
    </row>
    <row r="87" s="105" customFormat="1" ht="15" customHeight="1" spans="1:45">
      <c r="A87" s="68">
        <v>77</v>
      </c>
      <c r="B87" s="154" t="s">
        <v>100</v>
      </c>
      <c r="C87" s="150" t="s">
        <v>101</v>
      </c>
      <c r="D87" s="149" t="s">
        <v>231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113"/>
      <c r="AK87" s="151">
        <f t="shared" si="7"/>
        <v>0</v>
      </c>
      <c r="AL87" s="35">
        <f t="shared" si="8"/>
        <v>0</v>
      </c>
      <c r="AM87" s="35">
        <f t="shared" si="9"/>
        <v>0</v>
      </c>
      <c r="AN87" s="47">
        <f t="shared" si="10"/>
        <v>0</v>
      </c>
      <c r="AO87" s="36">
        <f t="shared" si="11"/>
        <v>0</v>
      </c>
      <c r="AP87" s="37">
        <f t="shared" si="12"/>
        <v>0</v>
      </c>
      <c r="AQ87" s="37" t="s">
        <v>216</v>
      </c>
      <c r="AR87" s="38">
        <v>26</v>
      </c>
      <c r="AS87" s="39">
        <f t="shared" si="13"/>
        <v>0</v>
      </c>
    </row>
    <row r="88" s="105" customFormat="1" ht="15" customHeight="1" spans="1:45">
      <c r="A88" s="68">
        <v>79</v>
      </c>
      <c r="B88" s="154" t="s">
        <v>104</v>
      </c>
      <c r="C88" s="150" t="s">
        <v>16</v>
      </c>
      <c r="D88" s="152" t="s">
        <v>509</v>
      </c>
      <c r="E88" s="62"/>
      <c r="F88" s="62" t="s">
        <v>11</v>
      </c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113"/>
      <c r="AK88" s="151">
        <f t="shared" si="7"/>
        <v>0</v>
      </c>
      <c r="AL88" s="35">
        <f t="shared" si="8"/>
        <v>1</v>
      </c>
      <c r="AM88" s="36">
        <f t="shared" si="9"/>
        <v>0</v>
      </c>
      <c r="AN88" s="36">
        <f t="shared" si="10"/>
        <v>0</v>
      </c>
      <c r="AO88" s="36">
        <f t="shared" si="11"/>
        <v>0</v>
      </c>
      <c r="AP88" s="37">
        <f t="shared" si="12"/>
        <v>1</v>
      </c>
      <c r="AQ88" s="37"/>
      <c r="AR88" s="38">
        <v>26</v>
      </c>
      <c r="AS88" s="39">
        <f t="shared" si="13"/>
        <v>0.0384615384615385</v>
      </c>
    </row>
    <row r="89" s="105" customFormat="1" ht="15" customHeight="1" spans="1:45">
      <c r="A89" s="68">
        <v>80</v>
      </c>
      <c r="B89" s="154" t="s">
        <v>477</v>
      </c>
      <c r="C89" s="150" t="s">
        <v>16</v>
      </c>
      <c r="D89" s="149" t="s">
        <v>178</v>
      </c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113"/>
      <c r="AK89" s="151">
        <f t="shared" si="7"/>
        <v>0</v>
      </c>
      <c r="AL89" s="35">
        <f t="shared" si="8"/>
        <v>0</v>
      </c>
      <c r="AM89" s="36">
        <f t="shared" si="9"/>
        <v>0</v>
      </c>
      <c r="AN89" s="35">
        <f t="shared" si="10"/>
        <v>0</v>
      </c>
      <c r="AO89" s="36">
        <f t="shared" si="11"/>
        <v>0</v>
      </c>
      <c r="AP89" s="37">
        <f t="shared" si="12"/>
        <v>0</v>
      </c>
      <c r="AQ89" s="37" t="s">
        <v>25</v>
      </c>
      <c r="AR89" s="38">
        <v>26</v>
      </c>
      <c r="AS89" s="39">
        <f t="shared" si="13"/>
        <v>0</v>
      </c>
    </row>
    <row r="90" s="105" customFormat="1" ht="15" customHeight="1" spans="1:45">
      <c r="A90" s="68">
        <v>81</v>
      </c>
      <c r="B90" s="154" t="s">
        <v>106</v>
      </c>
      <c r="C90" s="150" t="s">
        <v>59</v>
      </c>
      <c r="D90" s="149" t="str">
        <f>VLOOKUP(B90,'[1]MASTER DATA 2025'!$C$3:$E$279,3,0)</f>
        <v>0Tahun8 Bulan</v>
      </c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113"/>
      <c r="AK90" s="151">
        <f t="shared" si="7"/>
        <v>0</v>
      </c>
      <c r="AL90" s="35">
        <f t="shared" si="8"/>
        <v>0</v>
      </c>
      <c r="AM90" s="36">
        <f t="shared" si="9"/>
        <v>0</v>
      </c>
      <c r="AN90" s="35">
        <f t="shared" si="10"/>
        <v>0</v>
      </c>
      <c r="AO90" s="36">
        <f t="shared" si="11"/>
        <v>0</v>
      </c>
      <c r="AP90" s="37">
        <f t="shared" si="12"/>
        <v>0</v>
      </c>
      <c r="AQ90" s="49" t="s">
        <v>120</v>
      </c>
      <c r="AR90" s="38">
        <v>26</v>
      </c>
      <c r="AS90" s="39">
        <f t="shared" si="13"/>
        <v>0</v>
      </c>
    </row>
    <row r="91" s="105" customFormat="1" ht="15" customHeight="1" spans="1:45">
      <c r="A91" s="68">
        <v>82</v>
      </c>
      <c r="B91" s="154" t="s">
        <v>107</v>
      </c>
      <c r="C91" s="150" t="s">
        <v>108</v>
      </c>
      <c r="D91" s="149" t="s">
        <v>350</v>
      </c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113"/>
      <c r="AK91" s="151">
        <f t="shared" si="7"/>
        <v>0</v>
      </c>
      <c r="AL91" s="131">
        <f t="shared" si="8"/>
        <v>0</v>
      </c>
      <c r="AM91" s="103">
        <f t="shared" si="9"/>
        <v>0</v>
      </c>
      <c r="AN91" s="131">
        <f t="shared" si="10"/>
        <v>0</v>
      </c>
      <c r="AO91" s="103">
        <f t="shared" si="11"/>
        <v>0</v>
      </c>
      <c r="AP91" s="128">
        <f t="shared" si="12"/>
        <v>0</v>
      </c>
      <c r="AQ91" s="43" t="s">
        <v>382</v>
      </c>
      <c r="AR91" s="38"/>
      <c r="AS91" s="39"/>
    </row>
    <row r="92" s="105" customFormat="1" ht="15" customHeight="1" spans="1:45">
      <c r="A92" s="68">
        <v>83</v>
      </c>
      <c r="B92" s="154" t="s">
        <v>109</v>
      </c>
      <c r="C92" s="150" t="s">
        <v>16</v>
      </c>
      <c r="D92" s="149" t="s">
        <v>266</v>
      </c>
      <c r="E92" s="62"/>
      <c r="F92" s="62" t="s">
        <v>11</v>
      </c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 t="s">
        <v>11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113"/>
      <c r="AK92" s="151">
        <f t="shared" si="7"/>
        <v>0</v>
      </c>
      <c r="AL92" s="43">
        <f t="shared" si="8"/>
        <v>2</v>
      </c>
      <c r="AM92" s="43">
        <f t="shared" si="9"/>
        <v>0</v>
      </c>
      <c r="AN92" s="43">
        <f t="shared" si="10"/>
        <v>0</v>
      </c>
      <c r="AO92" s="66">
        <f t="shared" si="11"/>
        <v>0</v>
      </c>
      <c r="AP92" s="43">
        <f t="shared" si="12"/>
        <v>2</v>
      </c>
      <c r="AQ92" s="43" t="s">
        <v>336</v>
      </c>
      <c r="AR92" s="68"/>
      <c r="AS92" s="39"/>
    </row>
    <row r="93" s="105" customFormat="1" ht="15" customHeight="1" spans="1:45">
      <c r="A93" s="68">
        <v>84</v>
      </c>
      <c r="B93" s="154" t="s">
        <v>110</v>
      </c>
      <c r="C93" s="164" t="s">
        <v>111</v>
      </c>
      <c r="D93" s="149" t="s">
        <v>205</v>
      </c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113"/>
      <c r="AK93" s="151">
        <f t="shared" si="7"/>
        <v>0</v>
      </c>
      <c r="AL93" s="35">
        <f t="shared" si="8"/>
        <v>0</v>
      </c>
      <c r="AM93" s="36">
        <f t="shared" si="9"/>
        <v>0</v>
      </c>
      <c r="AN93" s="36">
        <f t="shared" si="10"/>
        <v>0</v>
      </c>
      <c r="AO93" s="36">
        <f t="shared" si="11"/>
        <v>0</v>
      </c>
      <c r="AP93" s="35">
        <f t="shared" si="12"/>
        <v>0</v>
      </c>
      <c r="AQ93" s="43" t="s">
        <v>382</v>
      </c>
      <c r="AR93" s="38"/>
      <c r="AS93" s="39"/>
    </row>
    <row r="94" s="105" customFormat="1" ht="15" customHeight="1" spans="1:45">
      <c r="A94" s="68">
        <v>85</v>
      </c>
      <c r="B94" s="154" t="s">
        <v>113</v>
      </c>
      <c r="C94" s="164" t="s">
        <v>16</v>
      </c>
      <c r="D94" s="149" t="s">
        <v>163</v>
      </c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 t="s">
        <v>13</v>
      </c>
      <c r="AF94" s="62"/>
      <c r="AG94" s="62"/>
      <c r="AH94" s="62"/>
      <c r="AI94" s="62"/>
      <c r="AJ94" s="113"/>
      <c r="AK94" s="151">
        <f t="shared" si="7"/>
        <v>0</v>
      </c>
      <c r="AL94" s="35">
        <f t="shared" si="8"/>
        <v>0</v>
      </c>
      <c r="AM94" s="35">
        <f t="shared" si="9"/>
        <v>0</v>
      </c>
      <c r="AN94" s="35">
        <f t="shared" si="10"/>
        <v>1</v>
      </c>
      <c r="AO94" s="36">
        <f t="shared" si="11"/>
        <v>0</v>
      </c>
      <c r="AP94" s="37">
        <f t="shared" si="12"/>
        <v>1</v>
      </c>
      <c r="AQ94" s="147" t="s">
        <v>428</v>
      </c>
      <c r="AR94" s="38">
        <v>26</v>
      </c>
      <c r="AS94" s="39">
        <f t="shared" ref="AS94:AS100" si="14">AP94/AR94</f>
        <v>0.0384615384615385</v>
      </c>
    </row>
    <row r="95" s="105" customFormat="1" ht="15" customHeight="1" spans="1:45">
      <c r="A95" s="68">
        <v>86</v>
      </c>
      <c r="B95" s="154" t="s">
        <v>114</v>
      </c>
      <c r="C95" s="164" t="s">
        <v>16</v>
      </c>
      <c r="D95" s="149" t="s">
        <v>163</v>
      </c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113"/>
      <c r="AK95" s="151">
        <f t="shared" si="7"/>
        <v>0</v>
      </c>
      <c r="AL95" s="35">
        <f t="shared" si="8"/>
        <v>0</v>
      </c>
      <c r="AM95" s="36">
        <f t="shared" si="9"/>
        <v>0</v>
      </c>
      <c r="AN95" s="36">
        <f t="shared" si="10"/>
        <v>0</v>
      </c>
      <c r="AO95" s="36">
        <f t="shared" si="11"/>
        <v>0</v>
      </c>
      <c r="AP95" s="37">
        <f t="shared" si="12"/>
        <v>0</v>
      </c>
      <c r="AQ95" s="43" t="s">
        <v>193</v>
      </c>
      <c r="AR95" s="38">
        <v>26</v>
      </c>
      <c r="AS95" s="39">
        <f t="shared" si="14"/>
        <v>0</v>
      </c>
    </row>
    <row r="96" s="105" customFormat="1" ht="15" customHeight="1" spans="1:45">
      <c r="A96" s="68">
        <v>87</v>
      </c>
      <c r="B96" s="154" t="s">
        <v>115</v>
      </c>
      <c r="C96" s="164" t="s">
        <v>16</v>
      </c>
      <c r="D96" s="149" t="str">
        <f>VLOOKUP(B96,'[1]MASTER DATA 2025'!$C$3:$E$279,3,0)</f>
        <v>0Tahun1 Bulan</v>
      </c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113"/>
      <c r="AK96" s="151">
        <f t="shared" si="7"/>
        <v>0</v>
      </c>
      <c r="AL96" s="35">
        <f t="shared" si="8"/>
        <v>0</v>
      </c>
      <c r="AM96" s="36">
        <f t="shared" si="9"/>
        <v>0</v>
      </c>
      <c r="AN96" s="36">
        <f t="shared" si="10"/>
        <v>0</v>
      </c>
      <c r="AO96" s="36">
        <f t="shared" si="11"/>
        <v>0</v>
      </c>
      <c r="AP96" s="37">
        <f t="shared" si="12"/>
        <v>0</v>
      </c>
      <c r="AQ96" s="37" t="s">
        <v>228</v>
      </c>
      <c r="AR96" s="38">
        <v>26</v>
      </c>
      <c r="AS96" s="39">
        <f t="shared" si="14"/>
        <v>0</v>
      </c>
    </row>
    <row r="97" s="105" customFormat="1" ht="15" customHeight="1" spans="1:45">
      <c r="A97" s="68">
        <v>88</v>
      </c>
      <c r="B97" s="154" t="s">
        <v>478</v>
      </c>
      <c r="C97" s="164" t="s">
        <v>16</v>
      </c>
      <c r="D97" s="149" t="s">
        <v>178</v>
      </c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113"/>
      <c r="AK97" s="151">
        <f t="shared" si="7"/>
        <v>0</v>
      </c>
      <c r="AL97" s="35">
        <f t="shared" si="8"/>
        <v>0</v>
      </c>
      <c r="AM97" s="35">
        <f t="shared" si="9"/>
        <v>0</v>
      </c>
      <c r="AN97" s="47">
        <f t="shared" si="10"/>
        <v>0</v>
      </c>
      <c r="AO97" s="36">
        <f t="shared" si="11"/>
        <v>0</v>
      </c>
      <c r="AP97" s="48">
        <f t="shared" si="12"/>
        <v>0</v>
      </c>
      <c r="AQ97" s="37" t="s">
        <v>228</v>
      </c>
      <c r="AR97" s="38">
        <v>26</v>
      </c>
      <c r="AS97" s="39">
        <f t="shared" si="14"/>
        <v>0</v>
      </c>
    </row>
    <row r="98" s="105" customFormat="1" ht="15" customHeight="1" spans="1:45">
      <c r="A98" s="68">
        <v>89</v>
      </c>
      <c r="B98" s="154" t="s">
        <v>123</v>
      </c>
      <c r="C98" s="164" t="s">
        <v>124</v>
      </c>
      <c r="D98" s="149" t="s">
        <v>236</v>
      </c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113"/>
      <c r="AK98" s="151">
        <f t="shared" si="7"/>
        <v>0</v>
      </c>
      <c r="AL98" s="47">
        <f t="shared" si="8"/>
        <v>0</v>
      </c>
      <c r="AM98" s="35">
        <f t="shared" si="9"/>
        <v>0</v>
      </c>
      <c r="AN98" s="35">
        <f t="shared" si="10"/>
        <v>0</v>
      </c>
      <c r="AO98" s="36">
        <f t="shared" si="11"/>
        <v>0</v>
      </c>
      <c r="AP98" s="48">
        <f t="shared" si="12"/>
        <v>0</v>
      </c>
      <c r="AQ98" s="49" t="s">
        <v>125</v>
      </c>
      <c r="AR98" s="38">
        <v>26</v>
      </c>
      <c r="AS98" s="39">
        <f t="shared" si="14"/>
        <v>0</v>
      </c>
    </row>
    <row r="99" s="105" customFormat="1" ht="15" customHeight="1" spans="1:45">
      <c r="A99" s="68">
        <v>90</v>
      </c>
      <c r="B99" s="154" t="s">
        <v>126</v>
      </c>
      <c r="C99" s="164" t="s">
        <v>16</v>
      </c>
      <c r="D99" s="149" t="str">
        <f>VLOOKUP(B99,'[1]MASTER DATA 2025'!$C$3:$E$279,3,0)</f>
        <v>0Tahun7 Bulan</v>
      </c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113"/>
      <c r="AK99" s="151">
        <f t="shared" si="7"/>
        <v>0</v>
      </c>
      <c r="AL99" s="35">
        <f t="shared" si="8"/>
        <v>0</v>
      </c>
      <c r="AM99" s="35">
        <f t="shared" si="9"/>
        <v>0</v>
      </c>
      <c r="AN99" s="47">
        <f t="shared" si="10"/>
        <v>0</v>
      </c>
      <c r="AO99" s="36">
        <f t="shared" si="11"/>
        <v>0</v>
      </c>
      <c r="AP99" s="37">
        <f t="shared" si="12"/>
        <v>0</v>
      </c>
      <c r="AQ99" s="49">
        <v>45946</v>
      </c>
      <c r="AR99" s="38">
        <v>26</v>
      </c>
      <c r="AS99" s="39">
        <f t="shared" si="14"/>
        <v>0</v>
      </c>
    </row>
    <row r="100" s="105" customFormat="1" ht="15" customHeight="1" spans="1:45">
      <c r="A100" s="68">
        <v>91</v>
      </c>
      <c r="B100" s="154" t="s">
        <v>436</v>
      </c>
      <c r="C100" s="164" t="s">
        <v>101</v>
      </c>
      <c r="D100" s="149" t="s">
        <v>178</v>
      </c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113"/>
      <c r="AK100" s="151">
        <f t="shared" si="7"/>
        <v>0</v>
      </c>
      <c r="AL100" s="47">
        <f t="shared" si="8"/>
        <v>0</v>
      </c>
      <c r="AM100" s="35">
        <f t="shared" si="9"/>
        <v>0</v>
      </c>
      <c r="AN100" s="35">
        <f t="shared" si="10"/>
        <v>0</v>
      </c>
      <c r="AO100" s="36">
        <f t="shared" si="11"/>
        <v>0</v>
      </c>
      <c r="AP100" s="48">
        <f t="shared" si="12"/>
        <v>0</v>
      </c>
      <c r="AQ100" s="43" t="s">
        <v>193</v>
      </c>
      <c r="AR100" s="38">
        <v>26</v>
      </c>
      <c r="AS100" s="39">
        <f t="shared" si="14"/>
        <v>0</v>
      </c>
    </row>
    <row r="101" s="105" customFormat="1" ht="15" customHeight="1" spans="1:45">
      <c r="A101" s="68">
        <v>92</v>
      </c>
      <c r="B101" s="154" t="s">
        <v>129</v>
      </c>
      <c r="C101" s="164" t="s">
        <v>235</v>
      </c>
      <c r="D101" s="149" t="s">
        <v>236</v>
      </c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113"/>
      <c r="AK101" s="151">
        <f t="shared" si="7"/>
        <v>0</v>
      </c>
      <c r="AL101" s="35">
        <f t="shared" si="8"/>
        <v>0</v>
      </c>
      <c r="AM101" s="36">
        <f t="shared" si="9"/>
        <v>0</v>
      </c>
      <c r="AN101" s="35">
        <f t="shared" si="10"/>
        <v>0</v>
      </c>
      <c r="AO101" s="36">
        <f t="shared" si="11"/>
        <v>0</v>
      </c>
      <c r="AP101" s="37">
        <f t="shared" si="12"/>
        <v>0</v>
      </c>
      <c r="AQ101" s="37" t="s">
        <v>228</v>
      </c>
      <c r="AR101" s="38"/>
      <c r="AS101" s="39"/>
    </row>
    <row r="102" s="105" customFormat="1" ht="15" customHeight="1" spans="1:45">
      <c r="A102" s="68">
        <v>93</v>
      </c>
      <c r="B102" s="154" t="s">
        <v>130</v>
      </c>
      <c r="C102" s="164" t="s">
        <v>131</v>
      </c>
      <c r="D102" s="149" t="str">
        <f>VLOOKUP(B102,'[1]MASTER DATA 2025'!$C$3:$E$279,3,0)</f>
        <v>3Tahun1 Bulan</v>
      </c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113"/>
      <c r="AK102" s="151">
        <f t="shared" si="7"/>
        <v>0</v>
      </c>
      <c r="AL102" s="35">
        <f t="shared" si="8"/>
        <v>0</v>
      </c>
      <c r="AM102" s="35">
        <f t="shared" si="9"/>
        <v>0</v>
      </c>
      <c r="AN102" s="35">
        <f t="shared" si="10"/>
        <v>0</v>
      </c>
      <c r="AO102" s="36">
        <f t="shared" si="11"/>
        <v>0</v>
      </c>
      <c r="AP102" s="37">
        <f t="shared" si="12"/>
        <v>0</v>
      </c>
      <c r="AQ102" s="37"/>
      <c r="AR102" s="38"/>
      <c r="AS102" s="39"/>
    </row>
    <row r="103" s="105" customFormat="1" ht="15" customHeight="1" spans="1:45">
      <c r="A103" s="68">
        <v>94</v>
      </c>
      <c r="B103" s="154" t="s">
        <v>132</v>
      </c>
      <c r="C103" s="164" t="s">
        <v>16</v>
      </c>
      <c r="D103" s="149" t="str">
        <f>VLOOKUP(B103,'[1]MASTER DATA 2025'!$C$3:$E$279,3,0)</f>
        <v>0Tahun1 Bulan</v>
      </c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113"/>
      <c r="AK103" s="151">
        <f t="shared" si="7"/>
        <v>0</v>
      </c>
      <c r="AL103" s="35">
        <f t="shared" si="8"/>
        <v>0</v>
      </c>
      <c r="AM103" s="36">
        <f t="shared" si="9"/>
        <v>0</v>
      </c>
      <c r="AN103" s="35">
        <f t="shared" si="10"/>
        <v>0</v>
      </c>
      <c r="AO103" s="36">
        <f t="shared" si="11"/>
        <v>0</v>
      </c>
      <c r="AP103" s="37">
        <f t="shared" si="12"/>
        <v>0</v>
      </c>
      <c r="AQ103" s="37" t="s">
        <v>25</v>
      </c>
      <c r="AR103" s="38">
        <v>26</v>
      </c>
      <c r="AS103" s="39">
        <f t="shared" ref="AS103:AS108" si="15">AP103/AR103</f>
        <v>0</v>
      </c>
    </row>
    <row r="104" s="105" customFormat="1" ht="15" customHeight="1" spans="1:45">
      <c r="A104" s="68">
        <v>95</v>
      </c>
      <c r="B104" s="154" t="s">
        <v>133</v>
      </c>
      <c r="C104" s="164" t="s">
        <v>16</v>
      </c>
      <c r="D104" s="149" t="s">
        <v>267</v>
      </c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113"/>
      <c r="AK104" s="151">
        <f t="shared" si="7"/>
        <v>0</v>
      </c>
      <c r="AL104" s="35">
        <f t="shared" si="8"/>
        <v>0</v>
      </c>
      <c r="AM104" s="36">
        <f t="shared" si="9"/>
        <v>0</v>
      </c>
      <c r="AN104" s="36">
        <f t="shared" si="10"/>
        <v>0</v>
      </c>
      <c r="AO104" s="36">
        <f t="shared" si="11"/>
        <v>0</v>
      </c>
      <c r="AP104" s="37">
        <f t="shared" si="12"/>
        <v>0</v>
      </c>
      <c r="AQ104" s="43" t="s">
        <v>193</v>
      </c>
      <c r="AR104" s="38">
        <v>26</v>
      </c>
      <c r="AS104" s="39">
        <f t="shared" si="15"/>
        <v>0</v>
      </c>
    </row>
    <row r="105" s="105" customFormat="1" ht="15" customHeight="1" spans="1:45">
      <c r="A105" s="68">
        <v>96</v>
      </c>
      <c r="B105" s="154" t="s">
        <v>134</v>
      </c>
      <c r="C105" s="164" t="s">
        <v>16</v>
      </c>
      <c r="D105" s="152" t="s">
        <v>238</v>
      </c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113"/>
      <c r="AK105" s="151">
        <f t="shared" si="7"/>
        <v>0</v>
      </c>
      <c r="AL105" s="35">
        <f t="shared" si="8"/>
        <v>0</v>
      </c>
      <c r="AM105" s="36">
        <f t="shared" si="9"/>
        <v>0</v>
      </c>
      <c r="AN105" s="36">
        <f t="shared" si="10"/>
        <v>0</v>
      </c>
      <c r="AO105" s="36">
        <f t="shared" si="11"/>
        <v>0</v>
      </c>
      <c r="AP105" s="37">
        <f t="shared" si="12"/>
        <v>0</v>
      </c>
      <c r="AQ105" s="43" t="s">
        <v>336</v>
      </c>
      <c r="AR105" s="38">
        <v>26</v>
      </c>
      <c r="AS105" s="39">
        <f t="shared" si="15"/>
        <v>0</v>
      </c>
    </row>
    <row r="106" s="105" customFormat="1" ht="15" customHeight="1" spans="1:45">
      <c r="A106" s="68">
        <v>97</v>
      </c>
      <c r="B106" s="154" t="s">
        <v>135</v>
      </c>
      <c r="C106" s="164" t="s">
        <v>16</v>
      </c>
      <c r="D106" s="149" t="s">
        <v>288</v>
      </c>
      <c r="E106" s="62"/>
      <c r="F106" s="62" t="s">
        <v>11</v>
      </c>
      <c r="G106" s="62"/>
      <c r="H106" s="62"/>
      <c r="I106" s="62"/>
      <c r="J106" s="62"/>
      <c r="K106" s="62"/>
      <c r="L106" s="62"/>
      <c r="M106" s="62"/>
      <c r="N106" s="62"/>
      <c r="O106" s="62" t="s">
        <v>11</v>
      </c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113"/>
      <c r="AK106" s="151">
        <f t="shared" si="7"/>
        <v>0</v>
      </c>
      <c r="AL106" s="47">
        <f t="shared" si="8"/>
        <v>2</v>
      </c>
      <c r="AM106" s="35">
        <f t="shared" si="9"/>
        <v>0</v>
      </c>
      <c r="AN106" s="35">
        <f t="shared" si="10"/>
        <v>0</v>
      </c>
      <c r="AO106" s="36">
        <f t="shared" si="11"/>
        <v>0</v>
      </c>
      <c r="AP106" s="37">
        <f t="shared" si="12"/>
        <v>2</v>
      </c>
      <c r="AQ106" s="43" t="s">
        <v>193</v>
      </c>
      <c r="AR106" s="38">
        <v>26</v>
      </c>
      <c r="AS106" s="39">
        <f t="shared" si="15"/>
        <v>0.0769230769230769</v>
      </c>
    </row>
    <row r="107" s="105" customFormat="1" ht="15" customHeight="1" spans="1:45">
      <c r="A107" s="68">
        <v>98</v>
      </c>
      <c r="B107" s="154" t="s">
        <v>137</v>
      </c>
      <c r="C107" s="164" t="s">
        <v>16</v>
      </c>
      <c r="D107" s="149" t="str">
        <f>VLOOKUP(B107,'[1]MASTER DATA 2025'!$C$3:$E$279,3,0)</f>
        <v>1Tahun7 Bulan</v>
      </c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113"/>
      <c r="AK107" s="151">
        <f t="shared" si="7"/>
        <v>0</v>
      </c>
      <c r="AL107" s="35">
        <f t="shared" si="8"/>
        <v>0</v>
      </c>
      <c r="AM107" s="35">
        <f t="shared" si="9"/>
        <v>0</v>
      </c>
      <c r="AN107" s="36">
        <f t="shared" si="10"/>
        <v>0</v>
      </c>
      <c r="AO107" s="36">
        <f t="shared" si="11"/>
        <v>0</v>
      </c>
      <c r="AP107" s="37">
        <f t="shared" si="12"/>
        <v>0</v>
      </c>
      <c r="AQ107" s="37"/>
      <c r="AR107" s="38">
        <v>26</v>
      </c>
      <c r="AS107" s="39">
        <f t="shared" si="15"/>
        <v>0</v>
      </c>
    </row>
    <row r="108" s="105" customFormat="1" ht="15" customHeight="1" spans="1:45">
      <c r="A108" s="68">
        <v>99</v>
      </c>
      <c r="B108" s="154" t="s">
        <v>138</v>
      </c>
      <c r="C108" s="150" t="s">
        <v>101</v>
      </c>
      <c r="D108" s="149" t="str">
        <f>VLOOKUP(B108,'[1]MASTER DATA 2025'!$C$3:$E$279,3,0)</f>
        <v>1Tahun1 Bulan</v>
      </c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113"/>
      <c r="AK108" s="151">
        <f t="shared" si="7"/>
        <v>0</v>
      </c>
      <c r="AL108" s="35">
        <f t="shared" si="8"/>
        <v>0</v>
      </c>
      <c r="AM108" s="36">
        <f t="shared" si="9"/>
        <v>0</v>
      </c>
      <c r="AN108" s="35">
        <f t="shared" si="10"/>
        <v>0</v>
      </c>
      <c r="AO108" s="36">
        <f t="shared" si="11"/>
        <v>0</v>
      </c>
      <c r="AP108" s="37">
        <f t="shared" si="12"/>
        <v>0</v>
      </c>
      <c r="AQ108" s="37" t="s">
        <v>228</v>
      </c>
      <c r="AR108" s="38">
        <v>26</v>
      </c>
      <c r="AS108" s="39">
        <f t="shared" si="15"/>
        <v>0</v>
      </c>
    </row>
    <row r="109" s="105" customFormat="1" ht="15" customHeight="1" spans="1:45">
      <c r="A109" s="68">
        <v>100</v>
      </c>
      <c r="B109" s="154" t="s">
        <v>139</v>
      </c>
      <c r="C109" s="164" t="s">
        <v>16</v>
      </c>
      <c r="D109" s="152" t="s">
        <v>266</v>
      </c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113"/>
      <c r="AK109" s="151">
        <f t="shared" si="7"/>
        <v>0</v>
      </c>
      <c r="AL109" s="35">
        <f t="shared" si="8"/>
        <v>0</v>
      </c>
      <c r="AM109" s="36">
        <f t="shared" si="9"/>
        <v>0</v>
      </c>
      <c r="AN109" s="35">
        <f t="shared" si="10"/>
        <v>0</v>
      </c>
      <c r="AO109" s="36">
        <f t="shared" si="11"/>
        <v>0</v>
      </c>
      <c r="AP109" s="37">
        <f t="shared" si="12"/>
        <v>0</v>
      </c>
      <c r="AQ109" s="156" t="s">
        <v>275</v>
      </c>
      <c r="AR109" s="38"/>
      <c r="AS109" s="39"/>
    </row>
    <row r="110" s="105" customFormat="1" ht="15" customHeight="1" spans="1:45">
      <c r="A110" s="68">
        <v>101</v>
      </c>
      <c r="B110" s="154" t="s">
        <v>140</v>
      </c>
      <c r="C110" s="164" t="s">
        <v>16</v>
      </c>
      <c r="D110" s="149" t="str">
        <f>VLOOKUP(B110,'[1]MASTER DATA 2025'!$C$3:$E$279,3,0)</f>
        <v>2Tahun2 Bulan</v>
      </c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 t="s">
        <v>11</v>
      </c>
      <c r="AE110" s="62" t="s">
        <v>11</v>
      </c>
      <c r="AF110" s="62"/>
      <c r="AG110" s="62"/>
      <c r="AH110" s="62"/>
      <c r="AI110" s="62"/>
      <c r="AJ110" s="113"/>
      <c r="AK110" s="151">
        <f t="shared" si="7"/>
        <v>0</v>
      </c>
      <c r="AL110" s="35">
        <f t="shared" si="8"/>
        <v>2</v>
      </c>
      <c r="AM110" s="36">
        <f t="shared" si="9"/>
        <v>0</v>
      </c>
      <c r="AN110" s="35">
        <f t="shared" si="10"/>
        <v>0</v>
      </c>
      <c r="AO110" s="36">
        <f t="shared" si="11"/>
        <v>0</v>
      </c>
      <c r="AP110" s="37">
        <f t="shared" si="12"/>
        <v>2</v>
      </c>
      <c r="AQ110" s="37" t="s">
        <v>25</v>
      </c>
      <c r="AR110" s="38"/>
      <c r="AS110" s="39"/>
    </row>
    <row r="111" s="105" customFormat="1" ht="15" customHeight="1" spans="1:45">
      <c r="A111" s="68">
        <v>102</v>
      </c>
      <c r="B111" s="154" t="s">
        <v>141</v>
      </c>
      <c r="C111" s="164" t="s">
        <v>20</v>
      </c>
      <c r="D111" s="149" t="str">
        <f>VLOOKUP(B111,'[1]MASTER DATA 2025'!$C$3:$E$279,3,0)</f>
        <v>0Tahun1 Bulan</v>
      </c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113"/>
      <c r="AK111" s="151">
        <f t="shared" si="7"/>
        <v>0</v>
      </c>
      <c r="AL111" s="35">
        <f t="shared" si="8"/>
        <v>0</v>
      </c>
      <c r="AM111" s="36">
        <f t="shared" si="9"/>
        <v>0</v>
      </c>
      <c r="AN111" s="35">
        <f t="shared" si="10"/>
        <v>0</v>
      </c>
      <c r="AO111" s="36">
        <f t="shared" si="11"/>
        <v>0</v>
      </c>
      <c r="AP111" s="37">
        <f t="shared" si="12"/>
        <v>0</v>
      </c>
      <c r="AQ111" s="49">
        <v>45967</v>
      </c>
      <c r="AR111" s="38">
        <v>26</v>
      </c>
      <c r="AS111" s="39">
        <f t="shared" ref="AS111:AS116" si="16">AP111/AR111</f>
        <v>0</v>
      </c>
    </row>
    <row r="112" s="105" customFormat="1" ht="15" customHeight="1" spans="1:45">
      <c r="A112" s="68">
        <v>103</v>
      </c>
      <c r="B112" s="154" t="s">
        <v>142</v>
      </c>
      <c r="C112" s="164" t="s">
        <v>20</v>
      </c>
      <c r="D112" s="149" t="str">
        <f>VLOOKUP(B112,'[1]MASTER DATA 2025'!$C$3:$E$279,3,0)</f>
        <v>0Tahun2 Bulan</v>
      </c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113"/>
      <c r="AK112" s="151">
        <f t="shared" si="7"/>
        <v>0</v>
      </c>
      <c r="AL112" s="35">
        <f t="shared" si="8"/>
        <v>0</v>
      </c>
      <c r="AM112" s="35">
        <f t="shared" si="9"/>
        <v>0</v>
      </c>
      <c r="AN112" s="47">
        <f t="shared" si="10"/>
        <v>0</v>
      </c>
      <c r="AO112" s="36">
        <f t="shared" si="11"/>
        <v>0</v>
      </c>
      <c r="AP112" s="37">
        <f t="shared" si="12"/>
        <v>0</v>
      </c>
      <c r="AQ112" s="37" t="s">
        <v>173</v>
      </c>
      <c r="AR112" s="38">
        <v>26</v>
      </c>
      <c r="AS112" s="39">
        <f t="shared" si="16"/>
        <v>0</v>
      </c>
    </row>
    <row r="113" s="105" customFormat="1" ht="15" customHeight="1" spans="1:45">
      <c r="A113" s="68">
        <v>104</v>
      </c>
      <c r="B113" s="154" t="s">
        <v>143</v>
      </c>
      <c r="C113" s="164" t="s">
        <v>61</v>
      </c>
      <c r="D113" s="149" t="str">
        <f>VLOOKUP(B113,'[1]MASTER DATA 2025'!$C$3:$E$279,3,0)</f>
        <v>0Tahun9 Bulan</v>
      </c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113"/>
      <c r="AK113" s="151">
        <f t="shared" si="7"/>
        <v>0</v>
      </c>
      <c r="AL113" s="47">
        <f t="shared" si="8"/>
        <v>0</v>
      </c>
      <c r="AM113" s="35">
        <f t="shared" si="9"/>
        <v>0</v>
      </c>
      <c r="AN113" s="35">
        <f t="shared" si="10"/>
        <v>0</v>
      </c>
      <c r="AO113" s="36">
        <f t="shared" si="11"/>
        <v>0</v>
      </c>
      <c r="AP113" s="48">
        <f t="shared" si="12"/>
        <v>0</v>
      </c>
      <c r="AQ113" s="156" t="s">
        <v>275</v>
      </c>
      <c r="AR113" s="38">
        <v>26</v>
      </c>
      <c r="AS113" s="39">
        <f t="shared" si="16"/>
        <v>0</v>
      </c>
    </row>
    <row r="114" s="105" customFormat="1" ht="15" customHeight="1" spans="1:45">
      <c r="A114" s="68">
        <v>105</v>
      </c>
      <c r="B114" s="154" t="s">
        <v>144</v>
      </c>
      <c r="C114" s="164" t="s">
        <v>357</v>
      </c>
      <c r="D114" s="149" t="s">
        <v>236</v>
      </c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113"/>
      <c r="AK114" s="151">
        <f t="shared" si="7"/>
        <v>0</v>
      </c>
      <c r="AL114" s="35">
        <f t="shared" si="8"/>
        <v>0</v>
      </c>
      <c r="AM114" s="35">
        <f t="shared" si="9"/>
        <v>0</v>
      </c>
      <c r="AN114" s="35">
        <f t="shared" si="10"/>
        <v>0</v>
      </c>
      <c r="AO114" s="36">
        <f t="shared" si="11"/>
        <v>0</v>
      </c>
      <c r="AP114" s="37">
        <f t="shared" si="12"/>
        <v>0</v>
      </c>
      <c r="AQ114" s="37" t="s">
        <v>171</v>
      </c>
      <c r="AR114" s="38">
        <v>26</v>
      </c>
      <c r="AS114" s="39">
        <f t="shared" si="16"/>
        <v>0</v>
      </c>
    </row>
    <row r="115" s="105" customFormat="1" ht="15" customHeight="1" spans="1:45">
      <c r="A115" s="68">
        <v>106</v>
      </c>
      <c r="B115" s="154" t="s">
        <v>479</v>
      </c>
      <c r="C115" s="164" t="s">
        <v>59</v>
      </c>
      <c r="D115" s="149" t="s">
        <v>112</v>
      </c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113"/>
      <c r="AK115" s="151">
        <f t="shared" si="7"/>
        <v>0</v>
      </c>
      <c r="AL115" s="35">
        <f t="shared" si="8"/>
        <v>0</v>
      </c>
      <c r="AM115" s="35">
        <f t="shared" si="9"/>
        <v>0</v>
      </c>
      <c r="AN115" s="35">
        <f t="shared" si="10"/>
        <v>0</v>
      </c>
      <c r="AO115" s="36">
        <f t="shared" si="11"/>
        <v>0</v>
      </c>
      <c r="AP115" s="37">
        <f t="shared" si="12"/>
        <v>0</v>
      </c>
      <c r="AQ115" s="43"/>
      <c r="AR115" s="38">
        <v>26</v>
      </c>
      <c r="AS115" s="39">
        <f t="shared" si="16"/>
        <v>0</v>
      </c>
    </row>
    <row r="116" s="105" customFormat="1" ht="15" customHeight="1" spans="1:45">
      <c r="A116" s="68">
        <v>107</v>
      </c>
      <c r="B116" s="154" t="s">
        <v>510</v>
      </c>
      <c r="C116" s="164" t="s">
        <v>511</v>
      </c>
      <c r="D116" s="149" t="s">
        <v>178</v>
      </c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 t="s">
        <v>11</v>
      </c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113"/>
      <c r="AK116" s="151">
        <f t="shared" si="7"/>
        <v>0</v>
      </c>
      <c r="AL116" s="47">
        <f t="shared" si="8"/>
        <v>1</v>
      </c>
      <c r="AM116" s="35">
        <f t="shared" si="9"/>
        <v>0</v>
      </c>
      <c r="AN116" s="35">
        <f t="shared" si="10"/>
        <v>0</v>
      </c>
      <c r="AO116" s="36">
        <f t="shared" si="11"/>
        <v>0</v>
      </c>
      <c r="AP116" s="48">
        <f t="shared" si="12"/>
        <v>1</v>
      </c>
      <c r="AQ116" s="37" t="s">
        <v>228</v>
      </c>
      <c r="AR116" s="38">
        <v>26</v>
      </c>
      <c r="AS116" s="39">
        <f t="shared" si="16"/>
        <v>0.0384615384615385</v>
      </c>
    </row>
    <row r="117" s="105" customFormat="1" ht="15" customHeight="1" spans="1:45">
      <c r="A117" s="68">
        <v>108</v>
      </c>
      <c r="B117" s="154" t="s">
        <v>147</v>
      </c>
      <c r="C117" s="164" t="s">
        <v>240</v>
      </c>
      <c r="D117" s="149" t="s">
        <v>205</v>
      </c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113"/>
      <c r="AK117" s="151">
        <f t="shared" si="7"/>
        <v>0</v>
      </c>
      <c r="AL117" s="47">
        <f t="shared" si="8"/>
        <v>0</v>
      </c>
      <c r="AM117" s="35">
        <f t="shared" si="9"/>
        <v>0</v>
      </c>
      <c r="AN117" s="35">
        <f t="shared" si="10"/>
        <v>0</v>
      </c>
      <c r="AO117" s="36">
        <f t="shared" si="11"/>
        <v>0</v>
      </c>
      <c r="AP117" s="48">
        <f t="shared" si="12"/>
        <v>0</v>
      </c>
      <c r="AQ117" s="37" t="s">
        <v>228</v>
      </c>
      <c r="AR117" s="38"/>
      <c r="AS117" s="39"/>
    </row>
    <row r="118" s="105" customFormat="1" ht="15" customHeight="1" spans="1:45">
      <c r="A118" s="68">
        <v>109</v>
      </c>
      <c r="B118" s="154" t="s">
        <v>148</v>
      </c>
      <c r="C118" s="164" t="s">
        <v>16</v>
      </c>
      <c r="D118" s="152" t="s">
        <v>163</v>
      </c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 t="s">
        <v>11</v>
      </c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113"/>
      <c r="AK118" s="151">
        <f t="shared" si="7"/>
        <v>0</v>
      </c>
      <c r="AL118" s="35">
        <f t="shared" si="8"/>
        <v>1</v>
      </c>
      <c r="AM118" s="36">
        <f t="shared" si="9"/>
        <v>0</v>
      </c>
      <c r="AN118" s="35">
        <f t="shared" si="10"/>
        <v>0</v>
      </c>
      <c r="AO118" s="36">
        <f t="shared" si="11"/>
        <v>0</v>
      </c>
      <c r="AP118" s="37">
        <f t="shared" si="12"/>
        <v>1</v>
      </c>
      <c r="AQ118" s="43" t="s">
        <v>193</v>
      </c>
      <c r="AR118" s="38"/>
      <c r="AS118" s="39"/>
    </row>
    <row r="119" s="105" customFormat="1" ht="15" customHeight="1" spans="1:45">
      <c r="A119" s="68">
        <v>110</v>
      </c>
      <c r="B119" s="154" t="s">
        <v>480</v>
      </c>
      <c r="C119" s="164" t="s">
        <v>16</v>
      </c>
      <c r="D119" s="152" t="s">
        <v>178</v>
      </c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113"/>
      <c r="AK119" s="151">
        <f t="shared" si="7"/>
        <v>0</v>
      </c>
      <c r="AL119" s="35">
        <f t="shared" si="8"/>
        <v>0</v>
      </c>
      <c r="AM119" s="36">
        <f t="shared" si="9"/>
        <v>0</v>
      </c>
      <c r="AN119" s="35">
        <f t="shared" si="10"/>
        <v>0</v>
      </c>
      <c r="AO119" s="36">
        <f t="shared" si="11"/>
        <v>0</v>
      </c>
      <c r="AP119" s="37">
        <f t="shared" si="12"/>
        <v>0</v>
      </c>
      <c r="AQ119" s="43" t="s">
        <v>171</v>
      </c>
      <c r="AR119" s="38"/>
      <c r="AS119" s="39"/>
    </row>
    <row r="120" s="105" customFormat="1" ht="15" customHeight="1" spans="1:45">
      <c r="A120" s="68">
        <v>111</v>
      </c>
      <c r="B120" s="154" t="s">
        <v>150</v>
      </c>
      <c r="C120" s="164" t="s">
        <v>16</v>
      </c>
      <c r="D120" s="149" t="s">
        <v>395</v>
      </c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113"/>
      <c r="AK120" s="151">
        <f t="shared" si="7"/>
        <v>0</v>
      </c>
      <c r="AL120" s="35">
        <f t="shared" si="8"/>
        <v>0</v>
      </c>
      <c r="AM120" s="36">
        <f t="shared" si="9"/>
        <v>0</v>
      </c>
      <c r="AN120" s="35">
        <f t="shared" si="10"/>
        <v>0</v>
      </c>
      <c r="AO120" s="36">
        <f t="shared" si="11"/>
        <v>0</v>
      </c>
      <c r="AP120" s="37">
        <f t="shared" si="12"/>
        <v>0</v>
      </c>
      <c r="AQ120" s="37"/>
      <c r="AR120" s="38"/>
      <c r="AS120" s="39"/>
    </row>
    <row r="121" s="105" customFormat="1" ht="15" customHeight="1" spans="1:45">
      <c r="A121" s="68">
        <v>112</v>
      </c>
      <c r="B121" s="154" t="s">
        <v>151</v>
      </c>
      <c r="C121" s="164" t="s">
        <v>241</v>
      </c>
      <c r="D121" s="152" t="s">
        <v>217</v>
      </c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113"/>
      <c r="AK121" s="151">
        <f t="shared" si="7"/>
        <v>0</v>
      </c>
      <c r="AL121" s="35">
        <f t="shared" si="8"/>
        <v>0</v>
      </c>
      <c r="AM121" s="36">
        <f t="shared" si="9"/>
        <v>0</v>
      </c>
      <c r="AN121" s="35">
        <f t="shared" si="10"/>
        <v>0</v>
      </c>
      <c r="AO121" s="36">
        <f t="shared" si="11"/>
        <v>0</v>
      </c>
      <c r="AP121" s="37">
        <f t="shared" si="12"/>
        <v>0</v>
      </c>
      <c r="AQ121" s="156" t="s">
        <v>275</v>
      </c>
      <c r="AR121" s="38"/>
      <c r="AS121" s="39"/>
    </row>
    <row r="122" s="105" customFormat="1" ht="15" customHeight="1" spans="1:45">
      <c r="A122" s="68">
        <v>113</v>
      </c>
      <c r="B122" s="154" t="s">
        <v>152</v>
      </c>
      <c r="C122" s="164" t="s">
        <v>20</v>
      </c>
      <c r="D122" s="152" t="s">
        <v>236</v>
      </c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113"/>
      <c r="AK122" s="151">
        <f t="shared" si="7"/>
        <v>0</v>
      </c>
      <c r="AL122" s="47">
        <f t="shared" si="8"/>
        <v>0</v>
      </c>
      <c r="AM122" s="35">
        <f t="shared" si="9"/>
        <v>0</v>
      </c>
      <c r="AN122" s="35">
        <f t="shared" si="10"/>
        <v>0</v>
      </c>
      <c r="AO122" s="36">
        <f t="shared" si="11"/>
        <v>0</v>
      </c>
      <c r="AP122" s="48">
        <f t="shared" si="12"/>
        <v>0</v>
      </c>
      <c r="AQ122" s="37" t="s">
        <v>214</v>
      </c>
      <c r="AR122" s="38"/>
      <c r="AS122" s="39"/>
    </row>
    <row r="123" s="105" customFormat="1" ht="15" customHeight="1" spans="1:45">
      <c r="A123" s="68">
        <v>114</v>
      </c>
      <c r="B123" s="154" t="s">
        <v>437</v>
      </c>
      <c r="C123" s="164" t="s">
        <v>59</v>
      </c>
      <c r="D123" s="149" t="e">
        <f>VLOOKUP(B123,'[1]MASTER DATA 2025'!$C$3:$E$279,3,0)</f>
        <v>#N/A</v>
      </c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113"/>
      <c r="AK123" s="151">
        <f t="shared" si="7"/>
        <v>0</v>
      </c>
      <c r="AL123" s="47">
        <f t="shared" si="8"/>
        <v>0</v>
      </c>
      <c r="AM123" s="35">
        <f t="shared" si="9"/>
        <v>0</v>
      </c>
      <c r="AN123" s="35">
        <f t="shared" si="10"/>
        <v>0</v>
      </c>
      <c r="AO123" s="36">
        <f t="shared" si="11"/>
        <v>0</v>
      </c>
      <c r="AP123" s="48">
        <f t="shared" si="12"/>
        <v>0</v>
      </c>
      <c r="AQ123" s="37" t="s">
        <v>25</v>
      </c>
      <c r="AR123" s="38">
        <v>26</v>
      </c>
      <c r="AS123" s="39">
        <f>AP123/AR123</f>
        <v>0</v>
      </c>
    </row>
    <row r="124" s="105" customFormat="1" ht="15" customHeight="1" spans="1:45">
      <c r="A124" s="68">
        <v>115</v>
      </c>
      <c r="B124" s="154" t="s">
        <v>155</v>
      </c>
      <c r="C124" s="164" t="s">
        <v>59</v>
      </c>
      <c r="D124" s="149" t="s">
        <v>163</v>
      </c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113"/>
      <c r="AK124" s="151">
        <f t="shared" si="7"/>
        <v>0</v>
      </c>
      <c r="AL124" s="35">
        <f t="shared" si="8"/>
        <v>0</v>
      </c>
      <c r="AM124" s="35">
        <f t="shared" si="9"/>
        <v>0</v>
      </c>
      <c r="AN124" s="35">
        <f t="shared" si="10"/>
        <v>0</v>
      </c>
      <c r="AO124" s="36">
        <f t="shared" si="11"/>
        <v>0</v>
      </c>
      <c r="AP124" s="37">
        <f t="shared" si="12"/>
        <v>0</v>
      </c>
      <c r="AQ124" s="43" t="s">
        <v>193</v>
      </c>
      <c r="AR124" s="38"/>
      <c r="AS124" s="39"/>
    </row>
    <row r="125" s="105" customFormat="1" ht="15" customHeight="1" spans="1:45">
      <c r="A125" s="68">
        <v>116</v>
      </c>
      <c r="B125" s="154" t="s">
        <v>157</v>
      </c>
      <c r="C125" s="164" t="s">
        <v>61</v>
      </c>
      <c r="D125" s="149" t="str">
        <f>VLOOKUP(B125,'[1]MASTER DATA 2025'!$C$3:$E$279,3,0)</f>
        <v>0Tahun1 Bulan</v>
      </c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113"/>
      <c r="AK125" s="151">
        <f t="shared" si="7"/>
        <v>0</v>
      </c>
      <c r="AL125" s="35">
        <f t="shared" si="8"/>
        <v>0</v>
      </c>
      <c r="AM125" s="35">
        <f t="shared" si="9"/>
        <v>0</v>
      </c>
      <c r="AN125" s="35">
        <f t="shared" si="10"/>
        <v>0</v>
      </c>
      <c r="AO125" s="36">
        <f t="shared" si="11"/>
        <v>0</v>
      </c>
      <c r="AP125" s="37">
        <f t="shared" si="12"/>
        <v>0</v>
      </c>
      <c r="AQ125" s="37" t="s">
        <v>228</v>
      </c>
      <c r="AR125" s="38"/>
      <c r="AS125" s="39"/>
    </row>
    <row r="126" s="105" customFormat="1" ht="15" customHeight="1" spans="1:45">
      <c r="A126" s="68">
        <v>117</v>
      </c>
      <c r="B126" s="154" t="s">
        <v>158</v>
      </c>
      <c r="C126" s="164" t="s">
        <v>20</v>
      </c>
      <c r="D126" s="149" t="str">
        <f>VLOOKUP(B126,'[1]MASTER DATA 2025'!$C$3:$E$279,3,0)</f>
        <v>0Tahun1 Bulan</v>
      </c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113"/>
      <c r="AK126" s="151">
        <f t="shared" si="7"/>
        <v>0</v>
      </c>
      <c r="AL126" s="35">
        <f t="shared" si="8"/>
        <v>0</v>
      </c>
      <c r="AM126" s="36">
        <f t="shared" si="9"/>
        <v>0</v>
      </c>
      <c r="AN126" s="35">
        <f t="shared" si="10"/>
        <v>0</v>
      </c>
      <c r="AO126" s="36">
        <f t="shared" si="11"/>
        <v>0</v>
      </c>
      <c r="AP126" s="37">
        <f t="shared" si="12"/>
        <v>0</v>
      </c>
      <c r="AQ126" s="37" t="s">
        <v>228</v>
      </c>
      <c r="AR126" s="38"/>
      <c r="AS126" s="39"/>
    </row>
    <row r="127" s="105" customFormat="1" ht="15" customHeight="1" spans="1:45">
      <c r="A127" s="68">
        <v>118</v>
      </c>
      <c r="B127" s="154" t="s">
        <v>159</v>
      </c>
      <c r="C127" s="164" t="s">
        <v>59</v>
      </c>
      <c r="D127" s="152" t="s">
        <v>266</v>
      </c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 t="s">
        <v>11</v>
      </c>
      <c r="AF127" s="62"/>
      <c r="AG127" s="62"/>
      <c r="AH127" s="62"/>
      <c r="AI127" s="62"/>
      <c r="AJ127" s="113"/>
      <c r="AK127" s="151">
        <f t="shared" si="7"/>
        <v>0</v>
      </c>
      <c r="AL127" s="35">
        <f t="shared" si="8"/>
        <v>1</v>
      </c>
      <c r="AM127" s="36">
        <f t="shared" si="9"/>
        <v>0</v>
      </c>
      <c r="AN127" s="35">
        <f t="shared" si="10"/>
        <v>0</v>
      </c>
      <c r="AO127" s="36">
        <f t="shared" si="11"/>
        <v>0</v>
      </c>
      <c r="AP127" s="37">
        <f t="shared" si="12"/>
        <v>1</v>
      </c>
      <c r="AQ127" s="43" t="s">
        <v>193</v>
      </c>
      <c r="AR127" s="38"/>
      <c r="AS127" s="39"/>
    </row>
    <row r="128" s="105" customFormat="1" ht="15" customHeight="1" spans="1:45">
      <c r="A128" s="68">
        <v>119</v>
      </c>
      <c r="B128" s="154" t="s">
        <v>160</v>
      </c>
      <c r="C128" s="164" t="s">
        <v>20</v>
      </c>
      <c r="D128" s="149" t="str">
        <f>VLOOKUP(B128,'[1]MASTER DATA 2025'!$C$3:$E$279,3,0)</f>
        <v>0Tahun1 Bulan</v>
      </c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113"/>
      <c r="AK128" s="151">
        <f t="shared" si="7"/>
        <v>0</v>
      </c>
      <c r="AL128" s="47">
        <f t="shared" si="8"/>
        <v>0</v>
      </c>
      <c r="AM128" s="35">
        <f t="shared" si="9"/>
        <v>0</v>
      </c>
      <c r="AN128" s="35">
        <f t="shared" si="10"/>
        <v>0</v>
      </c>
      <c r="AO128" s="36">
        <f t="shared" si="11"/>
        <v>0</v>
      </c>
      <c r="AP128" s="48">
        <f t="shared" si="12"/>
        <v>0</v>
      </c>
      <c r="AQ128" s="37" t="s">
        <v>25</v>
      </c>
      <c r="AR128" s="38"/>
      <c r="AS128" s="39"/>
    </row>
    <row r="129" s="105" customFormat="1" ht="15" customHeight="1" spans="1:45">
      <c r="A129" s="68">
        <v>120</v>
      </c>
      <c r="B129" s="154" t="s">
        <v>161</v>
      </c>
      <c r="C129" s="164" t="s">
        <v>20</v>
      </c>
      <c r="D129" s="149" t="str">
        <f>VLOOKUP(B129,'[1]MASTER DATA 2025'!$C$3:$E$279,3,0)</f>
        <v>1Tahun2 Bulan</v>
      </c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113"/>
      <c r="AK129" s="151">
        <f t="shared" si="7"/>
        <v>0</v>
      </c>
      <c r="AL129" s="35">
        <f t="shared" si="8"/>
        <v>0</v>
      </c>
      <c r="AM129" s="35">
        <f t="shared" si="9"/>
        <v>0</v>
      </c>
      <c r="AN129" s="47">
        <f t="shared" si="10"/>
        <v>0</v>
      </c>
      <c r="AO129" s="36">
        <f t="shared" si="11"/>
        <v>0</v>
      </c>
      <c r="AP129" s="48">
        <f t="shared" si="12"/>
        <v>0</v>
      </c>
      <c r="AQ129" s="37" t="s">
        <v>175</v>
      </c>
      <c r="AR129" s="38"/>
      <c r="AS129" s="39"/>
    </row>
    <row r="130" s="105" customFormat="1" ht="15" customHeight="1" spans="1:45">
      <c r="A130" s="68">
        <v>121</v>
      </c>
      <c r="B130" s="154" t="s">
        <v>481</v>
      </c>
      <c r="C130" s="164" t="s">
        <v>59</v>
      </c>
      <c r="D130" s="149" t="s">
        <v>178</v>
      </c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 t="s">
        <v>11</v>
      </c>
      <c r="AE130" s="62"/>
      <c r="AF130" s="62"/>
      <c r="AG130" s="62"/>
      <c r="AH130" s="62"/>
      <c r="AI130" s="62"/>
      <c r="AJ130" s="113"/>
      <c r="AK130" s="151">
        <f t="shared" si="7"/>
        <v>0</v>
      </c>
      <c r="AL130" s="35">
        <f t="shared" si="8"/>
        <v>1</v>
      </c>
      <c r="AM130" s="35">
        <f t="shared" si="9"/>
        <v>0</v>
      </c>
      <c r="AN130" s="47">
        <f t="shared" si="10"/>
        <v>0</v>
      </c>
      <c r="AO130" s="36"/>
      <c r="AP130" s="37">
        <f t="shared" si="12"/>
        <v>1</v>
      </c>
      <c r="AQ130" s="38" t="s">
        <v>207</v>
      </c>
      <c r="AR130" s="38"/>
      <c r="AS130" s="39"/>
    </row>
    <row r="131" s="105" customFormat="1" ht="15" customHeight="1" spans="1:45">
      <c r="A131" s="68">
        <v>122</v>
      </c>
      <c r="B131" s="154" t="s">
        <v>164</v>
      </c>
      <c r="C131" s="164" t="s">
        <v>101</v>
      </c>
      <c r="D131" s="149" t="str">
        <f>VLOOKUP(B131,'[1]MASTER DATA 2025'!$C$3:$E$279,3,0)</f>
        <v>2Tahun0 Bulan</v>
      </c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113"/>
      <c r="AK131" s="151">
        <f t="shared" si="7"/>
        <v>0</v>
      </c>
      <c r="AL131" s="35">
        <f t="shared" si="8"/>
        <v>0</v>
      </c>
      <c r="AM131" s="35">
        <f t="shared" si="9"/>
        <v>0</v>
      </c>
      <c r="AN131" s="47">
        <f t="shared" si="10"/>
        <v>0</v>
      </c>
      <c r="AO131" s="36">
        <f t="shared" ref="AO131:AO186" si="17">COUNTIF(E131:AI131,"OFF")</f>
        <v>0</v>
      </c>
      <c r="AP131" s="48">
        <f t="shared" si="12"/>
        <v>0</v>
      </c>
      <c r="AQ131" s="37" t="s">
        <v>25</v>
      </c>
      <c r="AR131" s="38"/>
      <c r="AS131" s="39"/>
    </row>
    <row r="132" s="105" customFormat="1" ht="15" customHeight="1" spans="1:45">
      <c r="A132" s="68">
        <v>123</v>
      </c>
      <c r="B132" s="154" t="s">
        <v>176</v>
      </c>
      <c r="C132" s="164" t="s">
        <v>20</v>
      </c>
      <c r="D132" s="149" t="str">
        <f>VLOOKUP(B132,'[1]MASTER DATA 2025'!$C$3:$E$279,3,0)</f>
        <v>0Tahun2 Bulan</v>
      </c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113"/>
      <c r="AK132" s="151">
        <f t="shared" si="7"/>
        <v>0</v>
      </c>
      <c r="AL132" s="35">
        <f t="shared" si="8"/>
        <v>0</v>
      </c>
      <c r="AM132" s="35">
        <f t="shared" si="9"/>
        <v>0</v>
      </c>
      <c r="AN132" s="47">
        <f t="shared" si="10"/>
        <v>0</v>
      </c>
      <c r="AO132" s="36">
        <f t="shared" si="17"/>
        <v>0</v>
      </c>
      <c r="AP132" s="48">
        <f t="shared" si="12"/>
        <v>0</v>
      </c>
      <c r="AQ132" s="37"/>
      <c r="AR132" s="38"/>
      <c r="AS132" s="39"/>
    </row>
    <row r="133" s="105" customFormat="1" ht="15" customHeight="1" spans="1:45">
      <c r="A133" s="68">
        <v>124</v>
      </c>
      <c r="B133" s="154" t="s">
        <v>177</v>
      </c>
      <c r="C133" s="164" t="s">
        <v>16</v>
      </c>
      <c r="D133" s="149" t="s">
        <v>178</v>
      </c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113"/>
      <c r="AK133" s="151">
        <f t="shared" si="7"/>
        <v>0</v>
      </c>
      <c r="AL133" s="35">
        <f t="shared" si="8"/>
        <v>0</v>
      </c>
      <c r="AM133" s="36">
        <f t="shared" si="9"/>
        <v>0</v>
      </c>
      <c r="AN133" s="35">
        <f t="shared" si="10"/>
        <v>0</v>
      </c>
      <c r="AO133" s="36">
        <f t="shared" si="17"/>
        <v>0</v>
      </c>
      <c r="AP133" s="37">
        <f t="shared" si="12"/>
        <v>0</v>
      </c>
      <c r="AQ133" s="37" t="s">
        <v>25</v>
      </c>
      <c r="AR133" s="38"/>
      <c r="AS133" s="39"/>
    </row>
    <row r="134" s="105" customFormat="1" ht="15" customHeight="1" spans="1:45">
      <c r="A134" s="68">
        <v>125</v>
      </c>
      <c r="B134" s="154" t="s">
        <v>482</v>
      </c>
      <c r="C134" s="164" t="s">
        <v>16</v>
      </c>
      <c r="D134" s="149" t="s">
        <v>238</v>
      </c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113"/>
      <c r="AK134" s="151">
        <f t="shared" si="7"/>
        <v>0</v>
      </c>
      <c r="AL134" s="35">
        <f t="shared" si="8"/>
        <v>0</v>
      </c>
      <c r="AM134" s="35">
        <f t="shared" si="9"/>
        <v>0</v>
      </c>
      <c r="AN134" s="47">
        <f t="shared" si="10"/>
        <v>0</v>
      </c>
      <c r="AO134" s="36">
        <f t="shared" si="17"/>
        <v>0</v>
      </c>
      <c r="AP134" s="48">
        <f t="shared" si="12"/>
        <v>0</v>
      </c>
      <c r="AQ134" s="37" t="s">
        <v>25</v>
      </c>
      <c r="AR134" s="38"/>
      <c r="AS134" s="39"/>
    </row>
    <row r="135" s="105" customFormat="1" ht="15" customHeight="1" spans="1:45">
      <c r="A135" s="68">
        <v>126</v>
      </c>
      <c r="B135" s="154" t="s">
        <v>158</v>
      </c>
      <c r="C135" s="164" t="s">
        <v>20</v>
      </c>
      <c r="D135" s="149" t="s">
        <v>180</v>
      </c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113"/>
      <c r="AK135" s="151">
        <f t="shared" si="7"/>
        <v>0</v>
      </c>
      <c r="AL135" s="35">
        <f t="shared" si="8"/>
        <v>0</v>
      </c>
      <c r="AM135" s="35">
        <f t="shared" si="9"/>
        <v>0</v>
      </c>
      <c r="AN135" s="47">
        <f t="shared" si="10"/>
        <v>0</v>
      </c>
      <c r="AO135" s="36">
        <f t="shared" si="17"/>
        <v>0</v>
      </c>
      <c r="AP135" s="48">
        <f t="shared" si="12"/>
        <v>0</v>
      </c>
      <c r="AQ135" s="37" t="s">
        <v>25</v>
      </c>
      <c r="AR135" s="38"/>
      <c r="AS135" s="39"/>
    </row>
    <row r="136" s="105" customFormat="1" ht="15" customHeight="1" spans="1:45">
      <c r="A136" s="68">
        <v>127</v>
      </c>
      <c r="B136" s="154" t="s">
        <v>181</v>
      </c>
      <c r="C136" s="165" t="s">
        <v>59</v>
      </c>
      <c r="D136" s="152" t="s">
        <v>308</v>
      </c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113"/>
      <c r="AK136" s="151">
        <f t="shared" si="7"/>
        <v>0</v>
      </c>
      <c r="AL136" s="35">
        <f t="shared" si="8"/>
        <v>0</v>
      </c>
      <c r="AM136" s="36">
        <f t="shared" si="9"/>
        <v>0</v>
      </c>
      <c r="AN136" s="35">
        <f t="shared" si="10"/>
        <v>0</v>
      </c>
      <c r="AO136" s="36">
        <f t="shared" si="17"/>
        <v>0</v>
      </c>
      <c r="AP136" s="37">
        <f t="shared" si="12"/>
        <v>0</v>
      </c>
      <c r="AQ136" s="43" t="s">
        <v>336</v>
      </c>
      <c r="AR136" s="38"/>
      <c r="AS136" s="39"/>
    </row>
    <row r="137" s="105" customFormat="1" ht="15" customHeight="1" spans="1:45">
      <c r="A137" s="68">
        <v>128</v>
      </c>
      <c r="B137" s="154" t="s">
        <v>182</v>
      </c>
      <c r="C137" s="166" t="s">
        <v>59</v>
      </c>
      <c r="D137" s="152" t="s">
        <v>178</v>
      </c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113"/>
      <c r="AK137" s="151">
        <f t="shared" si="7"/>
        <v>0</v>
      </c>
      <c r="AL137" s="131">
        <f t="shared" si="8"/>
        <v>0</v>
      </c>
      <c r="AM137" s="103">
        <f t="shared" si="9"/>
        <v>0</v>
      </c>
      <c r="AN137" s="131">
        <f t="shared" si="10"/>
        <v>0</v>
      </c>
      <c r="AO137" s="103">
        <f t="shared" si="17"/>
        <v>0</v>
      </c>
      <c r="AP137" s="128">
        <f t="shared" si="12"/>
        <v>0</v>
      </c>
      <c r="AQ137" s="128" t="s">
        <v>25</v>
      </c>
      <c r="AR137" s="38"/>
      <c r="AS137" s="39"/>
    </row>
    <row r="138" s="105" customFormat="1" ht="15" customHeight="1" spans="1:45">
      <c r="A138" s="68">
        <v>129</v>
      </c>
      <c r="B138" s="154" t="s">
        <v>183</v>
      </c>
      <c r="C138" s="166" t="s">
        <v>16</v>
      </c>
      <c r="D138" s="149" t="s">
        <v>219</v>
      </c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113"/>
      <c r="AK138" s="151">
        <f t="shared" si="7"/>
        <v>0</v>
      </c>
      <c r="AL138" s="43">
        <f t="shared" si="8"/>
        <v>0</v>
      </c>
      <c r="AM138" s="66">
        <f t="shared" si="9"/>
        <v>0</v>
      </c>
      <c r="AN138" s="43">
        <f t="shared" si="10"/>
        <v>0</v>
      </c>
      <c r="AO138" s="66">
        <f t="shared" si="17"/>
        <v>0</v>
      </c>
      <c r="AP138" s="43">
        <f t="shared" si="12"/>
        <v>0</v>
      </c>
      <c r="AQ138" s="43" t="s">
        <v>336</v>
      </c>
      <c r="AR138" s="68"/>
      <c r="AS138" s="39"/>
    </row>
    <row r="139" s="105" customFormat="1" ht="15" customHeight="1" spans="1:45">
      <c r="A139" s="68">
        <v>130</v>
      </c>
      <c r="B139" s="154" t="s">
        <v>184</v>
      </c>
      <c r="C139" s="166" t="s">
        <v>16</v>
      </c>
      <c r="D139" s="152" t="s">
        <v>180</v>
      </c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113"/>
      <c r="AK139" s="151">
        <f t="shared" si="7"/>
        <v>0</v>
      </c>
      <c r="AL139" s="35">
        <f t="shared" si="8"/>
        <v>0</v>
      </c>
      <c r="AM139" s="36">
        <f t="shared" si="9"/>
        <v>0</v>
      </c>
      <c r="AN139" s="35">
        <f t="shared" si="10"/>
        <v>0</v>
      </c>
      <c r="AO139" s="36">
        <f t="shared" si="17"/>
        <v>0</v>
      </c>
      <c r="AP139" s="35">
        <f t="shared" si="12"/>
        <v>0</v>
      </c>
      <c r="AQ139" s="35" t="s">
        <v>228</v>
      </c>
      <c r="AR139" s="38"/>
      <c r="AS139" s="39"/>
    </row>
    <row r="140" s="105" customFormat="1" ht="15" customHeight="1" spans="1:45">
      <c r="A140" s="68">
        <v>131</v>
      </c>
      <c r="B140" s="154" t="s">
        <v>185</v>
      </c>
      <c r="C140" s="166" t="s">
        <v>16</v>
      </c>
      <c r="D140" s="152" t="s">
        <v>205</v>
      </c>
      <c r="E140" s="62"/>
      <c r="F140" s="62"/>
      <c r="G140" s="62"/>
      <c r="H140" s="62"/>
      <c r="I140" s="62"/>
      <c r="J140" s="62" t="s">
        <v>12</v>
      </c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113"/>
      <c r="AK140" s="151">
        <f t="shared" ref="AK140:AK147" si="18">COUNTIF(E140:AI140,"H")</f>
        <v>0</v>
      </c>
      <c r="AL140" s="35">
        <f t="shared" ref="AL140:AL186" si="19">COUNTIF(E140:AI140,"S")</f>
        <v>0</v>
      </c>
      <c r="AM140" s="36">
        <f t="shared" ref="AM140:AM186" si="20">COUNTIF(E140:AI140,"I")</f>
        <v>1</v>
      </c>
      <c r="AN140" s="35">
        <f t="shared" ref="AN140:AN186" si="21">COUNTIF(E140:AI140,"A")</f>
        <v>0</v>
      </c>
      <c r="AO140" s="36">
        <f t="shared" si="17"/>
        <v>0</v>
      </c>
      <c r="AP140" s="37">
        <f t="shared" ref="AP140:AP186" si="22">SUM(AK140:AN140)</f>
        <v>1</v>
      </c>
      <c r="AQ140" s="43" t="s">
        <v>336</v>
      </c>
      <c r="AR140" s="38"/>
      <c r="AS140" s="39"/>
    </row>
    <row r="141" s="105" customFormat="1" ht="15" customHeight="1" spans="1:45">
      <c r="A141" s="68">
        <v>132</v>
      </c>
      <c r="B141" s="154" t="s">
        <v>186</v>
      </c>
      <c r="C141" s="166" t="s">
        <v>245</v>
      </c>
      <c r="D141" s="149" t="s">
        <v>112</v>
      </c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113"/>
      <c r="AK141" s="151">
        <f t="shared" si="18"/>
        <v>0</v>
      </c>
      <c r="AL141" s="35">
        <f t="shared" si="19"/>
        <v>0</v>
      </c>
      <c r="AM141" s="36">
        <f t="shared" si="20"/>
        <v>0</v>
      </c>
      <c r="AN141" s="35">
        <f t="shared" si="21"/>
        <v>0</v>
      </c>
      <c r="AO141" s="36">
        <f t="shared" si="17"/>
        <v>0</v>
      </c>
      <c r="AP141" s="37">
        <f t="shared" si="22"/>
        <v>0</v>
      </c>
      <c r="AQ141" s="37" t="s">
        <v>216</v>
      </c>
      <c r="AR141" s="38"/>
      <c r="AS141" s="39"/>
    </row>
    <row r="142" s="105" customFormat="1" ht="15" customHeight="1" spans="1:45">
      <c r="A142" s="68">
        <v>133</v>
      </c>
      <c r="B142" s="154" t="s">
        <v>187</v>
      </c>
      <c r="C142" s="166" t="s">
        <v>16</v>
      </c>
      <c r="D142" s="152" t="s">
        <v>163</v>
      </c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113"/>
      <c r="AK142" s="151">
        <f t="shared" si="18"/>
        <v>0</v>
      </c>
      <c r="AL142" s="35">
        <f t="shared" si="19"/>
        <v>0</v>
      </c>
      <c r="AM142" s="36">
        <f t="shared" si="20"/>
        <v>0</v>
      </c>
      <c r="AN142" s="35">
        <f t="shared" si="21"/>
        <v>0</v>
      </c>
      <c r="AO142" s="36">
        <f t="shared" si="17"/>
        <v>0</v>
      </c>
      <c r="AP142" s="37">
        <f t="shared" si="22"/>
        <v>0</v>
      </c>
      <c r="AQ142" s="43" t="s">
        <v>438</v>
      </c>
      <c r="AR142" s="38"/>
      <c r="AS142" s="39"/>
    </row>
    <row r="143" s="105" customFormat="1" ht="15" customHeight="1" spans="1:45">
      <c r="A143" s="68">
        <v>134</v>
      </c>
      <c r="B143" s="154" t="s">
        <v>188</v>
      </c>
      <c r="C143" s="166" t="s">
        <v>16</v>
      </c>
      <c r="D143" s="152" t="str">
        <f>VLOOKUP(B143,'[1]MASTER DATA 2025'!$C$3:$E$279,3,0)</f>
        <v>1Tahun5 Bulan</v>
      </c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113"/>
      <c r="AK143" s="151">
        <f t="shared" si="18"/>
        <v>0</v>
      </c>
      <c r="AL143" s="35">
        <f t="shared" si="19"/>
        <v>0</v>
      </c>
      <c r="AM143" s="36">
        <f t="shared" si="20"/>
        <v>0</v>
      </c>
      <c r="AN143" s="35">
        <f t="shared" si="21"/>
        <v>0</v>
      </c>
      <c r="AO143" s="36">
        <f t="shared" si="17"/>
        <v>0</v>
      </c>
      <c r="AP143" s="37">
        <f t="shared" si="22"/>
        <v>0</v>
      </c>
      <c r="AQ143" s="37"/>
      <c r="AR143" s="38"/>
      <c r="AS143" s="39"/>
    </row>
    <row r="144" s="105" customFormat="1" ht="15" customHeight="1" spans="1:45">
      <c r="A144" s="68">
        <v>135</v>
      </c>
      <c r="B144" s="154" t="s">
        <v>483</v>
      </c>
      <c r="C144" s="166" t="s">
        <v>413</v>
      </c>
      <c r="D144" s="152" t="s">
        <v>484</v>
      </c>
      <c r="E144" s="62"/>
      <c r="F144" s="62"/>
      <c r="G144" s="62" t="s">
        <v>11</v>
      </c>
      <c r="H144" s="62" t="s">
        <v>11</v>
      </c>
      <c r="I144" s="62" t="s">
        <v>11</v>
      </c>
      <c r="J144" s="62" t="s">
        <v>11</v>
      </c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113"/>
      <c r="AK144" s="151">
        <f t="shared" si="18"/>
        <v>0</v>
      </c>
      <c r="AL144" s="35">
        <f t="shared" si="19"/>
        <v>4</v>
      </c>
      <c r="AM144" s="36">
        <f t="shared" si="20"/>
        <v>0</v>
      </c>
      <c r="AN144" s="35">
        <f t="shared" si="21"/>
        <v>0</v>
      </c>
      <c r="AO144" s="36">
        <f t="shared" si="17"/>
        <v>0</v>
      </c>
      <c r="AP144" s="37">
        <f t="shared" si="22"/>
        <v>4</v>
      </c>
      <c r="AQ144" s="37" t="s">
        <v>25</v>
      </c>
      <c r="AR144" s="38"/>
      <c r="AS144" s="39"/>
    </row>
    <row r="145" s="105" customFormat="1" ht="15" customHeight="1" spans="1:45">
      <c r="A145" s="68">
        <v>136</v>
      </c>
      <c r="B145" s="154" t="s">
        <v>190</v>
      </c>
      <c r="C145" s="166" t="s">
        <v>16</v>
      </c>
      <c r="D145" s="152" t="s">
        <v>180</v>
      </c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113"/>
      <c r="AK145" s="151">
        <f t="shared" si="18"/>
        <v>0</v>
      </c>
      <c r="AL145" s="35">
        <f t="shared" si="19"/>
        <v>0</v>
      </c>
      <c r="AM145" s="36">
        <f t="shared" si="20"/>
        <v>0</v>
      </c>
      <c r="AN145" s="35">
        <f t="shared" si="21"/>
        <v>0</v>
      </c>
      <c r="AO145" s="36">
        <f t="shared" si="17"/>
        <v>0</v>
      </c>
      <c r="AP145" s="37">
        <f t="shared" si="22"/>
        <v>0</v>
      </c>
      <c r="AQ145" s="37" t="s">
        <v>214</v>
      </c>
      <c r="AR145" s="38"/>
      <c r="AS145" s="39"/>
    </row>
    <row r="146" s="105" customFormat="1" ht="15" customHeight="1" spans="1:45">
      <c r="A146" s="68">
        <v>137</v>
      </c>
      <c r="B146" s="154" t="s">
        <v>191</v>
      </c>
      <c r="C146" s="150" t="s">
        <v>16</v>
      </c>
      <c r="D146" s="152" t="s">
        <v>178</v>
      </c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113"/>
      <c r="AK146" s="151">
        <f t="shared" si="18"/>
        <v>0</v>
      </c>
      <c r="AL146" s="35">
        <f t="shared" si="19"/>
        <v>0</v>
      </c>
      <c r="AM146" s="35">
        <f t="shared" si="20"/>
        <v>0</v>
      </c>
      <c r="AN146" s="36">
        <f t="shared" si="21"/>
        <v>0</v>
      </c>
      <c r="AO146" s="36">
        <f t="shared" si="17"/>
        <v>0</v>
      </c>
      <c r="AP146" s="37">
        <f t="shared" si="22"/>
        <v>0</v>
      </c>
      <c r="AQ146" s="37" t="s">
        <v>192</v>
      </c>
      <c r="AR146" s="38">
        <v>16</v>
      </c>
      <c r="AS146" s="39">
        <f>AP146/AR146</f>
        <v>0</v>
      </c>
    </row>
    <row r="147" s="105" customFormat="1" ht="15" customHeight="1" spans="1:45">
      <c r="A147" s="68"/>
      <c r="B147" s="154" t="s">
        <v>247</v>
      </c>
      <c r="C147" s="150" t="s">
        <v>16</v>
      </c>
      <c r="D147" s="149" t="s">
        <v>196</v>
      </c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113"/>
      <c r="AK147" s="151">
        <f t="shared" si="18"/>
        <v>0</v>
      </c>
      <c r="AL147" s="35">
        <f t="shared" si="19"/>
        <v>0</v>
      </c>
      <c r="AM147" s="36">
        <f t="shared" si="20"/>
        <v>0</v>
      </c>
      <c r="AN147" s="35">
        <f t="shared" si="21"/>
        <v>0</v>
      </c>
      <c r="AO147" s="36">
        <f t="shared" si="17"/>
        <v>0</v>
      </c>
      <c r="AP147" s="37">
        <f t="shared" si="22"/>
        <v>0</v>
      </c>
      <c r="AQ147" s="43" t="s">
        <v>193</v>
      </c>
      <c r="AR147" s="38"/>
      <c r="AS147" s="39"/>
    </row>
    <row r="148" s="105" customFormat="1" ht="15" customHeight="1" spans="1:45">
      <c r="A148" s="68"/>
      <c r="B148" s="154" t="s">
        <v>439</v>
      </c>
      <c r="C148" s="150" t="s">
        <v>16</v>
      </c>
      <c r="D148" s="152" t="s">
        <v>178</v>
      </c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 t="s">
        <v>11</v>
      </c>
      <c r="AG148" s="62"/>
      <c r="AH148" s="62"/>
      <c r="AI148" s="62"/>
      <c r="AJ148" s="113"/>
      <c r="AK148" s="151"/>
      <c r="AL148" s="35">
        <f t="shared" si="19"/>
        <v>1</v>
      </c>
      <c r="AM148" s="36">
        <f t="shared" si="20"/>
        <v>0</v>
      </c>
      <c r="AN148" s="35">
        <f t="shared" si="21"/>
        <v>0</v>
      </c>
      <c r="AO148" s="36">
        <f t="shared" si="17"/>
        <v>0</v>
      </c>
      <c r="AP148" s="37">
        <f t="shared" si="22"/>
        <v>1</v>
      </c>
      <c r="AQ148" s="37"/>
      <c r="AR148" s="38"/>
      <c r="AS148" s="39"/>
    </row>
    <row r="149" s="105" customFormat="1" ht="15" customHeight="1" spans="1:45">
      <c r="A149" s="68"/>
      <c r="B149" s="154" t="s">
        <v>249</v>
      </c>
      <c r="C149" s="150" t="s">
        <v>16</v>
      </c>
      <c r="D149" s="152" t="s">
        <v>250</v>
      </c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113"/>
      <c r="AK149" s="151"/>
      <c r="AL149" s="35">
        <f t="shared" si="19"/>
        <v>0</v>
      </c>
      <c r="AM149" s="36">
        <f t="shared" si="20"/>
        <v>0</v>
      </c>
      <c r="AN149" s="35">
        <f t="shared" si="21"/>
        <v>0</v>
      </c>
      <c r="AO149" s="36">
        <f t="shared" si="17"/>
        <v>0</v>
      </c>
      <c r="AP149" s="37">
        <f t="shared" si="22"/>
        <v>0</v>
      </c>
      <c r="AQ149" s="37"/>
      <c r="AR149" s="38"/>
      <c r="AS149" s="39"/>
    </row>
    <row r="150" s="105" customFormat="1" ht="15" customHeight="1" spans="1:45">
      <c r="A150" s="68"/>
      <c r="B150" s="154" t="s">
        <v>396</v>
      </c>
      <c r="C150" s="150" t="s">
        <v>16</v>
      </c>
      <c r="D150" s="152" t="s">
        <v>178</v>
      </c>
      <c r="E150" s="62"/>
      <c r="F150" s="62"/>
      <c r="G150" s="62" t="s">
        <v>11</v>
      </c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 t="s">
        <v>11</v>
      </c>
      <c r="AE150" s="62" t="s">
        <v>11</v>
      </c>
      <c r="AF150" s="62"/>
      <c r="AG150" s="62"/>
      <c r="AH150" s="62"/>
      <c r="AI150" s="62"/>
      <c r="AJ150" s="113"/>
      <c r="AK150" s="151"/>
      <c r="AL150" s="35">
        <f t="shared" si="19"/>
        <v>3</v>
      </c>
      <c r="AM150" s="36">
        <f t="shared" si="20"/>
        <v>0</v>
      </c>
      <c r="AN150" s="35">
        <f t="shared" si="21"/>
        <v>0</v>
      </c>
      <c r="AO150" s="36">
        <f t="shared" si="17"/>
        <v>0</v>
      </c>
      <c r="AP150" s="37">
        <f t="shared" si="22"/>
        <v>3</v>
      </c>
      <c r="AQ150" s="129" t="s">
        <v>440</v>
      </c>
      <c r="AR150" s="38"/>
      <c r="AS150" s="39"/>
    </row>
    <row r="151" s="105" customFormat="1" ht="15" customHeight="1" spans="1:45">
      <c r="A151" s="68"/>
      <c r="B151" s="154" t="s">
        <v>485</v>
      </c>
      <c r="C151" s="167" t="s">
        <v>59</v>
      </c>
      <c r="D151" s="152" t="s">
        <v>112</v>
      </c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 t="s">
        <v>11</v>
      </c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113"/>
      <c r="AK151" s="151"/>
      <c r="AL151" s="35">
        <f t="shared" si="19"/>
        <v>1</v>
      </c>
      <c r="AM151" s="36">
        <f t="shared" si="20"/>
        <v>0</v>
      </c>
      <c r="AN151" s="35">
        <f t="shared" si="21"/>
        <v>0</v>
      </c>
      <c r="AO151" s="36">
        <f t="shared" si="17"/>
        <v>0</v>
      </c>
      <c r="AP151" s="37">
        <f t="shared" si="22"/>
        <v>1</v>
      </c>
      <c r="AQ151" s="43" t="s">
        <v>382</v>
      </c>
      <c r="AR151" s="38"/>
      <c r="AS151" s="39"/>
    </row>
    <row r="152" s="105" customFormat="1" ht="15" customHeight="1" spans="1:45">
      <c r="A152" s="68"/>
      <c r="B152" s="154" t="s">
        <v>255</v>
      </c>
      <c r="C152" s="150" t="s">
        <v>165</v>
      </c>
      <c r="D152" s="152" t="s">
        <v>238</v>
      </c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113"/>
      <c r="AK152" s="151"/>
      <c r="AL152" s="35">
        <f t="shared" si="19"/>
        <v>0</v>
      </c>
      <c r="AM152" s="36">
        <f t="shared" si="20"/>
        <v>0</v>
      </c>
      <c r="AN152" s="35">
        <f t="shared" si="21"/>
        <v>0</v>
      </c>
      <c r="AO152" s="36">
        <f t="shared" si="17"/>
        <v>0</v>
      </c>
      <c r="AP152" s="37">
        <f t="shared" si="22"/>
        <v>0</v>
      </c>
      <c r="AQ152" s="38"/>
      <c r="AR152" s="38"/>
      <c r="AS152" s="39"/>
    </row>
    <row r="153" s="105" customFormat="1" ht="15" customHeight="1" spans="1:45">
      <c r="A153" s="68"/>
      <c r="B153" s="154" t="s">
        <v>397</v>
      </c>
      <c r="C153" s="167" t="s">
        <v>59</v>
      </c>
      <c r="D153" s="162" t="s">
        <v>112</v>
      </c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113"/>
      <c r="AK153" s="151"/>
      <c r="AL153" s="35">
        <f t="shared" si="19"/>
        <v>0</v>
      </c>
      <c r="AM153" s="36">
        <f t="shared" si="20"/>
        <v>0</v>
      </c>
      <c r="AN153" s="35">
        <f t="shared" si="21"/>
        <v>0</v>
      </c>
      <c r="AO153" s="36">
        <f t="shared" si="17"/>
        <v>0</v>
      </c>
      <c r="AP153" s="37">
        <f t="shared" si="22"/>
        <v>0</v>
      </c>
      <c r="AQ153" s="43" t="s">
        <v>441</v>
      </c>
      <c r="AR153" s="38"/>
      <c r="AS153" s="39"/>
    </row>
    <row r="154" s="105" customFormat="1" ht="15" customHeight="1" spans="1:45">
      <c r="A154" s="68"/>
      <c r="B154" s="154" t="s">
        <v>258</v>
      </c>
      <c r="C154" s="167" t="s">
        <v>59</v>
      </c>
      <c r="D154" s="152" t="s">
        <v>215</v>
      </c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113"/>
      <c r="AK154" s="151"/>
      <c r="AL154" s="35">
        <f t="shared" si="19"/>
        <v>0</v>
      </c>
      <c r="AM154" s="36">
        <f t="shared" si="20"/>
        <v>0</v>
      </c>
      <c r="AN154" s="35">
        <f t="shared" si="21"/>
        <v>0</v>
      </c>
      <c r="AO154" s="36">
        <f t="shared" si="17"/>
        <v>0</v>
      </c>
      <c r="AP154" s="37">
        <f t="shared" si="22"/>
        <v>0</v>
      </c>
      <c r="AQ154" s="37" t="s">
        <v>228</v>
      </c>
      <c r="AR154" s="38"/>
      <c r="AS154" s="39"/>
    </row>
    <row r="155" s="105" customFormat="1" ht="15" customHeight="1" spans="1:45">
      <c r="A155" s="68"/>
      <c r="B155" s="154" t="s">
        <v>259</v>
      </c>
      <c r="C155" s="167" t="s">
        <v>260</v>
      </c>
      <c r="D155" s="149" t="s">
        <v>163</v>
      </c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113"/>
      <c r="AK155" s="151"/>
      <c r="AL155" s="35">
        <f t="shared" si="19"/>
        <v>0</v>
      </c>
      <c r="AM155" s="36">
        <f t="shared" si="20"/>
        <v>0</v>
      </c>
      <c r="AN155" s="35">
        <f t="shared" si="21"/>
        <v>0</v>
      </c>
      <c r="AO155" s="36">
        <f t="shared" si="17"/>
        <v>0</v>
      </c>
      <c r="AP155" s="37">
        <f t="shared" si="22"/>
        <v>0</v>
      </c>
      <c r="AQ155" s="43" t="s">
        <v>336</v>
      </c>
      <c r="AR155" s="38"/>
      <c r="AS155" s="39"/>
    </row>
    <row r="156" s="105" customFormat="1" ht="15" customHeight="1" spans="1:45">
      <c r="A156" s="68"/>
      <c r="B156" s="154" t="s">
        <v>262</v>
      </c>
      <c r="C156" s="167" t="s">
        <v>263</v>
      </c>
      <c r="D156" s="152" t="s">
        <v>180</v>
      </c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113"/>
      <c r="AK156" s="151"/>
      <c r="AL156" s="35">
        <f t="shared" si="19"/>
        <v>0</v>
      </c>
      <c r="AM156" s="36">
        <f t="shared" si="20"/>
        <v>0</v>
      </c>
      <c r="AN156" s="35">
        <f t="shared" si="21"/>
        <v>0</v>
      </c>
      <c r="AO156" s="36">
        <f t="shared" si="17"/>
        <v>0</v>
      </c>
      <c r="AP156" s="37">
        <f t="shared" si="22"/>
        <v>0</v>
      </c>
      <c r="AQ156" s="38" t="s">
        <v>282</v>
      </c>
      <c r="AR156" s="38"/>
      <c r="AS156" s="39"/>
    </row>
    <row r="157" s="105" customFormat="1" ht="15" customHeight="1" spans="1:45">
      <c r="A157" s="68"/>
      <c r="B157" s="154" t="s">
        <v>283</v>
      </c>
      <c r="C157" s="150" t="s">
        <v>16</v>
      </c>
      <c r="D157" s="152" t="s">
        <v>346</v>
      </c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113"/>
      <c r="AK157" s="151"/>
      <c r="AL157" s="35">
        <f t="shared" si="19"/>
        <v>0</v>
      </c>
      <c r="AM157" s="36">
        <f t="shared" si="20"/>
        <v>0</v>
      </c>
      <c r="AN157" s="35">
        <f t="shared" si="21"/>
        <v>0</v>
      </c>
      <c r="AO157" s="36">
        <f t="shared" si="17"/>
        <v>0</v>
      </c>
      <c r="AP157" s="37">
        <f t="shared" si="22"/>
        <v>0</v>
      </c>
      <c r="AQ157" s="38"/>
      <c r="AR157" s="38"/>
      <c r="AS157" s="39"/>
    </row>
    <row r="158" s="105" customFormat="1" ht="15" customHeight="1" spans="1:45">
      <c r="A158" s="68"/>
      <c r="B158" s="154" t="s">
        <v>284</v>
      </c>
      <c r="C158" s="167" t="s">
        <v>285</v>
      </c>
      <c r="D158" s="152" t="s">
        <v>178</v>
      </c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113"/>
      <c r="AK158" s="151"/>
      <c r="AL158" s="35">
        <f t="shared" si="19"/>
        <v>0</v>
      </c>
      <c r="AM158" s="36">
        <f t="shared" si="20"/>
        <v>0</v>
      </c>
      <c r="AN158" s="35">
        <f t="shared" si="21"/>
        <v>0</v>
      </c>
      <c r="AO158" s="36">
        <f t="shared" si="17"/>
        <v>0</v>
      </c>
      <c r="AP158" s="37">
        <f t="shared" si="22"/>
        <v>0</v>
      </c>
      <c r="AQ158" s="130" t="s">
        <v>171</v>
      </c>
      <c r="AR158" s="38"/>
      <c r="AS158" s="39"/>
    </row>
    <row r="159" s="105" customFormat="1" ht="15" customHeight="1" spans="1:45">
      <c r="A159" s="68"/>
      <c r="B159" s="154" t="s">
        <v>286</v>
      </c>
      <c r="C159" s="150" t="s">
        <v>16</v>
      </c>
      <c r="D159" s="152" t="s">
        <v>163</v>
      </c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113"/>
      <c r="AK159" s="151"/>
      <c r="AL159" s="35">
        <f t="shared" si="19"/>
        <v>0</v>
      </c>
      <c r="AM159" s="36">
        <f t="shared" si="20"/>
        <v>0</v>
      </c>
      <c r="AN159" s="35">
        <f t="shared" si="21"/>
        <v>0</v>
      </c>
      <c r="AO159" s="36">
        <f t="shared" si="17"/>
        <v>0</v>
      </c>
      <c r="AP159" s="37">
        <f t="shared" si="22"/>
        <v>0</v>
      </c>
      <c r="AQ159" s="43" t="s">
        <v>193</v>
      </c>
      <c r="AR159" s="38"/>
      <c r="AS159" s="39"/>
    </row>
    <row r="160" s="105" customFormat="1" ht="15" customHeight="1" spans="1:45">
      <c r="A160" s="68"/>
      <c r="B160" s="154" t="s">
        <v>287</v>
      </c>
      <c r="C160" s="166" t="s">
        <v>16</v>
      </c>
      <c r="D160" s="149" t="s">
        <v>288</v>
      </c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113"/>
      <c r="AK160" s="96"/>
      <c r="AL160" s="35">
        <f t="shared" si="19"/>
        <v>0</v>
      </c>
      <c r="AM160" s="36">
        <f t="shared" si="20"/>
        <v>0</v>
      </c>
      <c r="AN160" s="35">
        <f t="shared" si="21"/>
        <v>0</v>
      </c>
      <c r="AO160" s="36">
        <f t="shared" si="17"/>
        <v>0</v>
      </c>
      <c r="AP160" s="37">
        <f t="shared" si="22"/>
        <v>0</v>
      </c>
      <c r="AQ160" s="43" t="s">
        <v>399</v>
      </c>
      <c r="AR160" s="96"/>
      <c r="AS160" s="39"/>
    </row>
    <row r="161" s="105" customFormat="1" ht="15" customHeight="1" spans="1:45">
      <c r="A161" s="68"/>
      <c r="B161" s="154" t="s">
        <v>289</v>
      </c>
      <c r="C161" s="150" t="s">
        <v>16</v>
      </c>
      <c r="D161" s="152" t="s">
        <v>231</v>
      </c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113"/>
      <c r="AK161" s="96"/>
      <c r="AL161" s="35">
        <f t="shared" si="19"/>
        <v>0</v>
      </c>
      <c r="AM161" s="36">
        <f t="shared" si="20"/>
        <v>0</v>
      </c>
      <c r="AN161" s="35">
        <f t="shared" si="21"/>
        <v>0</v>
      </c>
      <c r="AO161" s="36">
        <f t="shared" si="17"/>
        <v>0</v>
      </c>
      <c r="AP161" s="37">
        <f t="shared" si="22"/>
        <v>0</v>
      </c>
      <c r="AQ161" s="43" t="s">
        <v>336</v>
      </c>
      <c r="AR161" s="96"/>
      <c r="AS161" s="39"/>
    </row>
    <row r="162" s="105" customFormat="1" ht="15" customHeight="1" spans="1:45">
      <c r="A162" s="68"/>
      <c r="B162" s="154" t="s">
        <v>290</v>
      </c>
      <c r="C162" s="150" t="s">
        <v>16</v>
      </c>
      <c r="D162" s="152" t="s">
        <v>236</v>
      </c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113"/>
      <c r="AK162" s="151"/>
      <c r="AL162" s="35">
        <f t="shared" si="19"/>
        <v>0</v>
      </c>
      <c r="AM162" s="36">
        <f t="shared" si="20"/>
        <v>0</v>
      </c>
      <c r="AN162" s="35">
        <f t="shared" si="21"/>
        <v>0</v>
      </c>
      <c r="AO162" s="36">
        <f t="shared" si="17"/>
        <v>0</v>
      </c>
      <c r="AP162" s="37">
        <f t="shared" si="22"/>
        <v>0</v>
      </c>
      <c r="AQ162" s="43" t="s">
        <v>336</v>
      </c>
      <c r="AR162" s="38"/>
      <c r="AS162" s="39"/>
    </row>
    <row r="163" s="105" customFormat="1" ht="15" customHeight="1" spans="1:45">
      <c r="A163" s="68"/>
      <c r="B163" s="154" t="s">
        <v>291</v>
      </c>
      <c r="C163" s="167" t="s">
        <v>108</v>
      </c>
      <c r="D163" s="152" t="s">
        <v>153</v>
      </c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113"/>
      <c r="AK163" s="151">
        <f>COUNTIF(E163:AI163,"H")</f>
        <v>0</v>
      </c>
      <c r="AL163" s="47">
        <f t="shared" si="19"/>
        <v>0</v>
      </c>
      <c r="AM163" s="35">
        <f t="shared" si="20"/>
        <v>0</v>
      </c>
      <c r="AN163" s="35">
        <f t="shared" si="21"/>
        <v>0</v>
      </c>
      <c r="AO163" s="36">
        <f t="shared" si="17"/>
        <v>0</v>
      </c>
      <c r="AP163" s="48">
        <f t="shared" si="22"/>
        <v>0</v>
      </c>
      <c r="AQ163" s="43" t="s">
        <v>336</v>
      </c>
      <c r="AR163" s="38">
        <v>26</v>
      </c>
      <c r="AS163" s="39">
        <f>AP163/AR163</f>
        <v>0</v>
      </c>
    </row>
    <row r="164" ht="15" customHeight="1" spans="1:45">
      <c r="A164" s="97"/>
      <c r="B164" s="154" t="s">
        <v>442</v>
      </c>
      <c r="C164" s="166" t="s">
        <v>16</v>
      </c>
      <c r="D164" s="152" t="s">
        <v>178</v>
      </c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9"/>
      <c r="AD164" s="169"/>
      <c r="AE164" s="169"/>
      <c r="AF164" s="169"/>
      <c r="AG164" s="169"/>
      <c r="AH164" s="169"/>
      <c r="AI164" s="169"/>
      <c r="AJ164" s="113"/>
      <c r="AL164" s="131">
        <f t="shared" si="19"/>
        <v>0</v>
      </c>
      <c r="AM164" s="103">
        <f t="shared" si="20"/>
        <v>0</v>
      </c>
      <c r="AN164" s="131">
        <f t="shared" si="21"/>
        <v>0</v>
      </c>
      <c r="AO164" s="36">
        <f t="shared" si="17"/>
        <v>0</v>
      </c>
      <c r="AP164" s="128">
        <f t="shared" si="22"/>
        <v>0</v>
      </c>
      <c r="AQ164" s="128" t="s">
        <v>305</v>
      </c>
      <c r="AR164" s="97"/>
      <c r="AS164" s="97"/>
    </row>
    <row r="165" ht="15" customHeight="1" spans="1:45">
      <c r="A165" s="97"/>
      <c r="B165" s="154" t="s">
        <v>293</v>
      </c>
      <c r="C165" s="170" t="s">
        <v>16</v>
      </c>
      <c r="D165" s="171" t="s">
        <v>238</v>
      </c>
      <c r="E165" s="172"/>
      <c r="F165" s="172"/>
      <c r="G165" s="172" t="s">
        <v>11</v>
      </c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  <c r="AA165" s="172"/>
      <c r="AB165" s="172"/>
      <c r="AC165" s="172"/>
      <c r="AD165" s="172"/>
      <c r="AE165" s="172"/>
      <c r="AF165" s="172"/>
      <c r="AG165" s="172"/>
      <c r="AH165" s="172"/>
      <c r="AI165" s="172"/>
      <c r="AJ165" s="113"/>
      <c r="AL165" s="173">
        <f t="shared" si="19"/>
        <v>1</v>
      </c>
      <c r="AM165" s="174">
        <f t="shared" si="20"/>
        <v>0</v>
      </c>
      <c r="AN165" s="175">
        <f t="shared" si="21"/>
        <v>0</v>
      </c>
      <c r="AO165" s="105">
        <f t="shared" si="17"/>
        <v>0</v>
      </c>
      <c r="AP165" s="173">
        <f t="shared" si="22"/>
        <v>1</v>
      </c>
      <c r="AQ165" s="43" t="s">
        <v>193</v>
      </c>
      <c r="AR165" s="99"/>
      <c r="AS165" s="99"/>
    </row>
    <row r="166" s="105" customFormat="1" ht="15" customHeight="1" spans="1:45">
      <c r="A166" s="101"/>
      <c r="B166" s="154" t="s">
        <v>486</v>
      </c>
      <c r="C166" s="150" t="s">
        <v>59</v>
      </c>
      <c r="D166" s="152" t="s">
        <v>178</v>
      </c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 t="s">
        <v>11</v>
      </c>
      <c r="S166" s="62" t="s">
        <v>11</v>
      </c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113"/>
      <c r="AK166" s="151">
        <f>COUNTIF(E166:AI166,"H")</f>
        <v>0</v>
      </c>
      <c r="AL166" s="43">
        <f t="shared" si="19"/>
        <v>2</v>
      </c>
      <c r="AM166" s="43">
        <f t="shared" si="20"/>
        <v>0</v>
      </c>
      <c r="AN166" s="176">
        <f t="shared" si="21"/>
        <v>0</v>
      </c>
      <c r="AO166" s="66">
        <f t="shared" si="17"/>
        <v>0</v>
      </c>
      <c r="AP166" s="43">
        <f t="shared" si="22"/>
        <v>2</v>
      </c>
      <c r="AQ166" s="43"/>
      <c r="AR166" s="101"/>
      <c r="AS166" s="102"/>
    </row>
    <row r="167" s="105" customFormat="1" ht="15" customHeight="1" spans="1:45">
      <c r="A167" s="66"/>
      <c r="B167" s="154" t="s">
        <v>295</v>
      </c>
      <c r="C167" s="177" t="s">
        <v>296</v>
      </c>
      <c r="D167" s="177" t="s">
        <v>215</v>
      </c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8"/>
      <c r="AI167" s="178"/>
      <c r="AJ167" s="113"/>
      <c r="AK167" s="179"/>
      <c r="AL167" s="131">
        <f t="shared" si="19"/>
        <v>0</v>
      </c>
      <c r="AM167" s="103">
        <f t="shared" si="20"/>
        <v>0</v>
      </c>
      <c r="AN167" s="131">
        <f t="shared" si="21"/>
        <v>0</v>
      </c>
      <c r="AO167" s="103">
        <f t="shared" si="17"/>
        <v>0</v>
      </c>
      <c r="AP167" s="131">
        <f t="shared" si="22"/>
        <v>0</v>
      </c>
      <c r="AQ167" s="43" t="s">
        <v>193</v>
      </c>
      <c r="AR167" s="101"/>
      <c r="AS167" s="102"/>
    </row>
    <row r="168" s="105" customFormat="1" ht="15" customHeight="1" spans="1:45">
      <c r="A168" s="112"/>
      <c r="B168" s="154" t="s">
        <v>297</v>
      </c>
      <c r="C168" s="164" t="s">
        <v>111</v>
      </c>
      <c r="D168" s="152" t="s">
        <v>346</v>
      </c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80"/>
      <c r="AI168" s="180"/>
      <c r="AJ168" s="113"/>
      <c r="AK168" s="151">
        <f>COUNTIF(E168:AI168,"H")</f>
        <v>0</v>
      </c>
      <c r="AL168" s="47">
        <f t="shared" si="19"/>
        <v>0</v>
      </c>
      <c r="AM168" s="35">
        <f t="shared" si="20"/>
        <v>0</v>
      </c>
      <c r="AN168" s="35">
        <f t="shared" si="21"/>
        <v>0</v>
      </c>
      <c r="AO168" s="36">
        <f t="shared" si="17"/>
        <v>0</v>
      </c>
      <c r="AP168" s="48">
        <f t="shared" si="22"/>
        <v>0</v>
      </c>
      <c r="AQ168" s="37" t="s">
        <v>299</v>
      </c>
      <c r="AR168" s="38"/>
      <c r="AS168" s="104"/>
    </row>
    <row r="169" s="105" customFormat="1" ht="15" customHeight="1" spans="1:45">
      <c r="A169" s="112"/>
      <c r="B169" s="154" t="s">
        <v>487</v>
      </c>
      <c r="C169" s="170" t="s">
        <v>16</v>
      </c>
      <c r="D169" s="149" t="s">
        <v>178</v>
      </c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 t="s">
        <v>12</v>
      </c>
      <c r="AD169" s="180"/>
      <c r="AE169" s="180"/>
      <c r="AF169" s="180"/>
      <c r="AG169" s="180" t="s">
        <v>12</v>
      </c>
      <c r="AH169" s="180"/>
      <c r="AI169" s="180"/>
      <c r="AJ169" s="113"/>
      <c r="AK169" s="151">
        <f>COUNTIF(E169:AI169,"H")</f>
        <v>0</v>
      </c>
      <c r="AL169" s="47">
        <f t="shared" si="19"/>
        <v>0</v>
      </c>
      <c r="AM169" s="35">
        <f t="shared" si="20"/>
        <v>2</v>
      </c>
      <c r="AN169" s="35">
        <f t="shared" si="21"/>
        <v>0</v>
      </c>
      <c r="AO169" s="36">
        <f t="shared" si="17"/>
        <v>0</v>
      </c>
      <c r="AP169" s="48">
        <f t="shared" si="22"/>
        <v>2</v>
      </c>
      <c r="AQ169" s="37" t="s">
        <v>228</v>
      </c>
      <c r="AR169" s="38"/>
      <c r="AS169" s="104"/>
    </row>
    <row r="170" s="105" customFormat="1" ht="15" customHeight="1" spans="1:45">
      <c r="A170" s="112"/>
      <c r="B170" s="154" t="s">
        <v>318</v>
      </c>
      <c r="C170" s="166" t="s">
        <v>296</v>
      </c>
      <c r="D170" s="171" t="s">
        <v>180</v>
      </c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80"/>
      <c r="AI170" s="180"/>
      <c r="AJ170" s="113"/>
      <c r="AK170" s="179"/>
      <c r="AL170" s="131">
        <f t="shared" si="19"/>
        <v>0</v>
      </c>
      <c r="AM170" s="103">
        <f t="shared" si="20"/>
        <v>0</v>
      </c>
      <c r="AN170" s="131">
        <f t="shared" si="21"/>
        <v>0</v>
      </c>
      <c r="AO170" s="103">
        <f t="shared" si="17"/>
        <v>0</v>
      </c>
      <c r="AP170" s="128">
        <f t="shared" si="22"/>
        <v>0</v>
      </c>
      <c r="AQ170" s="43" t="s">
        <v>336</v>
      </c>
      <c r="AS170" s="106"/>
    </row>
    <row r="171" s="105" customFormat="1" ht="15" customHeight="1" spans="1:45">
      <c r="A171" s="112"/>
      <c r="B171" s="154" t="s">
        <v>319</v>
      </c>
      <c r="C171" s="170" t="s">
        <v>16</v>
      </c>
      <c r="D171" s="149" t="s">
        <v>267</v>
      </c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80"/>
      <c r="AI171" s="180"/>
      <c r="AJ171" s="113"/>
      <c r="AK171" s="151">
        <f>COUNTIF(E171:AI171,"H")</f>
        <v>0</v>
      </c>
      <c r="AL171" s="43">
        <f t="shared" si="19"/>
        <v>0</v>
      </c>
      <c r="AM171" s="43">
        <f t="shared" si="20"/>
        <v>0</v>
      </c>
      <c r="AN171" s="176">
        <f t="shared" si="21"/>
        <v>0</v>
      </c>
      <c r="AO171" s="66">
        <f t="shared" si="17"/>
        <v>0</v>
      </c>
      <c r="AP171" s="43">
        <f t="shared" si="22"/>
        <v>0</v>
      </c>
      <c r="AQ171" s="147" t="s">
        <v>443</v>
      </c>
      <c r="AS171" s="106"/>
    </row>
    <row r="172" s="105" customFormat="1" ht="15" customHeight="1" spans="1:45">
      <c r="A172" s="112"/>
      <c r="B172" s="154" t="s">
        <v>358</v>
      </c>
      <c r="C172" s="150" t="s">
        <v>59</v>
      </c>
      <c r="D172" s="171" t="s">
        <v>112</v>
      </c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  <c r="AA172" s="172"/>
      <c r="AB172" s="172"/>
      <c r="AC172" s="172"/>
      <c r="AD172" s="172"/>
      <c r="AE172" s="172"/>
      <c r="AF172" s="172"/>
      <c r="AG172" s="172"/>
      <c r="AH172" s="172"/>
      <c r="AI172" s="172"/>
      <c r="AJ172" s="113"/>
      <c r="AK172" s="179"/>
      <c r="AL172" s="43">
        <f t="shared" si="19"/>
        <v>0</v>
      </c>
      <c r="AM172" s="43">
        <f t="shared" si="20"/>
        <v>0</v>
      </c>
      <c r="AN172" s="176">
        <f t="shared" si="21"/>
        <v>0</v>
      </c>
      <c r="AO172" s="66">
        <f t="shared" si="17"/>
        <v>0</v>
      </c>
      <c r="AP172" s="43">
        <f t="shared" si="22"/>
        <v>0</v>
      </c>
      <c r="AQ172" s="43" t="s">
        <v>193</v>
      </c>
      <c r="AS172" s="106"/>
    </row>
    <row r="173" s="105" customFormat="1" ht="15" customHeight="1" spans="1:45">
      <c r="A173" s="112"/>
      <c r="B173" s="154" t="s">
        <v>320</v>
      </c>
      <c r="C173" s="170" t="s">
        <v>321</v>
      </c>
      <c r="D173" s="149" t="s">
        <v>322</v>
      </c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80"/>
      <c r="AI173" s="180"/>
      <c r="AJ173" s="113"/>
      <c r="AK173" s="179"/>
      <c r="AL173" s="43">
        <f t="shared" si="19"/>
        <v>0</v>
      </c>
      <c r="AM173" s="43">
        <f t="shared" si="20"/>
        <v>0</v>
      </c>
      <c r="AN173" s="176">
        <f t="shared" si="21"/>
        <v>0</v>
      </c>
      <c r="AO173" s="66">
        <f t="shared" si="17"/>
        <v>0</v>
      </c>
      <c r="AP173" s="43">
        <f t="shared" si="22"/>
        <v>0</v>
      </c>
      <c r="AQ173" s="43" t="s">
        <v>193</v>
      </c>
      <c r="AS173" s="106"/>
    </row>
    <row r="174" s="105" customFormat="1" ht="15" customHeight="1" spans="1:45">
      <c r="A174" s="112"/>
      <c r="B174" s="154" t="s">
        <v>323</v>
      </c>
      <c r="C174" s="150" t="s">
        <v>59</v>
      </c>
      <c r="D174" s="149" t="s">
        <v>267</v>
      </c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80"/>
      <c r="AI174" s="180"/>
      <c r="AJ174" s="113"/>
      <c r="AK174" s="179"/>
      <c r="AL174" s="43">
        <f t="shared" si="19"/>
        <v>0</v>
      </c>
      <c r="AM174" s="43">
        <f t="shared" si="20"/>
        <v>0</v>
      </c>
      <c r="AN174" s="176">
        <f t="shared" si="21"/>
        <v>0</v>
      </c>
      <c r="AO174" s="66">
        <f t="shared" si="17"/>
        <v>0</v>
      </c>
      <c r="AP174" s="43">
        <f t="shared" si="22"/>
        <v>0</v>
      </c>
      <c r="AQ174" s="131"/>
      <c r="AS174" s="106"/>
    </row>
    <row r="175" s="105" customFormat="1" ht="15" customHeight="1" spans="1:45">
      <c r="A175" s="112"/>
      <c r="B175" s="154" t="s">
        <v>324</v>
      </c>
      <c r="C175" s="170" t="s">
        <v>325</v>
      </c>
      <c r="D175" s="149" t="s">
        <v>273</v>
      </c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80"/>
      <c r="AI175" s="180"/>
      <c r="AJ175" s="113"/>
      <c r="AK175" s="179"/>
      <c r="AL175" s="43">
        <f t="shared" si="19"/>
        <v>0</v>
      </c>
      <c r="AM175" s="43">
        <f t="shared" si="20"/>
        <v>0</v>
      </c>
      <c r="AN175" s="176">
        <f t="shared" si="21"/>
        <v>0</v>
      </c>
      <c r="AO175" s="66">
        <f t="shared" si="17"/>
        <v>0</v>
      </c>
      <c r="AP175" s="43">
        <f t="shared" si="22"/>
        <v>0</v>
      </c>
      <c r="AQ175" s="131"/>
      <c r="AS175" s="106"/>
    </row>
    <row r="176" s="105" customFormat="1" ht="15" customHeight="1" spans="1:45">
      <c r="A176" s="112"/>
      <c r="B176" s="154" t="s">
        <v>326</v>
      </c>
      <c r="C176" s="181" t="s">
        <v>59</v>
      </c>
      <c r="D176" s="171" t="s">
        <v>178</v>
      </c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80"/>
      <c r="AI176" s="180"/>
      <c r="AJ176" s="113"/>
      <c r="AK176" s="179"/>
      <c r="AL176" s="43">
        <f t="shared" si="19"/>
        <v>0</v>
      </c>
      <c r="AM176" s="43">
        <f t="shared" si="20"/>
        <v>0</v>
      </c>
      <c r="AN176" s="176">
        <f t="shared" si="21"/>
        <v>0</v>
      </c>
      <c r="AO176" s="66">
        <f t="shared" si="17"/>
        <v>0</v>
      </c>
      <c r="AP176" s="43">
        <f t="shared" si="22"/>
        <v>0</v>
      </c>
      <c r="AQ176" s="131"/>
      <c r="AS176" s="106"/>
    </row>
    <row r="177" s="105" customFormat="1" ht="15" customHeight="1" spans="1:45">
      <c r="A177" s="112"/>
      <c r="B177" s="154" t="s">
        <v>512</v>
      </c>
      <c r="C177" s="181" t="s">
        <v>59</v>
      </c>
      <c r="D177" s="171" t="s">
        <v>112</v>
      </c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 t="s">
        <v>11</v>
      </c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80"/>
      <c r="AI177" s="180"/>
      <c r="AJ177" s="113"/>
      <c r="AK177" s="179"/>
      <c r="AL177" s="43">
        <f t="shared" si="19"/>
        <v>1</v>
      </c>
      <c r="AM177" s="43">
        <f t="shared" si="20"/>
        <v>0</v>
      </c>
      <c r="AN177" s="176">
        <f t="shared" si="21"/>
        <v>0</v>
      </c>
      <c r="AO177" s="66">
        <f t="shared" si="17"/>
        <v>0</v>
      </c>
      <c r="AP177" s="43">
        <f t="shared" si="22"/>
        <v>1</v>
      </c>
      <c r="AQ177" s="43" t="s">
        <v>336</v>
      </c>
      <c r="AS177" s="106"/>
    </row>
    <row r="178" s="105" customFormat="1" ht="15" customHeight="1" spans="1:45">
      <c r="A178" s="112"/>
      <c r="B178" s="154" t="s">
        <v>444</v>
      </c>
      <c r="C178" s="182" t="s">
        <v>16</v>
      </c>
      <c r="D178" s="171" t="s">
        <v>178</v>
      </c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80"/>
      <c r="AI178" s="180"/>
      <c r="AJ178" s="113"/>
      <c r="AK178" s="179"/>
      <c r="AL178" s="43">
        <f t="shared" si="19"/>
        <v>0</v>
      </c>
      <c r="AM178" s="43">
        <f t="shared" si="20"/>
        <v>0</v>
      </c>
      <c r="AN178" s="176">
        <f t="shared" si="21"/>
        <v>0</v>
      </c>
      <c r="AO178" s="66">
        <f t="shared" si="17"/>
        <v>0</v>
      </c>
      <c r="AP178" s="43">
        <f t="shared" si="22"/>
        <v>0</v>
      </c>
      <c r="AQ178" s="43" t="s">
        <v>382</v>
      </c>
      <c r="AS178" s="106"/>
    </row>
    <row r="179" s="105" customFormat="1" ht="15" customHeight="1" spans="1:45">
      <c r="A179" s="112"/>
      <c r="B179" s="154" t="s">
        <v>331</v>
      </c>
      <c r="C179" s="166" t="s">
        <v>211</v>
      </c>
      <c r="D179" s="152" t="s">
        <v>238</v>
      </c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80"/>
      <c r="AI179" s="180"/>
      <c r="AJ179" s="113"/>
      <c r="AK179" s="179"/>
      <c r="AL179" s="35">
        <f t="shared" si="19"/>
        <v>0</v>
      </c>
      <c r="AM179" s="43">
        <f t="shared" si="20"/>
        <v>0</v>
      </c>
      <c r="AN179" s="35">
        <f t="shared" si="21"/>
        <v>0</v>
      </c>
      <c r="AO179" s="36">
        <f t="shared" si="17"/>
        <v>0</v>
      </c>
      <c r="AP179" s="37">
        <f t="shared" si="22"/>
        <v>0</v>
      </c>
      <c r="AQ179" s="43" t="s">
        <v>193</v>
      </c>
      <c r="AS179" s="106"/>
    </row>
    <row r="180" s="105" customFormat="1" ht="15" customHeight="1" spans="1:45">
      <c r="A180" s="182"/>
      <c r="B180" s="154" t="s">
        <v>332</v>
      </c>
      <c r="C180" s="182" t="s">
        <v>333</v>
      </c>
      <c r="D180" s="182" t="s">
        <v>180</v>
      </c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4"/>
      <c r="AD180" s="184"/>
      <c r="AE180" s="184"/>
      <c r="AF180" s="184"/>
      <c r="AG180" s="184"/>
      <c r="AH180" s="184"/>
      <c r="AI180" s="184"/>
      <c r="AJ180" s="113"/>
      <c r="AK180" s="179"/>
      <c r="AL180" s="35">
        <f t="shared" si="19"/>
        <v>0</v>
      </c>
      <c r="AM180" s="43">
        <f t="shared" si="20"/>
        <v>0</v>
      </c>
      <c r="AN180" s="35">
        <f t="shared" si="21"/>
        <v>0</v>
      </c>
      <c r="AO180" s="36">
        <f t="shared" si="17"/>
        <v>0</v>
      </c>
      <c r="AP180" s="37">
        <f t="shared" si="22"/>
        <v>0</v>
      </c>
      <c r="AQ180" s="43" t="s">
        <v>336</v>
      </c>
      <c r="AS180" s="106"/>
    </row>
    <row r="181" s="105" customFormat="1" ht="15" customHeight="1" spans="1:45">
      <c r="A181" s="182"/>
      <c r="B181" s="154" t="s">
        <v>334</v>
      </c>
      <c r="C181" s="182" t="s">
        <v>296</v>
      </c>
      <c r="D181" s="182" t="s">
        <v>180</v>
      </c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62" t="s">
        <v>11</v>
      </c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4"/>
      <c r="AD181" s="184"/>
      <c r="AE181" s="184"/>
      <c r="AF181" s="184"/>
      <c r="AG181" s="184"/>
      <c r="AH181" s="184"/>
      <c r="AI181" s="184"/>
      <c r="AJ181" s="113"/>
      <c r="AK181" s="179"/>
      <c r="AL181" s="35">
        <f t="shared" si="19"/>
        <v>1</v>
      </c>
      <c r="AM181" s="43">
        <f t="shared" si="20"/>
        <v>0</v>
      </c>
      <c r="AN181" s="35">
        <f t="shared" si="21"/>
        <v>0</v>
      </c>
      <c r="AO181" s="36">
        <f t="shared" si="17"/>
        <v>0</v>
      </c>
      <c r="AP181" s="37">
        <f t="shared" si="22"/>
        <v>1</v>
      </c>
      <c r="AQ181" s="43" t="s">
        <v>193</v>
      </c>
      <c r="AS181" s="106"/>
    </row>
    <row r="182" s="105" customFormat="1" ht="15" customHeight="1" spans="1:45">
      <c r="A182" s="182"/>
      <c r="B182" s="154" t="s">
        <v>335</v>
      </c>
      <c r="C182" s="150" t="s">
        <v>59</v>
      </c>
      <c r="D182" s="182" t="s">
        <v>238</v>
      </c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4"/>
      <c r="AD182" s="184"/>
      <c r="AE182" s="184"/>
      <c r="AF182" s="184"/>
      <c r="AG182" s="184"/>
      <c r="AH182" s="184"/>
      <c r="AI182" s="184"/>
      <c r="AJ182" s="113"/>
      <c r="AK182" s="179"/>
      <c r="AL182" s="35">
        <f t="shared" si="19"/>
        <v>0</v>
      </c>
      <c r="AM182" s="43">
        <f t="shared" si="20"/>
        <v>0</v>
      </c>
      <c r="AN182" s="35">
        <f t="shared" si="21"/>
        <v>0</v>
      </c>
      <c r="AO182" s="36">
        <f t="shared" si="17"/>
        <v>0</v>
      </c>
      <c r="AP182" s="37">
        <f t="shared" si="22"/>
        <v>0</v>
      </c>
      <c r="AQ182" s="43" t="s">
        <v>193</v>
      </c>
      <c r="AS182" s="106"/>
    </row>
    <row r="183" s="105" customFormat="1" ht="15" customHeight="1" spans="1:45">
      <c r="A183" s="182"/>
      <c r="B183" s="154" t="s">
        <v>488</v>
      </c>
      <c r="C183" s="182" t="s">
        <v>16</v>
      </c>
      <c r="D183" s="182" t="s">
        <v>178</v>
      </c>
      <c r="E183" s="180"/>
      <c r="F183" s="180"/>
      <c r="G183" s="183"/>
      <c r="H183" s="183"/>
      <c r="I183" s="172" t="s">
        <v>11</v>
      </c>
      <c r="J183" s="172" t="s">
        <v>11</v>
      </c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2"/>
      <c r="AC183" s="172"/>
      <c r="AD183" s="172" t="s">
        <v>11</v>
      </c>
      <c r="AE183" s="172" t="s">
        <v>11</v>
      </c>
      <c r="AF183" s="172"/>
      <c r="AG183" s="172"/>
      <c r="AH183" s="172"/>
      <c r="AI183" s="172"/>
      <c r="AJ183" s="113"/>
      <c r="AK183" s="179"/>
      <c r="AL183" s="35">
        <f t="shared" si="19"/>
        <v>4</v>
      </c>
      <c r="AM183" s="35">
        <f t="shared" si="20"/>
        <v>0</v>
      </c>
      <c r="AN183" s="35">
        <f t="shared" si="21"/>
        <v>0</v>
      </c>
      <c r="AO183" s="36">
        <f t="shared" si="17"/>
        <v>0</v>
      </c>
      <c r="AP183" s="37">
        <f t="shared" si="22"/>
        <v>4</v>
      </c>
      <c r="AQ183" s="43" t="s">
        <v>400</v>
      </c>
      <c r="AS183" s="106"/>
    </row>
    <row r="184" s="105" customFormat="1" ht="15" customHeight="1" spans="1:45">
      <c r="A184" s="182"/>
      <c r="B184" s="154" t="s">
        <v>360</v>
      </c>
      <c r="C184" s="182" t="s">
        <v>16</v>
      </c>
      <c r="D184" s="182" t="s">
        <v>178</v>
      </c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4"/>
      <c r="AD184" s="184"/>
      <c r="AE184" s="184"/>
      <c r="AF184" s="184"/>
      <c r="AG184" s="184"/>
      <c r="AH184" s="184"/>
      <c r="AI184" s="184"/>
      <c r="AJ184" s="113"/>
      <c r="AK184" s="179"/>
      <c r="AL184" s="131">
        <f t="shared" si="19"/>
        <v>0</v>
      </c>
      <c r="AM184" s="103">
        <f t="shared" si="20"/>
        <v>0</v>
      </c>
      <c r="AN184" s="131">
        <f t="shared" si="21"/>
        <v>0</v>
      </c>
      <c r="AO184" s="103">
        <f t="shared" si="17"/>
        <v>0</v>
      </c>
      <c r="AP184" s="128">
        <f t="shared" si="22"/>
        <v>0</v>
      </c>
      <c r="AQ184" s="131"/>
      <c r="AS184" s="106"/>
    </row>
    <row r="185" s="105" customFormat="1" ht="15" customHeight="1" spans="1:45">
      <c r="A185" s="182"/>
      <c r="B185" s="154" t="s">
        <v>513</v>
      </c>
      <c r="C185" s="182" t="s">
        <v>357</v>
      </c>
      <c r="D185" s="182" t="s">
        <v>266</v>
      </c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62" t="s">
        <v>11</v>
      </c>
      <c r="U185" s="185"/>
      <c r="V185" s="185"/>
      <c r="W185" s="185"/>
      <c r="X185" s="185"/>
      <c r="Y185" s="185"/>
      <c r="Z185" s="185"/>
      <c r="AA185" s="185"/>
      <c r="AB185" s="185"/>
      <c r="AC185" s="185"/>
      <c r="AD185" s="185"/>
      <c r="AE185" s="185"/>
      <c r="AF185" s="185"/>
      <c r="AG185" s="185"/>
      <c r="AH185" s="185"/>
      <c r="AI185" s="184"/>
      <c r="AJ185" s="113"/>
      <c r="AK185" s="151">
        <f>COUNTIF(E185:AI185,"H")</f>
        <v>0</v>
      </c>
      <c r="AL185" s="43">
        <f t="shared" si="19"/>
        <v>1</v>
      </c>
      <c r="AM185" s="43">
        <f t="shared" si="20"/>
        <v>0</v>
      </c>
      <c r="AN185" s="176">
        <f t="shared" si="21"/>
        <v>0</v>
      </c>
      <c r="AO185" s="66">
        <f t="shared" si="17"/>
        <v>0</v>
      </c>
      <c r="AP185" s="43">
        <f t="shared" si="22"/>
        <v>1</v>
      </c>
      <c r="AQ185" s="43" t="s">
        <v>382</v>
      </c>
      <c r="AS185" s="106"/>
    </row>
    <row r="186" s="105" customFormat="1" ht="15" customHeight="1" spans="1:45">
      <c r="A186" s="182"/>
      <c r="B186" s="154" t="s">
        <v>363</v>
      </c>
      <c r="C186" s="182" t="s">
        <v>131</v>
      </c>
      <c r="D186" s="182" t="s">
        <v>215</v>
      </c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4"/>
      <c r="AD186" s="184"/>
      <c r="AE186" s="184"/>
      <c r="AF186" s="184"/>
      <c r="AG186" s="184"/>
      <c r="AH186" s="184"/>
      <c r="AI186" s="184"/>
      <c r="AJ186" s="113"/>
      <c r="AK186" s="179"/>
      <c r="AL186" s="43">
        <f t="shared" si="19"/>
        <v>0</v>
      </c>
      <c r="AM186" s="43">
        <f t="shared" si="20"/>
        <v>0</v>
      </c>
      <c r="AN186" s="176">
        <f t="shared" si="21"/>
        <v>0</v>
      </c>
      <c r="AO186" s="66">
        <f t="shared" si="17"/>
        <v>0</v>
      </c>
      <c r="AP186" s="43">
        <f t="shared" si="22"/>
        <v>0</v>
      </c>
      <c r="AQ186" s="43" t="s">
        <v>193</v>
      </c>
      <c r="AS186" s="106"/>
    </row>
    <row r="187" s="105" customFormat="1" ht="15" customHeight="1" spans="1:45">
      <c r="A187" s="182"/>
      <c r="B187" s="154" t="s">
        <v>490</v>
      </c>
      <c r="C187" s="182" t="s">
        <v>16</v>
      </c>
      <c r="D187" s="182" t="s">
        <v>178</v>
      </c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4"/>
      <c r="AD187" s="184"/>
      <c r="AE187" s="184"/>
      <c r="AF187" s="184"/>
      <c r="AG187" s="184"/>
      <c r="AH187" s="184"/>
      <c r="AI187" s="184"/>
      <c r="AJ187" s="113"/>
      <c r="AK187" s="179"/>
      <c r="AL187" s="112"/>
      <c r="AM187" s="112"/>
      <c r="AN187" s="112"/>
      <c r="AO187" s="112"/>
      <c r="AP187" s="112"/>
      <c r="AQ187" s="112"/>
      <c r="AS187" s="106"/>
    </row>
    <row r="188" s="113" customFormat="1" ht="15" customHeight="1" spans="1:45">
      <c r="A188" s="182"/>
      <c r="B188" s="154" t="s">
        <v>365</v>
      </c>
      <c r="C188" s="182" t="s">
        <v>296</v>
      </c>
      <c r="D188" s="182" t="s">
        <v>180</v>
      </c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72" t="s">
        <v>11</v>
      </c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4"/>
      <c r="AD188" s="184"/>
      <c r="AE188" s="184"/>
      <c r="AF188" s="184"/>
      <c r="AG188" s="184"/>
      <c r="AH188" s="184"/>
      <c r="AI188" s="184"/>
      <c r="AK188" s="186"/>
      <c r="AL188" s="187">
        <f t="shared" ref="AL188:AL251" si="23">COUNTIF(E188:AI188,"S")</f>
        <v>1</v>
      </c>
      <c r="AM188" s="187">
        <f t="shared" ref="AM188:AM251" si="24">COUNTIF(E188:AI188,"I")</f>
        <v>0</v>
      </c>
      <c r="AN188" s="188">
        <f t="shared" ref="AN188:AN251" si="25">COUNTIF(E188:AI188,"A")</f>
        <v>0</v>
      </c>
      <c r="AO188" s="112">
        <f>COUNTIF(E188:AI188,"OFF")</f>
        <v>0</v>
      </c>
      <c r="AP188" s="187">
        <f t="shared" ref="AP188:AP251" si="26">SUM(AK188:AN188)</f>
        <v>1</v>
      </c>
      <c r="AQ188" s="43" t="s">
        <v>193</v>
      </c>
      <c r="AS188" s="114"/>
    </row>
    <row r="189" s="105" customFormat="1" ht="15" customHeight="1" spans="1:45">
      <c r="A189" s="182"/>
      <c r="B189" s="154" t="s">
        <v>491</v>
      </c>
      <c r="C189" s="182" t="s">
        <v>16</v>
      </c>
      <c r="D189" s="182" t="s">
        <v>178</v>
      </c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4"/>
      <c r="AD189" s="184"/>
      <c r="AE189" s="184"/>
      <c r="AF189" s="184"/>
      <c r="AG189" s="184"/>
      <c r="AH189" s="184"/>
      <c r="AI189" s="184"/>
      <c r="AJ189" s="113"/>
      <c r="AK189" s="179"/>
      <c r="AL189" s="43">
        <f t="shared" si="23"/>
        <v>0</v>
      </c>
      <c r="AM189" s="43">
        <f t="shared" si="24"/>
        <v>0</v>
      </c>
      <c r="AN189" s="176">
        <f t="shared" si="25"/>
        <v>0</v>
      </c>
      <c r="AO189" s="66">
        <f>COUNTIF(E189:AI189,"OFF")</f>
        <v>0</v>
      </c>
      <c r="AP189" s="189">
        <f t="shared" si="26"/>
        <v>0</v>
      </c>
      <c r="AQ189" s="189" t="s">
        <v>336</v>
      </c>
      <c r="AS189" s="106"/>
    </row>
    <row r="190" s="105" customFormat="1" ht="15" customHeight="1" spans="1:45">
      <c r="A190" s="182"/>
      <c r="B190" s="154" t="s">
        <v>367</v>
      </c>
      <c r="C190" s="182" t="s">
        <v>16</v>
      </c>
      <c r="D190" s="182" t="s">
        <v>178</v>
      </c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4"/>
      <c r="AD190" s="184"/>
      <c r="AE190" s="184"/>
      <c r="AF190" s="184"/>
      <c r="AG190" s="184"/>
      <c r="AH190" s="184"/>
      <c r="AI190" s="184"/>
      <c r="AJ190" s="113"/>
      <c r="AK190" s="179"/>
      <c r="AL190" s="43">
        <f t="shared" si="23"/>
        <v>0</v>
      </c>
      <c r="AM190" s="66">
        <f t="shared" si="24"/>
        <v>0</v>
      </c>
      <c r="AN190" s="43">
        <f t="shared" si="25"/>
        <v>0</v>
      </c>
      <c r="AP190" s="43">
        <f t="shared" si="26"/>
        <v>0</v>
      </c>
      <c r="AQ190" s="43" t="s">
        <v>336</v>
      </c>
      <c r="AR190" s="66"/>
      <c r="AS190" s="115"/>
    </row>
    <row r="191" s="105" customFormat="1" ht="15" customHeight="1" spans="1:45">
      <c r="A191" s="182"/>
      <c r="B191" s="154" t="s">
        <v>402</v>
      </c>
      <c r="C191" s="182" t="s">
        <v>16</v>
      </c>
      <c r="D191" s="182" t="s">
        <v>178</v>
      </c>
      <c r="E191" s="180"/>
      <c r="F191" s="180"/>
      <c r="G191" s="183"/>
      <c r="H191" s="183"/>
      <c r="I191" s="183"/>
      <c r="J191" s="172" t="s">
        <v>12</v>
      </c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2"/>
      <c r="AC191" s="172"/>
      <c r="AD191" s="172"/>
      <c r="AE191" s="172"/>
      <c r="AF191" s="172"/>
      <c r="AG191" s="172" t="s">
        <v>40</v>
      </c>
      <c r="AH191" s="172"/>
      <c r="AI191" s="172"/>
      <c r="AJ191" s="113"/>
      <c r="AK191" s="179"/>
      <c r="AL191" s="131">
        <f t="shared" si="23"/>
        <v>1</v>
      </c>
      <c r="AM191" s="103">
        <f t="shared" si="24"/>
        <v>1</v>
      </c>
      <c r="AN191" s="131">
        <f t="shared" si="25"/>
        <v>0</v>
      </c>
      <c r="AO191" s="36">
        <f>COUNTIF(E191:AI191,"OFF")</f>
        <v>0</v>
      </c>
      <c r="AP191" s="131">
        <f t="shared" si="26"/>
        <v>2</v>
      </c>
      <c r="AQ191" s="43" t="s">
        <v>193</v>
      </c>
      <c r="AS191" s="106"/>
    </row>
    <row r="192" s="105" customFormat="1" ht="15" customHeight="1" spans="1:45">
      <c r="A192" s="182"/>
      <c r="B192" s="154" t="s">
        <v>492</v>
      </c>
      <c r="C192" s="182" t="s">
        <v>16</v>
      </c>
      <c r="D192" s="182" t="s">
        <v>112</v>
      </c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4"/>
      <c r="AD192" s="184"/>
      <c r="AE192" s="184"/>
      <c r="AF192" s="184"/>
      <c r="AG192" s="184"/>
      <c r="AH192" s="184"/>
      <c r="AI192" s="184"/>
      <c r="AJ192" s="113"/>
      <c r="AK192" s="179"/>
      <c r="AL192" s="43">
        <f t="shared" si="23"/>
        <v>0</v>
      </c>
      <c r="AM192" s="66">
        <f t="shared" si="24"/>
        <v>0</v>
      </c>
      <c r="AN192" s="43">
        <f t="shared" si="25"/>
        <v>0</v>
      </c>
      <c r="AO192" s="36">
        <f>COUNTIF(E192:AI192,"OFF")</f>
        <v>0</v>
      </c>
      <c r="AP192" s="43">
        <f t="shared" si="26"/>
        <v>0</v>
      </c>
      <c r="AQ192" s="43" t="s">
        <v>336</v>
      </c>
      <c r="AR192" s="66"/>
      <c r="AS192" s="115"/>
    </row>
    <row r="193" ht="15" customHeight="1" spans="1:45">
      <c r="A193" s="182"/>
      <c r="B193" s="154" t="s">
        <v>514</v>
      </c>
      <c r="C193" s="182" t="s">
        <v>370</v>
      </c>
      <c r="D193" s="182" t="s">
        <v>178</v>
      </c>
      <c r="E193" s="183"/>
      <c r="F193" s="183"/>
      <c r="G193" s="183"/>
      <c r="H193" s="183"/>
      <c r="I193" s="183"/>
      <c r="J193" s="180" t="s">
        <v>11</v>
      </c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 t="s">
        <v>11</v>
      </c>
      <c r="AF193" s="180"/>
      <c r="AG193" s="180"/>
      <c r="AH193" s="180"/>
      <c r="AI193" s="180"/>
      <c r="AL193" s="131">
        <f t="shared" si="23"/>
        <v>2</v>
      </c>
      <c r="AM193" s="103">
        <f t="shared" si="24"/>
        <v>0</v>
      </c>
      <c r="AN193" s="131">
        <f t="shared" si="25"/>
        <v>0</v>
      </c>
      <c r="AO193" s="103">
        <f>COUNTIF(E193:AI193,"OFF")</f>
        <v>0</v>
      </c>
      <c r="AP193" s="128">
        <f t="shared" si="26"/>
        <v>2</v>
      </c>
      <c r="AQ193" s="43" t="s">
        <v>403</v>
      </c>
    </row>
    <row r="194" ht="15" customHeight="1" spans="1:45">
      <c r="A194" s="182"/>
      <c r="B194" s="154" t="s">
        <v>445</v>
      </c>
      <c r="C194" s="182" t="s">
        <v>16</v>
      </c>
      <c r="D194" s="182" t="s">
        <v>178</v>
      </c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4"/>
      <c r="AD194" s="184"/>
      <c r="AE194" s="184"/>
      <c r="AF194" s="184"/>
      <c r="AG194" s="184"/>
      <c r="AH194" s="184"/>
      <c r="AI194" s="184"/>
      <c r="AL194" s="43">
        <f t="shared" si="23"/>
        <v>0</v>
      </c>
      <c r="AM194" s="66">
        <f t="shared" si="24"/>
        <v>0</v>
      </c>
      <c r="AN194" s="43">
        <f t="shared" si="25"/>
        <v>0</v>
      </c>
      <c r="AP194" s="189">
        <f t="shared" si="26"/>
        <v>0</v>
      </c>
      <c r="AQ194" s="43" t="s">
        <v>193</v>
      </c>
      <c r="AR194" s="99"/>
      <c r="AS194" s="99"/>
    </row>
    <row r="195" ht="15" customHeight="1" spans="1:45">
      <c r="A195" s="182"/>
      <c r="B195" s="154" t="s">
        <v>493</v>
      </c>
      <c r="C195" s="182" t="s">
        <v>16</v>
      </c>
      <c r="D195" s="182" t="s">
        <v>178</v>
      </c>
      <c r="E195" s="180"/>
      <c r="F195" s="180"/>
      <c r="G195" s="180" t="s">
        <v>11</v>
      </c>
      <c r="H195" s="180"/>
      <c r="I195" s="180"/>
      <c r="J195" s="180" t="s">
        <v>103</v>
      </c>
      <c r="K195" s="180"/>
      <c r="L195" s="180"/>
      <c r="M195" s="180"/>
      <c r="N195" s="180"/>
      <c r="O195" s="180"/>
      <c r="P195" s="180"/>
      <c r="Q195" s="180" t="s">
        <v>11</v>
      </c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80"/>
      <c r="AI195" s="180"/>
      <c r="AJ195" s="43"/>
      <c r="AK195" s="43"/>
      <c r="AL195" s="35">
        <f t="shared" si="23"/>
        <v>2</v>
      </c>
      <c r="AM195" s="43">
        <f t="shared" si="24"/>
        <v>1</v>
      </c>
      <c r="AN195" s="35">
        <f t="shared" si="25"/>
        <v>0</v>
      </c>
      <c r="AO195" s="36">
        <f t="shared" ref="AO195:AO258" si="27">COUNTIF(E195:AI195,"OFF")</f>
        <v>0</v>
      </c>
      <c r="AP195" s="37">
        <f t="shared" si="26"/>
        <v>3</v>
      </c>
      <c r="AQ195" s="147" t="s">
        <v>446</v>
      </c>
      <c r="AR195" s="97"/>
      <c r="AS195" s="97"/>
    </row>
    <row r="196" ht="15" customHeight="1" spans="1:45">
      <c r="A196" s="182"/>
      <c r="B196" s="154" t="s">
        <v>372</v>
      </c>
      <c r="C196" s="182" t="s">
        <v>16</v>
      </c>
      <c r="D196" s="182" t="s">
        <v>178</v>
      </c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80"/>
      <c r="AI196" s="180"/>
      <c r="AJ196" s="43"/>
      <c r="AK196" s="43"/>
      <c r="AL196" s="35">
        <f t="shared" si="23"/>
        <v>0</v>
      </c>
      <c r="AM196" s="43">
        <f t="shared" si="24"/>
        <v>0</v>
      </c>
      <c r="AN196" s="35">
        <f t="shared" si="25"/>
        <v>0</v>
      </c>
      <c r="AO196" s="36">
        <f t="shared" si="27"/>
        <v>0</v>
      </c>
      <c r="AP196" s="37">
        <f t="shared" si="26"/>
        <v>0</v>
      </c>
      <c r="AQ196" s="43" t="s">
        <v>336</v>
      </c>
    </row>
    <row r="197" s="20" customFormat="1" ht="15" customHeight="1" spans="1:45">
      <c r="A197" s="182"/>
      <c r="B197" s="154" t="s">
        <v>373</v>
      </c>
      <c r="C197" s="182" t="s">
        <v>211</v>
      </c>
      <c r="D197" s="182" t="s">
        <v>112</v>
      </c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80"/>
      <c r="AI197" s="180"/>
      <c r="AJ197" s="43"/>
      <c r="AK197" s="43"/>
      <c r="AL197" s="35">
        <f t="shared" si="23"/>
        <v>0</v>
      </c>
      <c r="AM197" s="43">
        <f t="shared" si="24"/>
        <v>0</v>
      </c>
      <c r="AN197" s="35">
        <f t="shared" si="25"/>
        <v>0</v>
      </c>
      <c r="AO197" s="103">
        <f t="shared" si="27"/>
        <v>0</v>
      </c>
      <c r="AP197" s="37">
        <f t="shared" si="26"/>
        <v>0</v>
      </c>
      <c r="AQ197" s="43" t="s">
        <v>336</v>
      </c>
    </row>
    <row r="198" s="20" customFormat="1" ht="15" customHeight="1" spans="1:45">
      <c r="A198" s="182"/>
      <c r="B198" s="159" t="s">
        <v>494</v>
      </c>
      <c r="C198" s="182" t="s">
        <v>16</v>
      </c>
      <c r="D198" s="182" t="s">
        <v>178</v>
      </c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80"/>
      <c r="AI198" s="180"/>
      <c r="AJ198" s="43"/>
      <c r="AK198" s="43"/>
      <c r="AL198" s="35">
        <f t="shared" si="23"/>
        <v>0</v>
      </c>
      <c r="AM198" s="43">
        <f t="shared" si="24"/>
        <v>0</v>
      </c>
      <c r="AN198" s="35">
        <f t="shared" si="25"/>
        <v>0</v>
      </c>
      <c r="AO198" s="36">
        <f t="shared" si="27"/>
        <v>0</v>
      </c>
      <c r="AP198" s="37">
        <f t="shared" si="26"/>
        <v>0</v>
      </c>
      <c r="AQ198" s="147" t="s">
        <v>435</v>
      </c>
    </row>
    <row r="199" s="20" customFormat="1" ht="15" customHeight="1" spans="1:45">
      <c r="A199" s="182"/>
      <c r="B199" s="154" t="s">
        <v>375</v>
      </c>
      <c r="C199" s="182" t="s">
        <v>16</v>
      </c>
      <c r="D199" s="182" t="s">
        <v>180</v>
      </c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80"/>
      <c r="AI199" s="180"/>
      <c r="AJ199" s="43"/>
      <c r="AK199" s="43"/>
      <c r="AL199" s="35">
        <f t="shared" si="23"/>
        <v>0</v>
      </c>
      <c r="AM199" s="43">
        <f t="shared" si="24"/>
        <v>0</v>
      </c>
      <c r="AN199" s="35">
        <f t="shared" si="25"/>
        <v>0</v>
      </c>
      <c r="AO199" s="36">
        <f t="shared" si="27"/>
        <v>0</v>
      </c>
      <c r="AP199" s="37">
        <f t="shared" si="26"/>
        <v>0</v>
      </c>
      <c r="AQ199" s="43"/>
    </row>
    <row r="200" s="116" customFormat="1" ht="15" customHeight="1" spans="1:45">
      <c r="A200" s="182"/>
      <c r="B200" s="154" t="s">
        <v>495</v>
      </c>
      <c r="C200" s="190" t="s">
        <v>339</v>
      </c>
      <c r="D200" s="190" t="s">
        <v>112</v>
      </c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91"/>
      <c r="Y200" s="191"/>
      <c r="Z200" s="191"/>
      <c r="AA200" s="191"/>
      <c r="AB200" s="191"/>
      <c r="AC200" s="191"/>
      <c r="AD200" s="191"/>
      <c r="AE200" s="191"/>
      <c r="AF200" s="191"/>
      <c r="AG200" s="191"/>
      <c r="AH200" s="191"/>
      <c r="AI200" s="191"/>
      <c r="AJ200" s="187"/>
      <c r="AK200" s="187"/>
      <c r="AL200" s="192">
        <f t="shared" si="23"/>
        <v>0</v>
      </c>
      <c r="AM200" s="187">
        <f t="shared" si="24"/>
        <v>0</v>
      </c>
      <c r="AN200" s="192">
        <f t="shared" si="25"/>
        <v>0</v>
      </c>
      <c r="AO200" s="193">
        <f t="shared" si="27"/>
        <v>0</v>
      </c>
      <c r="AP200" s="145">
        <f t="shared" si="26"/>
        <v>0</v>
      </c>
      <c r="AQ200" s="187"/>
    </row>
    <row r="201" ht="15" customHeight="1" spans="1:45">
      <c r="B201" s="154" t="s">
        <v>377</v>
      </c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"/>
      <c r="AD201" s="19"/>
      <c r="AE201" s="19"/>
      <c r="AF201" s="19"/>
      <c r="AG201" s="19"/>
      <c r="AH201" s="19"/>
      <c r="AI201" s="19"/>
      <c r="AL201" s="35">
        <f t="shared" si="23"/>
        <v>0</v>
      </c>
      <c r="AM201" s="43">
        <f t="shared" si="24"/>
        <v>0</v>
      </c>
      <c r="AN201" s="35">
        <f t="shared" si="25"/>
        <v>0</v>
      </c>
      <c r="AO201" s="36">
        <f t="shared" si="27"/>
        <v>0</v>
      </c>
      <c r="AP201" s="37">
        <f t="shared" si="26"/>
        <v>0</v>
      </c>
      <c r="AQ201" s="117"/>
    </row>
    <row r="202" ht="15" customHeight="1" spans="1:45">
      <c r="B202" s="195" t="s">
        <v>405</v>
      </c>
      <c r="C202" s="190" t="s">
        <v>339</v>
      </c>
      <c r="D202" s="196" t="s">
        <v>515</v>
      </c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"/>
      <c r="AD202" s="19"/>
      <c r="AE202" s="19"/>
      <c r="AF202" s="19"/>
      <c r="AG202" s="19"/>
      <c r="AH202" s="19"/>
      <c r="AI202" s="19"/>
      <c r="AL202" s="35">
        <f t="shared" si="23"/>
        <v>0</v>
      </c>
      <c r="AM202" s="43">
        <f t="shared" si="24"/>
        <v>0</v>
      </c>
      <c r="AN202" s="35">
        <f t="shared" si="25"/>
        <v>0</v>
      </c>
      <c r="AO202" s="36">
        <f t="shared" si="27"/>
        <v>0</v>
      </c>
      <c r="AP202" s="37">
        <f t="shared" si="26"/>
        <v>0</v>
      </c>
      <c r="AQ202" s="189" t="s">
        <v>406</v>
      </c>
    </row>
    <row r="203" ht="15" customHeight="1" spans="1:45">
      <c r="B203" s="154" t="s">
        <v>407</v>
      </c>
      <c r="C203" s="154" t="s">
        <v>16</v>
      </c>
      <c r="D203" s="154" t="s">
        <v>180</v>
      </c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"/>
      <c r="AD203" s="19"/>
      <c r="AE203" s="19"/>
      <c r="AF203" s="19"/>
      <c r="AG203" s="19"/>
      <c r="AH203" s="19"/>
      <c r="AI203" s="19"/>
      <c r="AL203" s="35">
        <f t="shared" si="23"/>
        <v>0</v>
      </c>
      <c r="AM203" s="43">
        <f t="shared" si="24"/>
        <v>0</v>
      </c>
      <c r="AN203" s="35">
        <f t="shared" si="25"/>
        <v>0</v>
      </c>
      <c r="AO203" s="36">
        <f t="shared" si="27"/>
        <v>0</v>
      </c>
      <c r="AP203" s="37">
        <f t="shared" si="26"/>
        <v>0</v>
      </c>
      <c r="AQ203" s="43" t="s">
        <v>447</v>
      </c>
    </row>
    <row r="204" ht="15" customHeight="1" spans="1:45">
      <c r="B204" s="197" t="s">
        <v>408</v>
      </c>
      <c r="C204" s="182" t="s">
        <v>448</v>
      </c>
      <c r="D204" s="182" t="s">
        <v>180</v>
      </c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9"/>
      <c r="AD204" s="199"/>
      <c r="AE204" s="199"/>
      <c r="AF204" s="199"/>
      <c r="AG204" s="199"/>
      <c r="AH204" s="199"/>
      <c r="AI204" s="199"/>
      <c r="AL204" s="35">
        <f t="shared" si="23"/>
        <v>0</v>
      </c>
      <c r="AM204" s="43">
        <f t="shared" si="24"/>
        <v>0</v>
      </c>
      <c r="AN204" s="35">
        <f t="shared" si="25"/>
        <v>0</v>
      </c>
      <c r="AO204" s="103">
        <f t="shared" si="27"/>
        <v>0</v>
      </c>
      <c r="AP204" s="37">
        <f t="shared" si="26"/>
        <v>0</v>
      </c>
      <c r="AQ204" s="147" t="s">
        <v>449</v>
      </c>
    </row>
    <row r="205" ht="15" customHeight="1" spans="1:45">
      <c r="B205" s="200" t="s">
        <v>409</v>
      </c>
      <c r="C205" s="201" t="s">
        <v>16</v>
      </c>
      <c r="D205" s="201" t="s">
        <v>178</v>
      </c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3"/>
      <c r="AD205" s="203"/>
      <c r="AE205" s="203"/>
      <c r="AF205" s="203"/>
      <c r="AG205" s="203"/>
      <c r="AH205" s="203"/>
      <c r="AI205" s="203"/>
      <c r="AL205" s="131">
        <f t="shared" si="23"/>
        <v>0</v>
      </c>
      <c r="AM205" s="189">
        <f t="shared" si="24"/>
        <v>0</v>
      </c>
      <c r="AN205" s="131">
        <f t="shared" si="25"/>
        <v>0</v>
      </c>
      <c r="AO205" s="103">
        <f t="shared" si="27"/>
        <v>0</v>
      </c>
      <c r="AP205" s="128">
        <f t="shared" si="26"/>
        <v>0</v>
      </c>
      <c r="AQ205" s="43" t="s">
        <v>336</v>
      </c>
    </row>
    <row r="206" ht="15" customHeight="1" spans="1:45">
      <c r="B206" s="154" t="s">
        <v>410</v>
      </c>
      <c r="C206" s="154" t="s">
        <v>59</v>
      </c>
      <c r="D206" s="154" t="s">
        <v>350</v>
      </c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3"/>
      <c r="AD206" s="203"/>
      <c r="AE206" s="203"/>
      <c r="AF206" s="203"/>
      <c r="AG206" s="203"/>
      <c r="AH206" s="203"/>
      <c r="AI206" s="203"/>
      <c r="AL206" s="35">
        <f t="shared" si="23"/>
        <v>0</v>
      </c>
      <c r="AM206" s="43">
        <f t="shared" si="24"/>
        <v>0</v>
      </c>
      <c r="AN206" s="35">
        <f t="shared" si="25"/>
        <v>0</v>
      </c>
      <c r="AO206" s="36">
        <f t="shared" si="27"/>
        <v>0</v>
      </c>
      <c r="AP206" s="37">
        <f t="shared" si="26"/>
        <v>0</v>
      </c>
      <c r="AQ206" s="43" t="s">
        <v>315</v>
      </c>
    </row>
    <row r="207" ht="15" customHeight="1" spans="1:45">
      <c r="B207" s="154" t="s">
        <v>104</v>
      </c>
      <c r="C207" s="182" t="s">
        <v>16</v>
      </c>
      <c r="D207" s="152" t="s">
        <v>411</v>
      </c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"/>
      <c r="AD207" s="19"/>
      <c r="AE207" s="19"/>
      <c r="AF207" s="19"/>
      <c r="AG207" s="19"/>
      <c r="AH207" s="19"/>
      <c r="AI207" s="19"/>
      <c r="AL207" s="35">
        <f t="shared" si="23"/>
        <v>0</v>
      </c>
      <c r="AM207" s="43">
        <f t="shared" si="24"/>
        <v>0</v>
      </c>
      <c r="AN207" s="35">
        <f t="shared" si="25"/>
        <v>0</v>
      </c>
      <c r="AO207" s="36">
        <f t="shared" si="27"/>
        <v>0</v>
      </c>
      <c r="AP207" s="37">
        <f t="shared" si="26"/>
        <v>0</v>
      </c>
      <c r="AQ207" s="43" t="s">
        <v>193</v>
      </c>
    </row>
    <row r="208" ht="15" customHeight="1" spans="1:45">
      <c r="B208" s="154" t="s">
        <v>412</v>
      </c>
      <c r="C208" s="182" t="s">
        <v>413</v>
      </c>
      <c r="D208" s="204" t="s">
        <v>414</v>
      </c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  <c r="AA208" s="97"/>
      <c r="AB208" s="97"/>
      <c r="AC208" s="205"/>
      <c r="AD208" s="205"/>
      <c r="AE208" s="205"/>
      <c r="AF208" s="205"/>
      <c r="AG208" s="205"/>
      <c r="AH208" s="205"/>
      <c r="AI208" s="205"/>
      <c r="AL208" s="43">
        <f t="shared" si="23"/>
        <v>0</v>
      </c>
      <c r="AM208" s="43">
        <f t="shared" si="24"/>
        <v>0</v>
      </c>
      <c r="AN208" s="43">
        <f t="shared" si="25"/>
        <v>0</v>
      </c>
      <c r="AO208" s="66">
        <f t="shared" si="27"/>
        <v>0</v>
      </c>
      <c r="AP208" s="43">
        <f t="shared" si="26"/>
        <v>0</v>
      </c>
      <c r="AQ208" s="43" t="s">
        <v>336</v>
      </c>
    </row>
    <row r="209" ht="15" customHeight="1" spans="2:43">
      <c r="B209" s="154" t="s">
        <v>415</v>
      </c>
      <c r="C209" s="182" t="s">
        <v>16</v>
      </c>
      <c r="D209" s="201" t="s">
        <v>178</v>
      </c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  <c r="AA209" s="97"/>
      <c r="AB209" s="97"/>
      <c r="AC209" s="205"/>
      <c r="AD209" s="205"/>
      <c r="AE209" s="205"/>
      <c r="AF209" s="205"/>
      <c r="AG209" s="205"/>
      <c r="AH209" s="205"/>
      <c r="AI209" s="205"/>
      <c r="AL209" s="35">
        <f t="shared" si="23"/>
        <v>0</v>
      </c>
      <c r="AM209" s="43">
        <f t="shared" si="24"/>
        <v>0</v>
      </c>
      <c r="AN209" s="35">
        <f t="shared" si="25"/>
        <v>0</v>
      </c>
      <c r="AO209" s="103">
        <f t="shared" si="27"/>
        <v>0</v>
      </c>
      <c r="AP209" s="37">
        <f t="shared" si="26"/>
        <v>0</v>
      </c>
      <c r="AQ209" s="43" t="s">
        <v>193</v>
      </c>
    </row>
    <row r="210" ht="15" customHeight="1" spans="2:43">
      <c r="B210" s="195" t="s">
        <v>416</v>
      </c>
      <c r="C210" s="195" t="s">
        <v>16</v>
      </c>
      <c r="D210" s="162" t="s">
        <v>178</v>
      </c>
      <c r="E210" s="162"/>
      <c r="F210" s="162"/>
      <c r="G210" s="162"/>
      <c r="H210" s="162"/>
      <c r="I210" s="162"/>
      <c r="J210" s="162"/>
      <c r="K210" s="162"/>
      <c r="L210" s="162"/>
      <c r="M210" s="162"/>
      <c r="N210" s="162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  <c r="AA210" s="162"/>
      <c r="AB210" s="162"/>
      <c r="AC210" s="206"/>
      <c r="AD210" s="206"/>
      <c r="AE210" s="206"/>
      <c r="AF210" s="206"/>
      <c r="AG210" s="206"/>
      <c r="AH210" s="206"/>
      <c r="AI210" s="206"/>
      <c r="AL210" s="131">
        <f t="shared" si="23"/>
        <v>0</v>
      </c>
      <c r="AM210" s="189">
        <f t="shared" si="24"/>
        <v>0</v>
      </c>
      <c r="AN210" s="207">
        <f t="shared" si="25"/>
        <v>0</v>
      </c>
      <c r="AO210" s="101">
        <f t="shared" si="27"/>
        <v>0</v>
      </c>
      <c r="AP210" s="208">
        <f t="shared" si="26"/>
        <v>0</v>
      </c>
      <c r="AQ210" s="209" t="s">
        <v>417</v>
      </c>
    </row>
    <row r="211" ht="15" customHeight="1" spans="2:43">
      <c r="B211" s="197" t="s">
        <v>418</v>
      </c>
      <c r="C211" s="154" t="s">
        <v>16</v>
      </c>
      <c r="D211" s="162" t="s">
        <v>180</v>
      </c>
      <c r="E211" s="97"/>
      <c r="F211" s="97"/>
      <c r="G211" s="191" t="s">
        <v>11</v>
      </c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91"/>
      <c r="X211" s="191"/>
      <c r="Y211" s="191"/>
      <c r="Z211" s="191"/>
      <c r="AA211" s="191"/>
      <c r="AB211" s="191"/>
      <c r="AC211" s="191"/>
      <c r="AD211" s="191"/>
      <c r="AE211" s="191"/>
      <c r="AF211" s="191"/>
      <c r="AG211" s="191"/>
      <c r="AH211" s="191"/>
      <c r="AI211" s="191"/>
      <c r="AJ211" s="210"/>
      <c r="AK211" s="97"/>
      <c r="AL211" s="35">
        <f t="shared" si="23"/>
        <v>1</v>
      </c>
      <c r="AM211" s="43">
        <f t="shared" si="24"/>
        <v>0</v>
      </c>
      <c r="AN211" s="35">
        <f t="shared" si="25"/>
        <v>0</v>
      </c>
      <c r="AO211" s="36">
        <f t="shared" si="27"/>
        <v>0</v>
      </c>
      <c r="AP211" s="37">
        <f t="shared" si="26"/>
        <v>1</v>
      </c>
      <c r="AQ211" s="43" t="s">
        <v>382</v>
      </c>
    </row>
    <row r="212" ht="15" customHeight="1" spans="2:43">
      <c r="B212" s="197" t="s">
        <v>496</v>
      </c>
      <c r="C212" s="177" t="s">
        <v>165</v>
      </c>
      <c r="D212" s="182" t="s">
        <v>178</v>
      </c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  <c r="AA212" s="97"/>
      <c r="AB212" s="97"/>
      <c r="AC212" s="205"/>
      <c r="AD212" s="205"/>
      <c r="AE212" s="205"/>
      <c r="AF212" s="205"/>
      <c r="AG212" s="205"/>
      <c r="AH212" s="205"/>
      <c r="AI212" s="205"/>
      <c r="AL212" s="35">
        <f t="shared" si="23"/>
        <v>0</v>
      </c>
      <c r="AM212" s="43">
        <f t="shared" si="24"/>
        <v>0</v>
      </c>
      <c r="AN212" s="35">
        <f t="shared" si="25"/>
        <v>0</v>
      </c>
      <c r="AO212" s="103">
        <f t="shared" si="27"/>
        <v>0</v>
      </c>
      <c r="AP212" s="37">
        <f t="shared" si="26"/>
        <v>0</v>
      </c>
      <c r="AQ212" s="147" t="s">
        <v>382</v>
      </c>
    </row>
    <row r="213" ht="15" customHeight="1" spans="2:43">
      <c r="B213" s="197" t="s">
        <v>451</v>
      </c>
      <c r="C213" s="197" t="s">
        <v>16</v>
      </c>
      <c r="D213" s="182" t="s">
        <v>180</v>
      </c>
      <c r="E213" s="97"/>
      <c r="F213" s="180" t="s">
        <v>12</v>
      </c>
      <c r="G213" s="180"/>
      <c r="H213" s="180"/>
      <c r="I213" s="180" t="s">
        <v>12</v>
      </c>
      <c r="J213" s="180"/>
      <c r="K213" s="180"/>
      <c r="L213" s="180"/>
      <c r="M213" s="180"/>
      <c r="N213" s="180"/>
      <c r="O213" s="180" t="s">
        <v>11</v>
      </c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 t="s">
        <v>11</v>
      </c>
      <c r="AD213" s="180" t="s">
        <v>11</v>
      </c>
      <c r="AE213" s="180"/>
      <c r="AF213" s="180"/>
      <c r="AG213" s="180"/>
      <c r="AH213" s="180"/>
      <c r="AI213" s="180"/>
      <c r="AL213" s="35">
        <f t="shared" si="23"/>
        <v>3</v>
      </c>
      <c r="AM213" s="43">
        <f t="shared" si="24"/>
        <v>2</v>
      </c>
      <c r="AN213" s="35">
        <f t="shared" si="25"/>
        <v>0</v>
      </c>
      <c r="AO213" s="103">
        <f t="shared" si="27"/>
        <v>0</v>
      </c>
      <c r="AP213" s="37">
        <f t="shared" si="26"/>
        <v>5</v>
      </c>
      <c r="AQ213" s="97"/>
    </row>
    <row r="214" ht="15" customHeight="1" spans="2:43">
      <c r="B214" s="197" t="s">
        <v>452</v>
      </c>
      <c r="C214" s="197" t="s">
        <v>59</v>
      </c>
      <c r="D214" s="182" t="s">
        <v>178</v>
      </c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180" t="s">
        <v>11</v>
      </c>
      <c r="P214" s="180"/>
      <c r="Q214" s="180"/>
      <c r="R214" s="180" t="s">
        <v>13</v>
      </c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80"/>
      <c r="AI214" s="180"/>
      <c r="AL214" s="35">
        <f t="shared" si="23"/>
        <v>1</v>
      </c>
      <c r="AM214" s="43">
        <f t="shared" si="24"/>
        <v>0</v>
      </c>
      <c r="AN214" s="35">
        <f t="shared" si="25"/>
        <v>1</v>
      </c>
      <c r="AO214" s="103">
        <f t="shared" si="27"/>
        <v>0</v>
      </c>
      <c r="AP214" s="37">
        <f t="shared" si="26"/>
        <v>2</v>
      </c>
      <c r="AQ214" s="43" t="s">
        <v>497</v>
      </c>
    </row>
    <row r="215" ht="15" customHeight="1" spans="2:43">
      <c r="B215" s="197" t="s">
        <v>453</v>
      </c>
      <c r="C215" s="197" t="s">
        <v>16</v>
      </c>
      <c r="D215" s="182" t="s">
        <v>180</v>
      </c>
      <c r="E215" s="97"/>
      <c r="F215" s="180" t="s">
        <v>11</v>
      </c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80"/>
      <c r="AI215" s="180"/>
      <c r="AK215" s="116"/>
      <c r="AL215" s="35">
        <f t="shared" si="23"/>
        <v>1</v>
      </c>
      <c r="AM215" s="43">
        <f t="shared" si="24"/>
        <v>0</v>
      </c>
      <c r="AN215" s="35">
        <f t="shared" si="25"/>
        <v>0</v>
      </c>
      <c r="AO215" s="103">
        <f t="shared" si="27"/>
        <v>0</v>
      </c>
      <c r="AP215" s="37">
        <f t="shared" si="26"/>
        <v>1</v>
      </c>
      <c r="AQ215" s="147" t="s">
        <v>382</v>
      </c>
    </row>
    <row r="216" ht="15" customHeight="1" spans="2:43">
      <c r="B216" s="197" t="s">
        <v>454</v>
      </c>
      <c r="C216" s="197" t="s">
        <v>165</v>
      </c>
      <c r="D216" s="182" t="s">
        <v>178</v>
      </c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211"/>
      <c r="AD216" s="211"/>
      <c r="AE216" s="211"/>
      <c r="AF216" s="211"/>
      <c r="AG216" s="211"/>
      <c r="AH216" s="211"/>
      <c r="AI216" s="211"/>
      <c r="AK216" s="116"/>
      <c r="AL216" s="43">
        <f t="shared" si="23"/>
        <v>0</v>
      </c>
      <c r="AM216" s="43">
        <f t="shared" si="24"/>
        <v>0</v>
      </c>
      <c r="AN216" s="176">
        <f t="shared" si="25"/>
        <v>0</v>
      </c>
      <c r="AO216" s="66">
        <f t="shared" si="27"/>
        <v>0</v>
      </c>
      <c r="AP216" s="43">
        <f t="shared" si="26"/>
        <v>0</v>
      </c>
      <c r="AQ216" s="43"/>
    </row>
    <row r="217" ht="15" customHeight="1" spans="2:43">
      <c r="B217" s="197" t="s">
        <v>455</v>
      </c>
      <c r="C217" s="197" t="s">
        <v>16</v>
      </c>
      <c r="D217" s="182" t="s">
        <v>178</v>
      </c>
      <c r="E217" s="180" t="s">
        <v>11</v>
      </c>
      <c r="F217" s="180"/>
      <c r="G217" s="197"/>
      <c r="H217" s="197"/>
      <c r="I217" s="172" t="s">
        <v>12</v>
      </c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  <c r="AA217" s="172"/>
      <c r="AB217" s="172"/>
      <c r="AC217" s="172"/>
      <c r="AD217" s="172"/>
      <c r="AE217" s="172"/>
      <c r="AF217" s="172"/>
      <c r="AG217" s="172"/>
      <c r="AH217" s="172"/>
      <c r="AI217" s="172"/>
      <c r="AL217" s="131">
        <f t="shared" si="23"/>
        <v>1</v>
      </c>
      <c r="AM217" s="189">
        <f t="shared" si="24"/>
        <v>1</v>
      </c>
      <c r="AN217" s="131">
        <f t="shared" si="25"/>
        <v>0</v>
      </c>
      <c r="AO217" s="103">
        <f t="shared" si="27"/>
        <v>0</v>
      </c>
      <c r="AP217" s="128">
        <f t="shared" si="26"/>
        <v>2</v>
      </c>
      <c r="AQ217" s="189" t="s">
        <v>193</v>
      </c>
    </row>
    <row r="218" ht="15" customHeight="1" spans="2:43">
      <c r="B218" s="212" t="s">
        <v>498</v>
      </c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3"/>
      <c r="AD218" s="203"/>
      <c r="AE218" s="203"/>
      <c r="AF218" s="203"/>
      <c r="AG218" s="203"/>
      <c r="AH218" s="203"/>
      <c r="AI218" s="203"/>
      <c r="AL218" s="131">
        <f t="shared" si="23"/>
        <v>0</v>
      </c>
      <c r="AM218" s="189">
        <f t="shared" si="24"/>
        <v>0</v>
      </c>
      <c r="AN218" s="131">
        <f t="shared" si="25"/>
        <v>0</v>
      </c>
      <c r="AO218" s="103">
        <f t="shared" si="27"/>
        <v>0</v>
      </c>
      <c r="AP218" s="128">
        <f t="shared" si="26"/>
        <v>0</v>
      </c>
      <c r="AQ218" s="97"/>
    </row>
    <row r="219" ht="15" customHeight="1" spans="2:43">
      <c r="B219" s="213" t="s">
        <v>499</v>
      </c>
      <c r="C219" s="150" t="s">
        <v>16</v>
      </c>
      <c r="D219" s="152" t="s">
        <v>112</v>
      </c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3"/>
      <c r="AD219" s="203"/>
      <c r="AE219" s="203"/>
      <c r="AF219" s="203"/>
      <c r="AG219" s="203"/>
      <c r="AH219" s="203"/>
      <c r="AI219" s="203"/>
      <c r="AL219" s="131">
        <f t="shared" si="23"/>
        <v>0</v>
      </c>
      <c r="AM219" s="189">
        <f t="shared" si="24"/>
        <v>0</v>
      </c>
      <c r="AN219" s="131">
        <f t="shared" si="25"/>
        <v>0</v>
      </c>
      <c r="AO219" s="103">
        <f t="shared" si="27"/>
        <v>0</v>
      </c>
      <c r="AP219" s="128">
        <f t="shared" si="26"/>
        <v>0</v>
      </c>
      <c r="AQ219" s="209" t="s">
        <v>500</v>
      </c>
    </row>
    <row r="220" ht="15" customHeight="1" spans="2:43">
      <c r="B220" s="214" t="s">
        <v>501</v>
      </c>
      <c r="C220" s="215" t="s">
        <v>59</v>
      </c>
      <c r="D220" s="171" t="s">
        <v>112</v>
      </c>
      <c r="E220" s="215"/>
      <c r="F220" s="215"/>
      <c r="G220" s="215"/>
      <c r="H220" s="215"/>
      <c r="I220" s="215"/>
      <c r="J220" s="215"/>
      <c r="K220" s="215"/>
      <c r="L220" s="215"/>
      <c r="M220" s="215"/>
      <c r="N220" s="215"/>
      <c r="O220" s="180" t="s">
        <v>11</v>
      </c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80"/>
      <c r="AI220" s="180"/>
      <c r="AL220" s="216">
        <f t="shared" si="23"/>
        <v>1</v>
      </c>
      <c r="AM220" s="43">
        <f t="shared" si="24"/>
        <v>0</v>
      </c>
      <c r="AN220" s="217">
        <f t="shared" si="25"/>
        <v>0</v>
      </c>
      <c r="AO220" s="218">
        <f t="shared" si="27"/>
        <v>0</v>
      </c>
      <c r="AP220" s="217">
        <f t="shared" si="26"/>
        <v>1</v>
      </c>
      <c r="AQ220" s="43" t="s">
        <v>193</v>
      </c>
    </row>
    <row r="221" ht="15" customHeight="1" spans="2:43">
      <c r="B221" s="194" t="s">
        <v>502</v>
      </c>
      <c r="C221" s="194" t="s">
        <v>357</v>
      </c>
      <c r="D221" s="219" t="s">
        <v>178</v>
      </c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"/>
      <c r="AD221" s="19"/>
      <c r="AE221" s="19"/>
      <c r="AF221" s="19"/>
      <c r="AG221" s="19"/>
      <c r="AH221" s="19"/>
      <c r="AI221" s="19"/>
      <c r="AL221" s="216">
        <f t="shared" si="23"/>
        <v>0</v>
      </c>
      <c r="AM221" s="43">
        <f t="shared" si="24"/>
        <v>0</v>
      </c>
      <c r="AN221" s="217">
        <f t="shared" si="25"/>
        <v>0</v>
      </c>
      <c r="AO221" s="218">
        <f t="shared" si="27"/>
        <v>0</v>
      </c>
      <c r="AP221" s="217">
        <f t="shared" si="26"/>
        <v>0</v>
      </c>
      <c r="AQ221" s="220"/>
    </row>
    <row r="222" ht="15" customHeight="1" spans="2:43">
      <c r="B222" s="197" t="s">
        <v>516</v>
      </c>
      <c r="C222" s="194" t="s">
        <v>16</v>
      </c>
      <c r="D222" s="182" t="s">
        <v>178</v>
      </c>
      <c r="E222" s="194"/>
      <c r="F222" s="194"/>
      <c r="G222" s="194"/>
      <c r="H222" s="194"/>
      <c r="I222" s="172" t="s">
        <v>12</v>
      </c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2"/>
      <c r="AC222" s="172"/>
      <c r="AD222" s="172"/>
      <c r="AE222" s="172"/>
      <c r="AF222" s="172"/>
      <c r="AG222" s="172"/>
      <c r="AH222" s="172"/>
      <c r="AI222" s="172"/>
      <c r="AL222" s="216">
        <f t="shared" si="23"/>
        <v>0</v>
      </c>
      <c r="AM222" s="43">
        <f t="shared" si="24"/>
        <v>1</v>
      </c>
      <c r="AN222" s="217">
        <f t="shared" si="25"/>
        <v>0</v>
      </c>
      <c r="AO222" s="218">
        <f t="shared" si="27"/>
        <v>0</v>
      </c>
      <c r="AP222" s="217">
        <f t="shared" si="26"/>
        <v>1</v>
      </c>
      <c r="AQ222" s="220"/>
    </row>
    <row r="223" s="122" customFormat="1" ht="15" customHeight="1" spans="2:43">
      <c r="B223" s="221" t="s">
        <v>517</v>
      </c>
      <c r="C223" s="150" t="s">
        <v>16</v>
      </c>
      <c r="D223" s="182" t="s">
        <v>112</v>
      </c>
      <c r="E223" s="221"/>
      <c r="F223" s="221"/>
      <c r="G223" s="221"/>
      <c r="H223" s="221"/>
      <c r="I223" s="222"/>
      <c r="J223" s="222"/>
      <c r="K223" s="222"/>
      <c r="L223" s="222"/>
      <c r="M223" s="222"/>
      <c r="N223" s="222"/>
      <c r="O223" s="222"/>
      <c r="P223" s="222"/>
      <c r="Q223" s="222"/>
      <c r="R223" s="222"/>
      <c r="S223" s="222"/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 t="s">
        <v>11</v>
      </c>
      <c r="AG223" s="222"/>
      <c r="AH223" s="222" t="s">
        <v>11</v>
      </c>
      <c r="AI223" s="222"/>
      <c r="AJ223" s="223"/>
      <c r="AL223" s="216">
        <f t="shared" si="23"/>
        <v>2</v>
      </c>
      <c r="AM223" s="43">
        <f t="shared" si="24"/>
        <v>0</v>
      </c>
      <c r="AN223" s="217">
        <f t="shared" si="25"/>
        <v>0</v>
      </c>
      <c r="AO223" s="218">
        <f t="shared" si="27"/>
        <v>0</v>
      </c>
      <c r="AP223" s="217">
        <f t="shared" si="26"/>
        <v>2</v>
      </c>
      <c r="AQ223" s="220"/>
    </row>
    <row r="224" s="122" customFormat="1" ht="15" customHeight="1" spans="2:43">
      <c r="B224" s="221" t="s">
        <v>518</v>
      </c>
      <c r="C224" s="150" t="s">
        <v>16</v>
      </c>
      <c r="D224" s="182" t="s">
        <v>112</v>
      </c>
      <c r="E224" s="221"/>
      <c r="F224" s="221"/>
      <c r="G224" s="221"/>
      <c r="H224" s="221"/>
      <c r="I224" s="222"/>
      <c r="J224" s="222"/>
      <c r="K224" s="222"/>
      <c r="L224" s="222"/>
      <c r="M224" s="222"/>
      <c r="N224" s="222"/>
      <c r="O224" s="222"/>
      <c r="P224" s="222"/>
      <c r="Q224" s="222"/>
      <c r="R224" s="222"/>
      <c r="S224" s="222"/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 t="s">
        <v>11</v>
      </c>
      <c r="AG224" s="222"/>
      <c r="AH224" s="222"/>
      <c r="AI224" s="222"/>
      <c r="AJ224" s="223"/>
      <c r="AL224" s="216">
        <f t="shared" si="23"/>
        <v>1</v>
      </c>
      <c r="AM224" s="43">
        <f t="shared" si="24"/>
        <v>0</v>
      </c>
      <c r="AN224" s="217">
        <f t="shared" si="25"/>
        <v>0</v>
      </c>
      <c r="AO224" s="218">
        <f t="shared" si="27"/>
        <v>0</v>
      </c>
      <c r="AP224" s="217">
        <f t="shared" si="26"/>
        <v>1</v>
      </c>
      <c r="AQ224" s="220"/>
    </row>
    <row r="225" s="122" customFormat="1" ht="15" customHeight="1" spans="2:43">
      <c r="B225" s="221" t="s">
        <v>519</v>
      </c>
      <c r="C225" s="194" t="s">
        <v>16</v>
      </c>
      <c r="D225" s="182" t="s">
        <v>178</v>
      </c>
      <c r="E225" s="221"/>
      <c r="F225" s="221"/>
      <c r="G225" s="221"/>
      <c r="H225" s="221"/>
      <c r="I225" s="222"/>
      <c r="J225" s="222"/>
      <c r="K225" s="222"/>
      <c r="L225" s="222"/>
      <c r="M225" s="222"/>
      <c r="N225" s="222"/>
      <c r="O225" s="222"/>
      <c r="P225" s="222"/>
      <c r="Q225" s="222"/>
      <c r="R225" s="222"/>
      <c r="S225" s="222"/>
      <c r="T225" s="222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 t="s">
        <v>11</v>
      </c>
      <c r="AH225" s="222"/>
      <c r="AI225" s="222"/>
      <c r="AJ225" s="223"/>
      <c r="AL225" s="216">
        <f t="shared" si="23"/>
        <v>1</v>
      </c>
      <c r="AM225" s="43">
        <f t="shared" si="24"/>
        <v>0</v>
      </c>
      <c r="AN225" s="217">
        <f t="shared" si="25"/>
        <v>0</v>
      </c>
      <c r="AO225" s="218">
        <f t="shared" si="27"/>
        <v>0</v>
      </c>
      <c r="AP225" s="217">
        <f t="shared" si="26"/>
        <v>1</v>
      </c>
      <c r="AQ225" s="220"/>
    </row>
    <row r="226" s="122" customFormat="1" ht="15" customHeight="1" spans="2:43">
      <c r="B226" s="221" t="s">
        <v>520</v>
      </c>
      <c r="C226" s="194" t="s">
        <v>16</v>
      </c>
      <c r="D226" s="182" t="s">
        <v>178</v>
      </c>
      <c r="E226" s="221"/>
      <c r="F226" s="221"/>
      <c r="G226" s="221"/>
      <c r="H226" s="221"/>
      <c r="I226" s="222"/>
      <c r="J226" s="222"/>
      <c r="K226" s="222"/>
      <c r="L226" s="222"/>
      <c r="M226" s="222"/>
      <c r="N226" s="222"/>
      <c r="O226" s="222"/>
      <c r="P226" s="222"/>
      <c r="Q226" s="222"/>
      <c r="R226" s="222"/>
      <c r="S226" s="222"/>
      <c r="T226" s="222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 t="s">
        <v>11</v>
      </c>
      <c r="AH226" s="222"/>
      <c r="AI226" s="222"/>
      <c r="AJ226" s="223"/>
      <c r="AL226" s="216">
        <f t="shared" si="23"/>
        <v>1</v>
      </c>
      <c r="AM226" s="43">
        <f t="shared" si="24"/>
        <v>0</v>
      </c>
      <c r="AN226" s="217">
        <f t="shared" si="25"/>
        <v>0</v>
      </c>
      <c r="AO226" s="218">
        <f t="shared" si="27"/>
        <v>0</v>
      </c>
      <c r="AP226" s="217">
        <f t="shared" si="26"/>
        <v>1</v>
      </c>
      <c r="AQ226" s="220"/>
    </row>
    <row r="227" s="122" customFormat="1" ht="15" customHeight="1" spans="2:43">
      <c r="B227" s="224" t="s">
        <v>521</v>
      </c>
      <c r="C227" s="198" t="s">
        <v>16</v>
      </c>
      <c r="D227" s="190" t="s">
        <v>178</v>
      </c>
      <c r="E227" s="224"/>
      <c r="F227" s="224"/>
      <c r="G227" s="224"/>
      <c r="H227" s="224"/>
      <c r="I227" s="222"/>
      <c r="J227" s="222"/>
      <c r="K227" s="222"/>
      <c r="L227" s="222"/>
      <c r="M227" s="222"/>
      <c r="N227" s="222"/>
      <c r="O227" s="222"/>
      <c r="P227" s="222"/>
      <c r="Q227" s="222"/>
      <c r="R227" s="222"/>
      <c r="S227" s="222"/>
      <c r="T227" s="222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 t="s">
        <v>11</v>
      </c>
      <c r="AH227" s="222"/>
      <c r="AI227" s="222"/>
      <c r="AJ227" s="223"/>
      <c r="AL227" s="216">
        <f t="shared" si="23"/>
        <v>1</v>
      </c>
      <c r="AM227" s="43">
        <f t="shared" si="24"/>
        <v>0</v>
      </c>
      <c r="AN227" s="217">
        <f t="shared" si="25"/>
        <v>0</v>
      </c>
      <c r="AO227" s="218">
        <f t="shared" si="27"/>
        <v>0</v>
      </c>
      <c r="AP227" s="217">
        <f t="shared" si="26"/>
        <v>1</v>
      </c>
      <c r="AQ227" s="220"/>
    </row>
    <row r="228" s="122" customFormat="1" ht="15" customHeight="1" spans="2:43">
      <c r="B228" s="221" t="s">
        <v>522</v>
      </c>
      <c r="C228" s="194" t="s">
        <v>16</v>
      </c>
      <c r="D228" s="219" t="s">
        <v>178</v>
      </c>
      <c r="E228" s="221"/>
      <c r="F228" s="221"/>
      <c r="G228" s="221"/>
      <c r="H228" s="221"/>
      <c r="I228" s="225"/>
      <c r="J228" s="225"/>
      <c r="K228" s="225"/>
      <c r="L228" s="225"/>
      <c r="M228" s="225"/>
      <c r="N228" s="225"/>
      <c r="O228" s="225"/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  <c r="AA228" s="225"/>
      <c r="AB228" s="225"/>
      <c r="AC228" s="225"/>
      <c r="AD228" s="225"/>
      <c r="AE228" s="225"/>
      <c r="AF228" s="225"/>
      <c r="AG228" s="225" t="s">
        <v>11</v>
      </c>
      <c r="AH228" s="225"/>
      <c r="AI228" s="225"/>
      <c r="AJ228" s="223"/>
      <c r="AL228" s="216">
        <f t="shared" si="23"/>
        <v>1</v>
      </c>
      <c r="AM228" s="43">
        <f t="shared" si="24"/>
        <v>0</v>
      </c>
      <c r="AN228" s="217">
        <f t="shared" si="25"/>
        <v>0</v>
      </c>
      <c r="AO228" s="218">
        <f t="shared" si="27"/>
        <v>0</v>
      </c>
      <c r="AP228" s="217">
        <f t="shared" si="26"/>
        <v>1</v>
      </c>
      <c r="AQ228" s="220"/>
    </row>
    <row r="229" s="122" customFormat="1" ht="15" customHeight="1" spans="2:43">
      <c r="B229" s="221" t="s">
        <v>523</v>
      </c>
      <c r="C229" s="194" t="s">
        <v>16</v>
      </c>
      <c r="D229" s="219" t="s">
        <v>178</v>
      </c>
      <c r="E229" s="221"/>
      <c r="F229" s="221"/>
      <c r="G229" s="221"/>
      <c r="H229" s="221"/>
      <c r="I229" s="225"/>
      <c r="J229" s="225"/>
      <c r="K229" s="225"/>
      <c r="L229" s="225"/>
      <c r="M229" s="225"/>
      <c r="N229" s="225"/>
      <c r="O229" s="225"/>
      <c r="P229" s="225"/>
      <c r="Q229" s="225"/>
      <c r="R229" s="225"/>
      <c r="S229" s="225"/>
      <c r="T229" s="225"/>
      <c r="U229" s="225"/>
      <c r="V229" s="225"/>
      <c r="W229" s="225"/>
      <c r="X229" s="225"/>
      <c r="Y229" s="225"/>
      <c r="Z229" s="225"/>
      <c r="AA229" s="225"/>
      <c r="AB229" s="225"/>
      <c r="AC229" s="225"/>
      <c r="AD229" s="225"/>
      <c r="AE229" s="225"/>
      <c r="AF229" s="225"/>
      <c r="AG229" s="225"/>
      <c r="AH229" s="225" t="s">
        <v>11</v>
      </c>
      <c r="AI229" s="225"/>
      <c r="AJ229" s="223"/>
      <c r="AL229" s="216">
        <f t="shared" si="23"/>
        <v>1</v>
      </c>
      <c r="AM229" s="43">
        <f t="shared" si="24"/>
        <v>0</v>
      </c>
      <c r="AN229" s="217">
        <f t="shared" si="25"/>
        <v>0</v>
      </c>
      <c r="AO229" s="218">
        <f t="shared" si="27"/>
        <v>0</v>
      </c>
      <c r="AP229" s="217">
        <f t="shared" si="26"/>
        <v>1</v>
      </c>
      <c r="AQ229" s="220"/>
    </row>
    <row r="230" s="122" customFormat="1" ht="15" customHeight="1" spans="2:43">
      <c r="B230" s="226" t="s">
        <v>524</v>
      </c>
      <c r="C230" s="227" t="s">
        <v>211</v>
      </c>
      <c r="D230" s="219" t="s">
        <v>178</v>
      </c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8"/>
      <c r="AD230" s="228"/>
      <c r="AE230" s="228"/>
      <c r="AF230" s="228"/>
      <c r="AG230" s="228"/>
      <c r="AH230" s="228" t="s">
        <v>11</v>
      </c>
      <c r="AI230" s="228"/>
      <c r="AJ230" s="223"/>
      <c r="AL230" s="216">
        <f t="shared" si="23"/>
        <v>1</v>
      </c>
      <c r="AM230" s="43">
        <f t="shared" si="24"/>
        <v>0</v>
      </c>
      <c r="AN230" s="217">
        <f t="shared" si="25"/>
        <v>0</v>
      </c>
      <c r="AO230" s="218">
        <f t="shared" si="27"/>
        <v>0</v>
      </c>
      <c r="AP230" s="217">
        <f t="shared" si="26"/>
        <v>1</v>
      </c>
      <c r="AQ230" s="220"/>
    </row>
    <row r="231" spans="2:43">
      <c r="B231" s="229" t="s">
        <v>525</v>
      </c>
      <c r="C231" s="227" t="s">
        <v>211</v>
      </c>
      <c r="D231" s="219" t="s">
        <v>178</v>
      </c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"/>
      <c r="AD231" s="19"/>
      <c r="AE231" s="19"/>
      <c r="AF231" s="19"/>
      <c r="AG231" s="19"/>
      <c r="AH231" s="19"/>
      <c r="AI231" s="19"/>
      <c r="AL231" s="216">
        <f t="shared" si="23"/>
        <v>0</v>
      </c>
      <c r="AM231" s="43">
        <f t="shared" si="24"/>
        <v>0</v>
      </c>
      <c r="AN231" s="217">
        <f t="shared" si="25"/>
        <v>0</v>
      </c>
      <c r="AO231" s="218">
        <f t="shared" si="27"/>
        <v>0</v>
      </c>
      <c r="AP231" s="217">
        <f t="shared" si="26"/>
        <v>0</v>
      </c>
      <c r="AQ231" s="220"/>
    </row>
    <row r="232" spans="2:43">
      <c r="B232" s="229" t="s">
        <v>526</v>
      </c>
      <c r="C232" s="227" t="s">
        <v>527</v>
      </c>
      <c r="D232" s="219" t="s">
        <v>178</v>
      </c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"/>
      <c r="AD232" s="19"/>
      <c r="AE232" s="19"/>
      <c r="AF232" s="19"/>
      <c r="AG232" s="19"/>
      <c r="AH232" s="19"/>
      <c r="AI232" s="19"/>
      <c r="AL232" s="216">
        <f t="shared" si="23"/>
        <v>0</v>
      </c>
      <c r="AM232" s="43">
        <f t="shared" si="24"/>
        <v>0</v>
      </c>
      <c r="AN232" s="217">
        <f t="shared" si="25"/>
        <v>0</v>
      </c>
      <c r="AO232" s="218">
        <f t="shared" si="27"/>
        <v>0</v>
      </c>
      <c r="AP232" s="217">
        <f t="shared" si="26"/>
        <v>0</v>
      </c>
      <c r="AQ232" s="220"/>
    </row>
    <row r="233" spans="2:43">
      <c r="B233" s="229" t="s">
        <v>528</v>
      </c>
      <c r="C233" s="227" t="s">
        <v>16</v>
      </c>
      <c r="D233" s="219" t="s">
        <v>178</v>
      </c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"/>
      <c r="AD233" s="19"/>
      <c r="AE233" s="19"/>
      <c r="AF233" s="19"/>
      <c r="AG233" s="19"/>
      <c r="AH233" s="19"/>
      <c r="AI233" s="19"/>
      <c r="AL233" s="216">
        <f t="shared" si="23"/>
        <v>0</v>
      </c>
      <c r="AM233" s="43">
        <f t="shared" si="24"/>
        <v>0</v>
      </c>
      <c r="AN233" s="217">
        <f t="shared" si="25"/>
        <v>0</v>
      </c>
      <c r="AO233" s="218">
        <f t="shared" si="27"/>
        <v>0</v>
      </c>
      <c r="AP233" s="217">
        <f t="shared" si="26"/>
        <v>0</v>
      </c>
      <c r="AQ233" s="220"/>
    </row>
    <row r="234" ht="24" spans="2:43">
      <c r="B234" s="230" t="s">
        <v>529</v>
      </c>
      <c r="C234" s="231" t="s">
        <v>165</v>
      </c>
      <c r="D234" s="219" t="s">
        <v>178</v>
      </c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"/>
      <c r="AD234" s="19"/>
      <c r="AE234" s="19"/>
      <c r="AF234" s="19"/>
      <c r="AG234" s="19"/>
      <c r="AH234" s="19"/>
      <c r="AI234" s="19"/>
      <c r="AL234" s="216">
        <f t="shared" si="23"/>
        <v>0</v>
      </c>
      <c r="AM234" s="43">
        <f t="shared" si="24"/>
        <v>0</v>
      </c>
      <c r="AN234" s="217">
        <f t="shared" si="25"/>
        <v>0</v>
      </c>
      <c r="AO234" s="218">
        <f t="shared" si="27"/>
        <v>0</v>
      </c>
      <c r="AP234" s="217">
        <f t="shared" si="26"/>
        <v>0</v>
      </c>
      <c r="AQ234" s="220"/>
    </row>
    <row r="235" ht="24" spans="2:43">
      <c r="B235" s="230" t="s">
        <v>530</v>
      </c>
      <c r="C235" s="231" t="s">
        <v>165</v>
      </c>
      <c r="D235" s="219" t="s">
        <v>178</v>
      </c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"/>
      <c r="AD235" s="19"/>
      <c r="AE235" s="19"/>
      <c r="AF235" s="19"/>
      <c r="AG235" s="19"/>
      <c r="AH235" s="19"/>
      <c r="AI235" s="19"/>
      <c r="AL235" s="216">
        <f t="shared" si="23"/>
        <v>0</v>
      </c>
      <c r="AM235" s="43">
        <f t="shared" si="24"/>
        <v>0</v>
      </c>
      <c r="AN235" s="217">
        <f t="shared" si="25"/>
        <v>0</v>
      </c>
      <c r="AO235" s="218">
        <f t="shared" si="27"/>
        <v>0</v>
      </c>
      <c r="AP235" s="217">
        <f t="shared" si="26"/>
        <v>0</v>
      </c>
      <c r="AQ235" s="220"/>
    </row>
    <row r="236" spans="2:43">
      <c r="B236" s="229" t="s">
        <v>531</v>
      </c>
      <c r="C236" s="227" t="s">
        <v>16</v>
      </c>
      <c r="D236" s="219" t="s">
        <v>178</v>
      </c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"/>
      <c r="AD236" s="19"/>
      <c r="AE236" s="19"/>
      <c r="AF236" s="19"/>
      <c r="AG236" s="19"/>
      <c r="AH236" s="19"/>
      <c r="AI236" s="19"/>
      <c r="AL236" s="216">
        <f t="shared" si="23"/>
        <v>0</v>
      </c>
      <c r="AM236" s="43">
        <f t="shared" si="24"/>
        <v>0</v>
      </c>
      <c r="AN236" s="217">
        <f t="shared" si="25"/>
        <v>0</v>
      </c>
      <c r="AO236" s="218">
        <f t="shared" si="27"/>
        <v>0</v>
      </c>
      <c r="AP236" s="217">
        <f t="shared" si="26"/>
        <v>0</v>
      </c>
      <c r="AQ236" s="220"/>
    </row>
    <row r="237" spans="2:43">
      <c r="B237" s="232" t="s">
        <v>532</v>
      </c>
      <c r="C237" s="233" t="s">
        <v>16</v>
      </c>
      <c r="D237" s="219" t="s">
        <v>178</v>
      </c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"/>
      <c r="AD237" s="19"/>
      <c r="AE237" s="19"/>
      <c r="AF237" s="19"/>
      <c r="AG237" s="19"/>
      <c r="AH237" s="19"/>
      <c r="AI237" s="19"/>
      <c r="AL237" s="216">
        <f t="shared" si="23"/>
        <v>0</v>
      </c>
      <c r="AM237" s="43">
        <f t="shared" si="24"/>
        <v>0</v>
      </c>
      <c r="AN237" s="217">
        <f t="shared" si="25"/>
        <v>0</v>
      </c>
      <c r="AO237" s="218">
        <f t="shared" si="27"/>
        <v>0</v>
      </c>
      <c r="AP237" s="217">
        <f t="shared" si="26"/>
        <v>0</v>
      </c>
      <c r="AQ237" s="220"/>
    </row>
    <row r="238" spans="2:43">
      <c r="B238" s="232" t="s">
        <v>533</v>
      </c>
      <c r="C238" s="233" t="s">
        <v>534</v>
      </c>
      <c r="D238" s="219" t="s">
        <v>178</v>
      </c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"/>
      <c r="AD238" s="19"/>
      <c r="AE238" s="19"/>
      <c r="AF238" s="19"/>
      <c r="AG238" s="19"/>
      <c r="AH238" s="19"/>
      <c r="AI238" s="19"/>
      <c r="AL238" s="216">
        <f t="shared" si="23"/>
        <v>0</v>
      </c>
      <c r="AM238" s="43">
        <f t="shared" si="24"/>
        <v>0</v>
      </c>
      <c r="AN238" s="217">
        <f t="shared" si="25"/>
        <v>0</v>
      </c>
      <c r="AO238" s="218">
        <f t="shared" si="27"/>
        <v>0</v>
      </c>
      <c r="AP238" s="217">
        <f t="shared" si="26"/>
        <v>0</v>
      </c>
      <c r="AQ238" s="220"/>
    </row>
    <row r="239" spans="2:43">
      <c r="B239" s="232" t="s">
        <v>535</v>
      </c>
      <c r="C239" s="233" t="s">
        <v>16</v>
      </c>
      <c r="D239" s="219" t="s">
        <v>178</v>
      </c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"/>
      <c r="AD239" s="19"/>
      <c r="AE239" s="19"/>
      <c r="AF239" s="19"/>
      <c r="AG239" s="19"/>
      <c r="AH239" s="19"/>
      <c r="AI239" s="19"/>
      <c r="AL239" s="216">
        <f t="shared" si="23"/>
        <v>0</v>
      </c>
      <c r="AM239" s="43">
        <f t="shared" si="24"/>
        <v>0</v>
      </c>
      <c r="AN239" s="217">
        <f t="shared" si="25"/>
        <v>0</v>
      </c>
      <c r="AO239" s="218">
        <f t="shared" si="27"/>
        <v>0</v>
      </c>
      <c r="AP239" s="217">
        <f t="shared" si="26"/>
        <v>0</v>
      </c>
      <c r="AQ239" s="220"/>
    </row>
    <row r="240" spans="2:43">
      <c r="B240" s="232" t="s">
        <v>536</v>
      </c>
      <c r="C240" s="233" t="s">
        <v>16</v>
      </c>
      <c r="D240" s="219" t="s">
        <v>178</v>
      </c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"/>
      <c r="AD240" s="19"/>
      <c r="AE240" s="19"/>
      <c r="AF240" s="19"/>
      <c r="AG240" s="19"/>
      <c r="AH240" s="19"/>
      <c r="AI240" s="19"/>
      <c r="AL240" s="216">
        <f t="shared" si="23"/>
        <v>0</v>
      </c>
      <c r="AM240" s="43">
        <f t="shared" si="24"/>
        <v>0</v>
      </c>
      <c r="AN240" s="217">
        <f t="shared" si="25"/>
        <v>0</v>
      </c>
      <c r="AO240" s="218">
        <f t="shared" si="27"/>
        <v>0</v>
      </c>
      <c r="AP240" s="217">
        <f t="shared" si="26"/>
        <v>0</v>
      </c>
      <c r="AQ240" s="220"/>
    </row>
    <row r="241" ht="24" spans="2:43">
      <c r="B241" s="232" t="s">
        <v>537</v>
      </c>
      <c r="C241" s="233" t="s">
        <v>16</v>
      </c>
      <c r="D241" s="219" t="s">
        <v>178</v>
      </c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"/>
      <c r="AD241" s="19"/>
      <c r="AE241" s="19"/>
      <c r="AF241" s="19"/>
      <c r="AG241" s="19"/>
      <c r="AH241" s="19"/>
      <c r="AI241" s="19"/>
      <c r="AL241" s="216">
        <f t="shared" si="23"/>
        <v>0</v>
      </c>
      <c r="AM241" s="43">
        <f t="shared" si="24"/>
        <v>0</v>
      </c>
      <c r="AN241" s="217">
        <f t="shared" si="25"/>
        <v>0</v>
      </c>
      <c r="AO241" s="218">
        <f t="shared" si="27"/>
        <v>0</v>
      </c>
      <c r="AP241" s="217">
        <f t="shared" si="26"/>
        <v>0</v>
      </c>
      <c r="AQ241" s="220"/>
    </row>
    <row r="242" spans="2:43">
      <c r="B242" s="232" t="s">
        <v>538</v>
      </c>
      <c r="C242" s="233" t="s">
        <v>16</v>
      </c>
      <c r="D242" s="219" t="s">
        <v>178</v>
      </c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"/>
      <c r="AD242" s="19"/>
      <c r="AE242" s="19"/>
      <c r="AF242" s="19"/>
      <c r="AG242" s="19"/>
      <c r="AH242" s="19"/>
      <c r="AI242" s="19"/>
      <c r="AL242" s="216">
        <f t="shared" si="23"/>
        <v>0</v>
      </c>
      <c r="AM242" s="43">
        <f t="shared" si="24"/>
        <v>0</v>
      </c>
      <c r="AN242" s="217">
        <f t="shared" si="25"/>
        <v>0</v>
      </c>
      <c r="AO242" s="218">
        <f t="shared" si="27"/>
        <v>0</v>
      </c>
      <c r="AP242" s="217">
        <f t="shared" si="26"/>
        <v>0</v>
      </c>
      <c r="AQ242" s="220"/>
    </row>
    <row r="243" spans="2:43">
      <c r="B243" s="232" t="s">
        <v>539</v>
      </c>
      <c r="C243" s="233" t="s">
        <v>16</v>
      </c>
      <c r="D243" s="219" t="s">
        <v>178</v>
      </c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"/>
      <c r="AD243" s="19"/>
      <c r="AE243" s="19"/>
      <c r="AF243" s="19"/>
      <c r="AG243" s="19"/>
      <c r="AH243" s="19"/>
      <c r="AI243" s="19"/>
      <c r="AL243" s="216">
        <f t="shared" si="23"/>
        <v>0</v>
      </c>
      <c r="AM243" s="43">
        <f t="shared" si="24"/>
        <v>0</v>
      </c>
      <c r="AN243" s="217">
        <f t="shared" si="25"/>
        <v>0</v>
      </c>
      <c r="AO243" s="218">
        <f t="shared" si="27"/>
        <v>0</v>
      </c>
      <c r="AP243" s="217">
        <f t="shared" si="26"/>
        <v>0</v>
      </c>
      <c r="AQ243" s="220"/>
    </row>
    <row r="244" spans="2:43">
      <c r="B244" s="232" t="s">
        <v>540</v>
      </c>
      <c r="C244" s="233" t="s">
        <v>16</v>
      </c>
      <c r="D244" s="219" t="s">
        <v>178</v>
      </c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"/>
      <c r="AD244" s="19"/>
      <c r="AE244" s="19"/>
      <c r="AF244" s="19"/>
      <c r="AG244" s="19"/>
      <c r="AH244" s="19"/>
      <c r="AI244" s="19"/>
      <c r="AL244" s="216">
        <f t="shared" si="23"/>
        <v>0</v>
      </c>
      <c r="AM244" s="43">
        <f t="shared" si="24"/>
        <v>0</v>
      </c>
      <c r="AN244" s="217">
        <f t="shared" si="25"/>
        <v>0</v>
      </c>
      <c r="AO244" s="218">
        <f t="shared" si="27"/>
        <v>0</v>
      </c>
      <c r="AP244" s="217">
        <f t="shared" si="26"/>
        <v>0</v>
      </c>
      <c r="AQ244" s="220"/>
    </row>
    <row r="245" spans="2:43">
      <c r="B245" s="232" t="s">
        <v>541</v>
      </c>
      <c r="C245" s="233" t="s">
        <v>16</v>
      </c>
      <c r="D245" s="219" t="s">
        <v>178</v>
      </c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"/>
      <c r="AD245" s="19"/>
      <c r="AE245" s="19"/>
      <c r="AF245" s="19"/>
      <c r="AG245" s="19"/>
      <c r="AH245" s="19"/>
      <c r="AI245" s="19"/>
      <c r="AL245" s="216">
        <f t="shared" si="23"/>
        <v>0</v>
      </c>
      <c r="AM245" s="43">
        <f t="shared" si="24"/>
        <v>0</v>
      </c>
      <c r="AN245" s="217">
        <f t="shared" si="25"/>
        <v>0</v>
      </c>
      <c r="AO245" s="218">
        <f t="shared" si="27"/>
        <v>0</v>
      </c>
      <c r="AP245" s="217">
        <f t="shared" si="26"/>
        <v>0</v>
      </c>
      <c r="AQ245" s="220"/>
    </row>
    <row r="246" spans="2:43">
      <c r="B246" s="232" t="s">
        <v>542</v>
      </c>
      <c r="C246" s="233" t="s">
        <v>165</v>
      </c>
      <c r="D246" s="219" t="s">
        <v>178</v>
      </c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"/>
      <c r="AD246" s="19"/>
      <c r="AE246" s="19"/>
      <c r="AF246" s="19"/>
      <c r="AG246" s="19"/>
      <c r="AH246" s="19"/>
      <c r="AI246" s="19"/>
      <c r="AL246" s="216">
        <f t="shared" si="23"/>
        <v>0</v>
      </c>
      <c r="AM246" s="43">
        <f t="shared" si="24"/>
        <v>0</v>
      </c>
      <c r="AN246" s="217">
        <f t="shared" si="25"/>
        <v>0</v>
      </c>
      <c r="AO246" s="218">
        <f t="shared" si="27"/>
        <v>0</v>
      </c>
      <c r="AP246" s="217">
        <f t="shared" si="26"/>
        <v>0</v>
      </c>
      <c r="AQ246" s="220"/>
    </row>
    <row r="247" spans="2:43">
      <c r="B247" s="232" t="s">
        <v>543</v>
      </c>
      <c r="C247" s="233" t="s">
        <v>16</v>
      </c>
      <c r="D247" s="219" t="s">
        <v>178</v>
      </c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"/>
      <c r="AD247" s="19"/>
      <c r="AE247" s="19"/>
      <c r="AF247" s="19"/>
      <c r="AG247" s="19"/>
      <c r="AH247" s="19"/>
      <c r="AI247" s="19"/>
      <c r="AL247" s="216">
        <f t="shared" si="23"/>
        <v>0</v>
      </c>
      <c r="AM247" s="43">
        <f t="shared" si="24"/>
        <v>0</v>
      </c>
      <c r="AN247" s="217">
        <f t="shared" si="25"/>
        <v>0</v>
      </c>
      <c r="AO247" s="218">
        <f t="shared" si="27"/>
        <v>0</v>
      </c>
      <c r="AP247" s="217">
        <f t="shared" si="26"/>
        <v>0</v>
      </c>
      <c r="AQ247" s="220"/>
    </row>
    <row r="248" spans="2:43">
      <c r="B248" s="232" t="s">
        <v>544</v>
      </c>
      <c r="C248" s="233" t="s">
        <v>16</v>
      </c>
      <c r="D248" s="219" t="s">
        <v>178</v>
      </c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"/>
      <c r="AD248" s="19"/>
      <c r="AE248" s="19"/>
      <c r="AF248" s="19"/>
      <c r="AG248" s="19"/>
      <c r="AH248" s="19"/>
      <c r="AI248" s="19"/>
      <c r="AL248" s="216">
        <f t="shared" si="23"/>
        <v>0</v>
      </c>
      <c r="AM248" s="43">
        <f t="shared" si="24"/>
        <v>0</v>
      </c>
      <c r="AN248" s="217">
        <f t="shared" si="25"/>
        <v>0</v>
      </c>
      <c r="AO248" s="218">
        <f t="shared" si="27"/>
        <v>0</v>
      </c>
      <c r="AP248" s="217">
        <f t="shared" si="26"/>
        <v>0</v>
      </c>
      <c r="AQ248" s="220"/>
    </row>
    <row r="249" spans="2:43">
      <c r="B249" s="232" t="s">
        <v>545</v>
      </c>
      <c r="C249" s="233" t="s">
        <v>16</v>
      </c>
      <c r="D249" s="219" t="s">
        <v>178</v>
      </c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"/>
      <c r="AD249" s="19"/>
      <c r="AE249" s="19"/>
      <c r="AF249" s="19"/>
      <c r="AG249" s="19"/>
      <c r="AH249" s="19"/>
      <c r="AI249" s="19"/>
      <c r="AL249" s="216">
        <f t="shared" si="23"/>
        <v>0</v>
      </c>
      <c r="AM249" s="43">
        <f t="shared" si="24"/>
        <v>0</v>
      </c>
      <c r="AN249" s="217">
        <f t="shared" si="25"/>
        <v>0</v>
      </c>
      <c r="AO249" s="218">
        <f t="shared" si="27"/>
        <v>0</v>
      </c>
      <c r="AP249" s="217">
        <f t="shared" si="26"/>
        <v>0</v>
      </c>
      <c r="AQ249" s="220"/>
    </row>
    <row r="250" spans="2:43">
      <c r="B250" s="232" t="s">
        <v>546</v>
      </c>
      <c r="C250" s="233" t="s">
        <v>165</v>
      </c>
      <c r="D250" s="219" t="s">
        <v>178</v>
      </c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"/>
      <c r="AD250" s="19"/>
      <c r="AE250" s="19"/>
      <c r="AF250" s="19"/>
      <c r="AG250" s="19"/>
      <c r="AH250" s="19"/>
      <c r="AI250" s="19"/>
      <c r="AL250" s="216">
        <f t="shared" si="23"/>
        <v>0</v>
      </c>
      <c r="AM250" s="43">
        <f t="shared" si="24"/>
        <v>0</v>
      </c>
      <c r="AN250" s="217">
        <f t="shared" si="25"/>
        <v>0</v>
      </c>
      <c r="AO250" s="218">
        <f t="shared" si="27"/>
        <v>0</v>
      </c>
      <c r="AP250" s="217">
        <f t="shared" si="26"/>
        <v>0</v>
      </c>
      <c r="AQ250" s="220"/>
    </row>
    <row r="251" ht="24" spans="2:43">
      <c r="B251" s="232" t="s">
        <v>547</v>
      </c>
      <c r="C251" s="233" t="s">
        <v>16</v>
      </c>
      <c r="D251" s="219" t="s">
        <v>178</v>
      </c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"/>
      <c r="AD251" s="19"/>
      <c r="AE251" s="19"/>
      <c r="AF251" s="19"/>
      <c r="AG251" s="19"/>
      <c r="AH251" s="19"/>
      <c r="AI251" s="19"/>
      <c r="AL251" s="216">
        <f t="shared" si="23"/>
        <v>0</v>
      </c>
      <c r="AM251" s="43">
        <f t="shared" si="24"/>
        <v>0</v>
      </c>
      <c r="AN251" s="217">
        <f t="shared" si="25"/>
        <v>0</v>
      </c>
      <c r="AO251" s="218">
        <f t="shared" si="27"/>
        <v>0</v>
      </c>
      <c r="AP251" s="217">
        <f t="shared" si="26"/>
        <v>0</v>
      </c>
      <c r="AQ251" s="220"/>
    </row>
    <row r="252" spans="2:43">
      <c r="B252" s="232" t="s">
        <v>548</v>
      </c>
      <c r="C252" s="233" t="s">
        <v>534</v>
      </c>
      <c r="D252" s="219" t="s">
        <v>178</v>
      </c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"/>
      <c r="AD252" s="19"/>
      <c r="AE252" s="19"/>
      <c r="AF252" s="19"/>
      <c r="AG252" s="19"/>
      <c r="AH252" s="19"/>
      <c r="AI252" s="19"/>
      <c r="AL252" s="216">
        <f t="shared" ref="AL252:AL258" si="28">COUNTIF(E252:AI252,"S")</f>
        <v>0</v>
      </c>
      <c r="AM252" s="43">
        <f t="shared" ref="AM252:AM258" si="29">COUNTIF(E252:AI252,"I")</f>
        <v>0</v>
      </c>
      <c r="AN252" s="217">
        <f t="shared" ref="AN252:AN258" si="30">COUNTIF(E252:AI252,"A")</f>
        <v>0</v>
      </c>
      <c r="AO252" s="218">
        <f t="shared" si="27"/>
        <v>0</v>
      </c>
      <c r="AP252" s="217">
        <f t="shared" ref="AP252:AP258" si="31">SUM(AK252:AN252)</f>
        <v>0</v>
      </c>
      <c r="AQ252" s="220"/>
    </row>
    <row r="253" spans="2:43">
      <c r="B253" s="232" t="s">
        <v>549</v>
      </c>
      <c r="C253" s="233" t="s">
        <v>16</v>
      </c>
      <c r="D253" s="219" t="s">
        <v>178</v>
      </c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"/>
      <c r="AD253" s="19"/>
      <c r="AE253" s="19"/>
      <c r="AF253" s="19"/>
      <c r="AG253" s="19"/>
      <c r="AH253" s="19"/>
      <c r="AI253" s="19"/>
      <c r="AL253" s="216">
        <f t="shared" si="28"/>
        <v>0</v>
      </c>
      <c r="AM253" s="43">
        <f t="shared" si="29"/>
        <v>0</v>
      </c>
      <c r="AN253" s="217">
        <f t="shared" si="30"/>
        <v>0</v>
      </c>
      <c r="AO253" s="218">
        <f t="shared" si="27"/>
        <v>0</v>
      </c>
      <c r="AP253" s="217">
        <f t="shared" si="31"/>
        <v>0</v>
      </c>
      <c r="AQ253" s="220"/>
    </row>
    <row r="254" ht="24" spans="2:43">
      <c r="B254" s="232" t="s">
        <v>550</v>
      </c>
      <c r="C254" s="233" t="s">
        <v>165</v>
      </c>
      <c r="D254" s="219" t="s">
        <v>178</v>
      </c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"/>
      <c r="AD254" s="19"/>
      <c r="AE254" s="19"/>
      <c r="AF254" s="19"/>
      <c r="AG254" s="19"/>
      <c r="AH254" s="19"/>
      <c r="AI254" s="19"/>
      <c r="AL254" s="216">
        <f t="shared" si="28"/>
        <v>0</v>
      </c>
      <c r="AM254" s="43">
        <f t="shared" si="29"/>
        <v>0</v>
      </c>
      <c r="AN254" s="217">
        <f t="shared" si="30"/>
        <v>0</v>
      </c>
      <c r="AO254" s="218">
        <f t="shared" si="27"/>
        <v>0</v>
      </c>
      <c r="AP254" s="217">
        <f t="shared" si="31"/>
        <v>0</v>
      </c>
      <c r="AQ254" s="220"/>
    </row>
    <row r="255" spans="2:43">
      <c r="B255" s="232" t="s">
        <v>551</v>
      </c>
      <c r="C255" s="233" t="s">
        <v>165</v>
      </c>
      <c r="D255" s="219" t="s">
        <v>178</v>
      </c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"/>
      <c r="AD255" s="19"/>
      <c r="AE255" s="19"/>
      <c r="AF255" s="19"/>
      <c r="AG255" s="19"/>
      <c r="AH255" s="19"/>
      <c r="AI255" s="19"/>
      <c r="AL255" s="216">
        <f t="shared" si="28"/>
        <v>0</v>
      </c>
      <c r="AM255" s="43">
        <f t="shared" si="29"/>
        <v>0</v>
      </c>
      <c r="AN255" s="217">
        <f t="shared" si="30"/>
        <v>0</v>
      </c>
      <c r="AO255" s="218">
        <f t="shared" si="27"/>
        <v>0</v>
      </c>
      <c r="AP255" s="217">
        <f t="shared" si="31"/>
        <v>0</v>
      </c>
      <c r="AQ255" s="220"/>
    </row>
    <row r="256" spans="2:43">
      <c r="B256" s="232" t="s">
        <v>552</v>
      </c>
      <c r="C256" s="233" t="s">
        <v>16</v>
      </c>
      <c r="D256" s="219" t="s">
        <v>178</v>
      </c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"/>
      <c r="AD256" s="19"/>
      <c r="AE256" s="19"/>
      <c r="AF256" s="19"/>
      <c r="AG256" s="19"/>
      <c r="AH256" s="19"/>
      <c r="AI256" s="19"/>
      <c r="AL256" s="216">
        <f t="shared" si="28"/>
        <v>0</v>
      </c>
      <c r="AM256" s="43">
        <f t="shared" si="29"/>
        <v>0</v>
      </c>
      <c r="AN256" s="217">
        <f t="shared" si="30"/>
        <v>0</v>
      </c>
      <c r="AO256" s="218">
        <f t="shared" si="27"/>
        <v>0</v>
      </c>
      <c r="AP256" s="217">
        <f t="shared" si="31"/>
        <v>0</v>
      </c>
      <c r="AQ256" s="234"/>
    </row>
    <row r="257" spans="2:43">
      <c r="B257" s="232" t="s">
        <v>553</v>
      </c>
      <c r="C257" s="233" t="s">
        <v>16</v>
      </c>
      <c r="D257" s="219" t="s">
        <v>178</v>
      </c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"/>
      <c r="AD257" s="19"/>
      <c r="AE257" s="19"/>
      <c r="AF257" s="19"/>
      <c r="AG257" s="19"/>
      <c r="AH257" s="19"/>
      <c r="AI257" s="19"/>
      <c r="AL257" s="216">
        <f t="shared" si="28"/>
        <v>0</v>
      </c>
      <c r="AM257" s="43">
        <f t="shared" si="29"/>
        <v>0</v>
      </c>
      <c r="AN257" s="217">
        <f t="shared" si="30"/>
        <v>0</v>
      </c>
      <c r="AO257" s="218">
        <f t="shared" si="27"/>
        <v>0</v>
      </c>
      <c r="AP257" s="217">
        <f t="shared" si="31"/>
        <v>0</v>
      </c>
      <c r="AQ257" s="234"/>
    </row>
    <row r="258" spans="2:43">
      <c r="B258" s="232" t="s">
        <v>554</v>
      </c>
      <c r="C258" s="233" t="s">
        <v>16</v>
      </c>
      <c r="D258" s="219" t="s">
        <v>178</v>
      </c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"/>
      <c r="AD258" s="19"/>
      <c r="AE258" s="19"/>
      <c r="AF258" s="19"/>
      <c r="AG258" s="19"/>
      <c r="AH258" s="19"/>
      <c r="AI258" s="19"/>
      <c r="AL258" s="216">
        <f t="shared" si="28"/>
        <v>0</v>
      </c>
      <c r="AM258" s="43">
        <f t="shared" si="29"/>
        <v>0</v>
      </c>
      <c r="AN258" s="217">
        <f t="shared" si="30"/>
        <v>0</v>
      </c>
      <c r="AO258" s="218">
        <f t="shared" si="27"/>
        <v>0</v>
      </c>
      <c r="AP258" s="217">
        <f t="shared" si="31"/>
        <v>0</v>
      </c>
      <c r="AQ258" s="234"/>
    </row>
  </sheetData>
  <autoFilter xmlns:etc="http://www.wps.cn/officeDocument/2017/etCustomData" ref="A11:AS263" etc:filterBottomFollowUsedRange="0">
    <extLst/>
  </autoFilter>
  <mergeCells count="13">
    <mergeCell ref="E10:AI10"/>
    <mergeCell ref="AL10:AO10"/>
    <mergeCell ref="A10:A11"/>
    <mergeCell ref="B10:B11"/>
    <mergeCell ref="C10:C11"/>
    <mergeCell ref="D10:D11"/>
    <mergeCell ref="AK10:AK11"/>
    <mergeCell ref="AP10:AP11"/>
    <mergeCell ref="AQ10:AQ11"/>
    <mergeCell ref="AR10:AR11"/>
    <mergeCell ref="AS10:AS11"/>
    <mergeCell ref="E4:AI6"/>
    <mergeCell ref="E7:AI8"/>
  </mergeCells>
  <conditionalFormatting sqref="O13">
    <cfRule type="containsText" dxfId="3" priority="31" operator="between" text="OFF">
      <formula>NOT(ISERROR(SEARCH("OFF",O13)))</formula>
    </cfRule>
    <cfRule type="containsText" dxfId="4" priority="32" operator="between" text="OFF">
      <formula>NOT(ISERROR(SEARCH("OFF",O13)))</formula>
    </cfRule>
    <cfRule type="containsText" dxfId="5" priority="33" operator="between" text="S">
      <formula>NOT(ISERROR(SEARCH("S",O13)))</formula>
    </cfRule>
    <cfRule type="containsText" dxfId="6" priority="34" operator="between" text="I">
      <formula>NOT(ISERROR(SEARCH("I",O13)))</formula>
    </cfRule>
    <cfRule type="containsText" dxfId="7" priority="35" operator="between" text="A">
      <formula>NOT(ISERROR(SEARCH("A",O13)))</formula>
    </cfRule>
    <cfRule type="containsText" dxfId="8" priority="36" operator="between" text="L">
      <formula>NOT(ISERROR(SEARCH("L",O13)))</formula>
    </cfRule>
    <cfRule type="containsText" dxfId="6" priority="37" operator="between" text="A">
      <formula>NOT(ISERROR(SEARCH("A",O13)))</formula>
    </cfRule>
    <cfRule type="containsText" dxfId="7" priority="38" operator="between" text="S">
      <formula>NOT(ISERROR(SEARCH("S",O13)))</formula>
    </cfRule>
    <cfRule type="containsText" dxfId="5" priority="39" operator="between" text="OFF">
      <formula>NOT(ISERROR(SEARCH("OFF",O13)))</formula>
    </cfRule>
    <cfRule type="containsText" dxfId="7" priority="40" operator="between" text="OFF">
      <formula>NOT(ISERROR(SEARCH("OFF",O13)))</formula>
    </cfRule>
  </conditionalFormatting>
  <conditionalFormatting sqref="I61">
    <cfRule type="containsText" dxfId="3" priority="211" operator="between" text="OFF">
      <formula>NOT(ISERROR(SEARCH("OFF",I61)))</formula>
    </cfRule>
    <cfRule type="containsText" dxfId="4" priority="212" operator="between" text="OFF">
      <formula>NOT(ISERROR(SEARCH("OFF",I61)))</formula>
    </cfRule>
    <cfRule type="containsText" dxfId="5" priority="213" operator="between" text="S">
      <formula>NOT(ISERROR(SEARCH("S",I61)))</formula>
    </cfRule>
    <cfRule type="containsText" dxfId="6" priority="214" operator="between" text="I">
      <formula>NOT(ISERROR(SEARCH("I",I61)))</formula>
    </cfRule>
    <cfRule type="containsText" dxfId="7" priority="215" operator="between" text="A">
      <formula>NOT(ISERROR(SEARCH("A",I61)))</formula>
    </cfRule>
    <cfRule type="containsText" dxfId="8" priority="216" operator="between" text="L">
      <formula>NOT(ISERROR(SEARCH("L",I61)))</formula>
    </cfRule>
    <cfRule type="containsText" dxfId="6" priority="217" operator="between" text="A">
      <formula>NOT(ISERROR(SEARCH("A",I61)))</formula>
    </cfRule>
    <cfRule type="containsText" dxfId="7" priority="218" operator="between" text="S">
      <formula>NOT(ISERROR(SEARCH("S",I61)))</formula>
    </cfRule>
    <cfRule type="containsText" dxfId="5" priority="219" operator="between" text="OFF">
      <formula>NOT(ISERROR(SEARCH("OFF",I61)))</formula>
    </cfRule>
    <cfRule type="containsText" dxfId="7" priority="220" operator="between" text="OFF">
      <formula>NOT(ISERROR(SEARCH("OFF",I61)))</formula>
    </cfRule>
  </conditionalFormatting>
  <conditionalFormatting sqref="E151:F151">
    <cfRule type="containsText" dxfId="3" priority="2611" operator="between" text="OFF">
      <formula>NOT(ISERROR(SEARCH("OFF",E151)))</formula>
    </cfRule>
    <cfRule type="containsText" dxfId="4" priority="2612" operator="between" text="OFF">
      <formula>NOT(ISERROR(SEARCH("OFF",E151)))</formula>
    </cfRule>
    <cfRule type="containsText" dxfId="5" priority="2613" operator="between" text="S">
      <formula>NOT(ISERROR(SEARCH("S",E151)))</formula>
    </cfRule>
    <cfRule type="containsText" dxfId="6" priority="2614" operator="between" text="I">
      <formula>NOT(ISERROR(SEARCH("I",E151)))</formula>
    </cfRule>
    <cfRule type="containsText" dxfId="7" priority="2615" operator="between" text="A">
      <formula>NOT(ISERROR(SEARCH("A",E151)))</formula>
    </cfRule>
    <cfRule type="containsText" dxfId="8" priority="2616" operator="between" text="L">
      <formula>NOT(ISERROR(SEARCH("L",E151)))</formula>
    </cfRule>
    <cfRule type="containsText" dxfId="6" priority="2617" operator="between" text="A">
      <formula>NOT(ISERROR(SEARCH("A",E151)))</formula>
    </cfRule>
    <cfRule type="containsText" dxfId="7" priority="2618" operator="between" text="S">
      <formula>NOT(ISERROR(SEARCH("S",E151)))</formula>
    </cfRule>
    <cfRule type="containsText" dxfId="5" priority="2619" operator="between" text="OFF">
      <formula>NOT(ISERROR(SEARCH("OFF",E151)))</formula>
    </cfRule>
    <cfRule type="containsText" dxfId="7" priority="2620" operator="between" text="OFF">
      <formula>NOT(ISERROR(SEARCH("OFF",E151)))</formula>
    </cfRule>
  </conditionalFormatting>
  <conditionalFormatting sqref="G151">
    <cfRule type="containsText" dxfId="3" priority="511" operator="between" text="OFF">
      <formula>NOT(ISERROR(SEARCH("OFF",G151)))</formula>
    </cfRule>
    <cfRule type="containsText" dxfId="4" priority="512" operator="between" text="OFF">
      <formula>NOT(ISERROR(SEARCH("OFF",G151)))</formula>
    </cfRule>
    <cfRule type="containsText" dxfId="5" priority="513" operator="between" text="S">
      <formula>NOT(ISERROR(SEARCH("S",G151)))</formula>
    </cfRule>
    <cfRule type="containsText" dxfId="6" priority="514" operator="between" text="I">
      <formula>NOT(ISERROR(SEARCH("I",G151)))</formula>
    </cfRule>
    <cfRule type="containsText" dxfId="7" priority="515" operator="between" text="A">
      <formula>NOT(ISERROR(SEARCH("A",G151)))</formula>
    </cfRule>
    <cfRule type="containsText" dxfId="8" priority="516" operator="between" text="L">
      <formula>NOT(ISERROR(SEARCH("L",G151)))</formula>
    </cfRule>
    <cfRule type="containsText" dxfId="6" priority="517" operator="between" text="A">
      <formula>NOT(ISERROR(SEARCH("A",G151)))</formula>
    </cfRule>
    <cfRule type="containsText" dxfId="7" priority="518" operator="between" text="S">
      <formula>NOT(ISERROR(SEARCH("S",G151)))</formula>
    </cfRule>
    <cfRule type="containsText" dxfId="5" priority="519" operator="between" text="OFF">
      <formula>NOT(ISERROR(SEARCH("OFF",G151)))</formula>
    </cfRule>
    <cfRule type="containsText" dxfId="7" priority="520" operator="between" text="OFF">
      <formula>NOT(ISERROR(SEARCH("OFF",G151)))</formula>
    </cfRule>
  </conditionalFormatting>
  <conditionalFormatting sqref="H151">
    <cfRule type="containsText" dxfId="3" priority="421" operator="between" text="OFF">
      <formula>NOT(ISERROR(SEARCH("OFF",H151)))</formula>
    </cfRule>
    <cfRule type="containsText" dxfId="4" priority="422" operator="between" text="OFF">
      <formula>NOT(ISERROR(SEARCH("OFF",H151)))</formula>
    </cfRule>
    <cfRule type="containsText" dxfId="5" priority="423" operator="between" text="S">
      <formula>NOT(ISERROR(SEARCH("S",H151)))</formula>
    </cfRule>
    <cfRule type="containsText" dxfId="6" priority="424" operator="between" text="I">
      <formula>NOT(ISERROR(SEARCH("I",H151)))</formula>
    </cfRule>
    <cfRule type="containsText" dxfId="7" priority="425" operator="between" text="A">
      <formula>NOT(ISERROR(SEARCH("A",H151)))</formula>
    </cfRule>
    <cfRule type="containsText" dxfId="8" priority="426" operator="between" text="L">
      <formula>NOT(ISERROR(SEARCH("L",H151)))</formula>
    </cfRule>
    <cfRule type="containsText" dxfId="6" priority="427" operator="between" text="A">
      <formula>NOT(ISERROR(SEARCH("A",H151)))</formula>
    </cfRule>
    <cfRule type="containsText" dxfId="7" priority="428" operator="between" text="S">
      <formula>NOT(ISERROR(SEARCH("S",H151)))</formula>
    </cfRule>
    <cfRule type="containsText" dxfId="5" priority="429" operator="between" text="OFF">
      <formula>NOT(ISERROR(SEARCH("OFF",H151)))</formula>
    </cfRule>
    <cfRule type="containsText" dxfId="7" priority="430" operator="between" text="OFF">
      <formula>NOT(ISERROR(SEARCH("OFF",H151)))</formula>
    </cfRule>
  </conditionalFormatting>
  <conditionalFormatting sqref="I151">
    <cfRule type="containsText" dxfId="3" priority="271" operator="between" text="OFF">
      <formula>NOT(ISERROR(SEARCH("OFF",I151)))</formula>
    </cfRule>
    <cfRule type="containsText" dxfId="4" priority="272" operator="between" text="OFF">
      <formula>NOT(ISERROR(SEARCH("OFF",I151)))</formula>
    </cfRule>
    <cfRule type="containsText" dxfId="5" priority="273" operator="between" text="S">
      <formula>NOT(ISERROR(SEARCH("S",I151)))</formula>
    </cfRule>
    <cfRule type="containsText" dxfId="6" priority="274" operator="between" text="I">
      <formula>NOT(ISERROR(SEARCH("I",I151)))</formula>
    </cfRule>
    <cfRule type="containsText" dxfId="7" priority="275" operator="between" text="A">
      <formula>NOT(ISERROR(SEARCH("A",I151)))</formula>
    </cfRule>
    <cfRule type="containsText" dxfId="8" priority="276" operator="between" text="L">
      <formula>NOT(ISERROR(SEARCH("L",I151)))</formula>
    </cfRule>
    <cfRule type="containsText" dxfId="6" priority="277" operator="between" text="A">
      <formula>NOT(ISERROR(SEARCH("A",I151)))</formula>
    </cfRule>
    <cfRule type="containsText" dxfId="7" priority="278" operator="between" text="S">
      <formula>NOT(ISERROR(SEARCH("S",I151)))</formula>
    </cfRule>
    <cfRule type="containsText" dxfId="5" priority="279" operator="between" text="OFF">
      <formula>NOT(ISERROR(SEARCH("OFF",I151)))</formula>
    </cfRule>
    <cfRule type="containsText" dxfId="7" priority="280" operator="between" text="OFF">
      <formula>NOT(ISERROR(SEARCH("OFF",I151)))</formula>
    </cfRule>
  </conditionalFormatting>
  <conditionalFormatting sqref="E165:F165">
    <cfRule type="containsText" dxfId="3" priority="2621" operator="between" text="OFF">
      <formula>NOT(ISERROR(SEARCH("OFF",E165)))</formula>
    </cfRule>
    <cfRule type="containsText" dxfId="4" priority="2622" operator="between" text="OFF">
      <formula>NOT(ISERROR(SEARCH("OFF",E165)))</formula>
    </cfRule>
    <cfRule type="containsText" dxfId="5" priority="2623" operator="between" text="S">
      <formula>NOT(ISERROR(SEARCH("S",E165)))</formula>
    </cfRule>
    <cfRule type="containsText" dxfId="6" priority="2624" operator="between" text="I">
      <formula>NOT(ISERROR(SEARCH("I",E165)))</formula>
    </cfRule>
    <cfRule type="containsText" dxfId="7" priority="2625" operator="between" text="A">
      <formula>NOT(ISERROR(SEARCH("A",E165)))</formula>
    </cfRule>
    <cfRule type="containsText" dxfId="8" priority="2626" operator="between" text="L">
      <formula>NOT(ISERROR(SEARCH("L",E165)))</formula>
    </cfRule>
    <cfRule type="containsText" dxfId="6" priority="2627" operator="between" text="A">
      <formula>NOT(ISERROR(SEARCH("A",E165)))</formula>
    </cfRule>
    <cfRule type="containsText" dxfId="7" priority="2628" operator="between" text="S">
      <formula>NOT(ISERROR(SEARCH("S",E165)))</formula>
    </cfRule>
    <cfRule type="containsText" dxfId="5" priority="2629" operator="between" text="OFF">
      <formula>NOT(ISERROR(SEARCH("OFF",E165)))</formula>
    </cfRule>
    <cfRule type="containsText" dxfId="7" priority="2630" operator="between" text="OFF">
      <formula>NOT(ISERROR(SEARCH("OFF",E165)))</formula>
    </cfRule>
  </conditionalFormatting>
  <conditionalFormatting sqref="G165">
    <cfRule type="containsText" dxfId="3" priority="521" operator="between" text="OFF">
      <formula>NOT(ISERROR(SEARCH("OFF",G165)))</formula>
    </cfRule>
    <cfRule type="containsText" dxfId="4" priority="522" operator="between" text="OFF">
      <formula>NOT(ISERROR(SEARCH("OFF",G165)))</formula>
    </cfRule>
    <cfRule type="containsText" dxfId="5" priority="523" operator="between" text="S">
      <formula>NOT(ISERROR(SEARCH("S",G165)))</formula>
    </cfRule>
    <cfRule type="containsText" dxfId="6" priority="524" operator="between" text="I">
      <formula>NOT(ISERROR(SEARCH("I",G165)))</formula>
    </cfRule>
    <cfRule type="containsText" dxfId="7" priority="525" operator="between" text="A">
      <formula>NOT(ISERROR(SEARCH("A",G165)))</formula>
    </cfRule>
    <cfRule type="containsText" dxfId="8" priority="526" operator="between" text="L">
      <formula>NOT(ISERROR(SEARCH("L",G165)))</formula>
    </cfRule>
    <cfRule type="containsText" dxfId="6" priority="527" operator="between" text="A">
      <formula>NOT(ISERROR(SEARCH("A",G165)))</formula>
    </cfRule>
    <cfRule type="containsText" dxfId="7" priority="528" operator="between" text="S">
      <formula>NOT(ISERROR(SEARCH("S",G165)))</formula>
    </cfRule>
    <cfRule type="containsText" dxfId="5" priority="529" operator="between" text="OFF">
      <formula>NOT(ISERROR(SEARCH("OFF",G165)))</formula>
    </cfRule>
    <cfRule type="containsText" dxfId="7" priority="530" operator="between" text="OFF">
      <formula>NOT(ISERROR(SEARCH("OFF",G165)))</formula>
    </cfRule>
  </conditionalFormatting>
  <conditionalFormatting sqref="H165">
    <cfRule type="containsText" dxfId="3" priority="431" operator="between" text="OFF">
      <formula>NOT(ISERROR(SEARCH("OFF",H165)))</formula>
    </cfRule>
    <cfRule type="containsText" dxfId="4" priority="432" operator="between" text="OFF">
      <formula>NOT(ISERROR(SEARCH("OFF",H165)))</formula>
    </cfRule>
    <cfRule type="containsText" dxfId="5" priority="433" operator="between" text="S">
      <formula>NOT(ISERROR(SEARCH("S",H165)))</formula>
    </cfRule>
    <cfRule type="containsText" dxfId="6" priority="434" operator="between" text="I">
      <formula>NOT(ISERROR(SEARCH("I",H165)))</formula>
    </cfRule>
    <cfRule type="containsText" dxfId="7" priority="435" operator="between" text="A">
      <formula>NOT(ISERROR(SEARCH("A",H165)))</formula>
    </cfRule>
    <cfRule type="containsText" dxfId="8" priority="436" operator="between" text="L">
      <formula>NOT(ISERROR(SEARCH("L",H165)))</formula>
    </cfRule>
    <cfRule type="containsText" dxfId="6" priority="437" operator="between" text="A">
      <formula>NOT(ISERROR(SEARCH("A",H165)))</formula>
    </cfRule>
    <cfRule type="containsText" dxfId="7" priority="438" operator="between" text="S">
      <formula>NOT(ISERROR(SEARCH("S",H165)))</formula>
    </cfRule>
    <cfRule type="containsText" dxfId="5" priority="439" operator="between" text="OFF">
      <formula>NOT(ISERROR(SEARCH("OFF",H165)))</formula>
    </cfRule>
    <cfRule type="containsText" dxfId="7" priority="440" operator="between" text="OFF">
      <formula>NOT(ISERROR(SEARCH("OFF",H165)))</formula>
    </cfRule>
  </conditionalFormatting>
  <conditionalFormatting sqref="I165">
    <cfRule type="containsText" dxfId="3" priority="281" operator="between" text="OFF">
      <formula>NOT(ISERROR(SEARCH("OFF",I165)))</formula>
    </cfRule>
    <cfRule type="containsText" dxfId="4" priority="282" operator="between" text="OFF">
      <formula>NOT(ISERROR(SEARCH("OFF",I165)))</formula>
    </cfRule>
    <cfRule type="containsText" dxfId="5" priority="283" operator="between" text="S">
      <formula>NOT(ISERROR(SEARCH("S",I165)))</formula>
    </cfRule>
    <cfRule type="containsText" dxfId="6" priority="284" operator="between" text="I">
      <formula>NOT(ISERROR(SEARCH("I",I165)))</formula>
    </cfRule>
    <cfRule type="containsText" dxfId="7" priority="285" operator="between" text="A">
      <formula>NOT(ISERROR(SEARCH("A",I165)))</formula>
    </cfRule>
    <cfRule type="containsText" dxfId="8" priority="286" operator="between" text="L">
      <formula>NOT(ISERROR(SEARCH("L",I165)))</formula>
    </cfRule>
    <cfRule type="containsText" dxfId="6" priority="287" operator="between" text="A">
      <formula>NOT(ISERROR(SEARCH("A",I165)))</formula>
    </cfRule>
    <cfRule type="containsText" dxfId="7" priority="288" operator="between" text="S">
      <formula>NOT(ISERROR(SEARCH("S",I165)))</formula>
    </cfRule>
    <cfRule type="containsText" dxfId="5" priority="289" operator="between" text="OFF">
      <formula>NOT(ISERROR(SEARCH("OFF",I165)))</formula>
    </cfRule>
    <cfRule type="containsText" dxfId="7" priority="290" operator="between" text="OFF">
      <formula>NOT(ISERROR(SEARCH("OFF",I165)))</formula>
    </cfRule>
  </conditionalFormatting>
  <conditionalFormatting sqref="A168">
    <cfRule type="containsText" dxfId="3" priority="2701" operator="between" text="OFF">
      <formula>NOT(ISERROR(SEARCH("OFF",A168)))</formula>
    </cfRule>
    <cfRule type="containsText" dxfId="4" priority="2702" operator="between" text="OFF">
      <formula>NOT(ISERROR(SEARCH("OFF",A168)))</formula>
    </cfRule>
    <cfRule type="containsText" dxfId="5" priority="2703" operator="between" text="S">
      <formula>NOT(ISERROR(SEARCH("S",A168)))</formula>
    </cfRule>
    <cfRule type="containsText" dxfId="6" priority="2704" operator="between" text="I">
      <formula>NOT(ISERROR(SEARCH("I",A168)))</formula>
    </cfRule>
    <cfRule type="containsText" dxfId="7" priority="2705" operator="between" text="A">
      <formula>NOT(ISERROR(SEARCH("A",A168)))</formula>
    </cfRule>
    <cfRule type="containsText" dxfId="8" priority="2706" operator="between" text="L">
      <formula>NOT(ISERROR(SEARCH("L",A168)))</formula>
    </cfRule>
    <cfRule type="containsText" dxfId="6" priority="2707" operator="between" text="A">
      <formula>NOT(ISERROR(SEARCH("A",A168)))</formula>
    </cfRule>
    <cfRule type="containsText" dxfId="7" priority="2708" operator="between" text="S">
      <formula>NOT(ISERROR(SEARCH("S",A168)))</formula>
    </cfRule>
    <cfRule type="containsText" dxfId="5" priority="2709" operator="between" text="OFF">
      <formula>NOT(ISERROR(SEARCH("OFF",A168)))</formula>
    </cfRule>
    <cfRule type="containsText" dxfId="7" priority="2710" operator="between" text="OFF">
      <formula>NOT(ISERROR(SEARCH("OFF",A168)))</formula>
    </cfRule>
  </conditionalFormatting>
  <conditionalFormatting sqref="P181">
    <cfRule type="containsText" dxfId="3" priority="21" operator="between" text="OFF">
      <formula>NOT(ISERROR(SEARCH("OFF",P181)))</formula>
    </cfRule>
    <cfRule type="containsText" dxfId="4" priority="22" operator="between" text="OFF">
      <formula>NOT(ISERROR(SEARCH("OFF",P181)))</formula>
    </cfRule>
    <cfRule type="containsText" dxfId="5" priority="23" operator="between" text="S">
      <formula>NOT(ISERROR(SEARCH("S",P181)))</formula>
    </cfRule>
    <cfRule type="containsText" dxfId="6" priority="24" operator="between" text="I">
      <formula>NOT(ISERROR(SEARCH("I",P181)))</formula>
    </cfRule>
    <cfRule type="containsText" dxfId="7" priority="25" operator="between" text="A">
      <formula>NOT(ISERROR(SEARCH("A",P181)))</formula>
    </cfRule>
    <cfRule type="containsText" dxfId="8" priority="26" operator="between" text="L">
      <formula>NOT(ISERROR(SEARCH("L",P181)))</formula>
    </cfRule>
    <cfRule type="containsText" dxfId="6" priority="27" operator="between" text="A">
      <formula>NOT(ISERROR(SEARCH("A",P181)))</formula>
    </cfRule>
    <cfRule type="containsText" dxfId="7" priority="28" operator="between" text="S">
      <formula>NOT(ISERROR(SEARCH("S",P181)))</formula>
    </cfRule>
    <cfRule type="containsText" dxfId="5" priority="29" operator="between" text="OFF">
      <formula>NOT(ISERROR(SEARCH("OFF",P181)))</formula>
    </cfRule>
    <cfRule type="containsText" dxfId="7" priority="30" operator="between" text="OFF">
      <formula>NOT(ISERROR(SEARCH("OFF",P181)))</formula>
    </cfRule>
  </conditionalFormatting>
  <conditionalFormatting sqref="E183:F183">
    <cfRule type="containsText" dxfId="3" priority="621" operator="between" text="OFF">
      <formula>NOT(ISERROR(SEARCH("OFF",E183)))</formula>
    </cfRule>
    <cfRule type="containsText" dxfId="4" priority="622" operator="between" text="OFF">
      <formula>NOT(ISERROR(SEARCH("OFF",E183)))</formula>
    </cfRule>
    <cfRule type="containsText" dxfId="5" priority="623" operator="between" text="S">
      <formula>NOT(ISERROR(SEARCH("S",E183)))</formula>
    </cfRule>
    <cfRule type="containsText" dxfId="6" priority="624" operator="between" text="I">
      <formula>NOT(ISERROR(SEARCH("I",E183)))</formula>
    </cfRule>
    <cfRule type="containsText" dxfId="7" priority="625" operator="between" text="A">
      <formula>NOT(ISERROR(SEARCH("A",E183)))</formula>
    </cfRule>
    <cfRule type="containsText" dxfId="8" priority="626" operator="between" text="L">
      <formula>NOT(ISERROR(SEARCH("L",E183)))</formula>
    </cfRule>
    <cfRule type="containsText" dxfId="6" priority="627" operator="between" text="A">
      <formula>NOT(ISERROR(SEARCH("A",E183)))</formula>
    </cfRule>
    <cfRule type="containsText" dxfId="7" priority="628" operator="between" text="S">
      <formula>NOT(ISERROR(SEARCH("S",E183)))</formula>
    </cfRule>
    <cfRule type="containsText" dxfId="5" priority="629" operator="between" text="OFF">
      <formula>NOT(ISERROR(SEARCH("OFF",E183)))</formula>
    </cfRule>
    <cfRule type="containsText" dxfId="7" priority="630" operator="between" text="OFF">
      <formula>NOT(ISERROR(SEARCH("OFF",E183)))</formula>
    </cfRule>
  </conditionalFormatting>
  <conditionalFormatting sqref="I183">
    <cfRule type="containsText" dxfId="3" priority="231" operator="between" text="OFF">
      <formula>NOT(ISERROR(SEARCH("OFF",I183)))</formula>
    </cfRule>
    <cfRule type="containsText" dxfId="4" priority="232" operator="between" text="OFF">
      <formula>NOT(ISERROR(SEARCH("OFF",I183)))</formula>
    </cfRule>
    <cfRule type="containsText" dxfId="5" priority="233" operator="between" text="S">
      <formula>NOT(ISERROR(SEARCH("S",I183)))</formula>
    </cfRule>
    <cfRule type="containsText" dxfId="6" priority="234" operator="between" text="I">
      <formula>NOT(ISERROR(SEARCH("I",I183)))</formula>
    </cfRule>
    <cfRule type="containsText" dxfId="7" priority="235" operator="between" text="A">
      <formula>NOT(ISERROR(SEARCH("A",I183)))</formula>
    </cfRule>
    <cfRule type="containsText" dxfId="8" priority="236" operator="between" text="L">
      <formula>NOT(ISERROR(SEARCH("L",I183)))</formula>
    </cfRule>
    <cfRule type="containsText" dxfId="6" priority="237" operator="between" text="A">
      <formula>NOT(ISERROR(SEARCH("A",I183)))</formula>
    </cfRule>
    <cfRule type="containsText" dxfId="7" priority="238" operator="between" text="S">
      <formula>NOT(ISERROR(SEARCH("S",I183)))</formula>
    </cfRule>
    <cfRule type="containsText" dxfId="5" priority="239" operator="between" text="OFF">
      <formula>NOT(ISERROR(SEARCH("OFF",I183)))</formula>
    </cfRule>
    <cfRule type="containsText" dxfId="7" priority="240" operator="between" text="OFF">
      <formula>NOT(ISERROR(SEARCH("OFF",I183)))</formula>
    </cfRule>
  </conditionalFormatting>
  <conditionalFormatting sqref="T185:AH185">
    <cfRule type="containsText" dxfId="3" priority="1" operator="between" text="OFF">
      <formula>NOT(ISERROR(SEARCH("OFF",T185)))</formula>
    </cfRule>
    <cfRule type="containsText" dxfId="4" priority="2" operator="between" text="OFF">
      <formula>NOT(ISERROR(SEARCH("OFF",T185)))</formula>
    </cfRule>
    <cfRule type="containsText" dxfId="5" priority="3" operator="between" text="S">
      <formula>NOT(ISERROR(SEARCH("S",T185)))</formula>
    </cfRule>
    <cfRule type="containsText" dxfId="6" priority="4" operator="between" text="I">
      <formula>NOT(ISERROR(SEARCH("I",T185)))</formula>
    </cfRule>
    <cfRule type="containsText" dxfId="7" priority="5" operator="between" text="A">
      <formula>NOT(ISERROR(SEARCH("A",T185)))</formula>
    </cfRule>
    <cfRule type="containsText" dxfId="8" priority="6" operator="between" text="L">
      <formula>NOT(ISERROR(SEARCH("L",T185)))</formula>
    </cfRule>
    <cfRule type="containsText" dxfId="6" priority="7" operator="between" text="A">
      <formula>NOT(ISERROR(SEARCH("A",T185)))</formula>
    </cfRule>
    <cfRule type="containsText" dxfId="7" priority="8" operator="between" text="S">
      <formula>NOT(ISERROR(SEARCH("S",T185)))</formula>
    </cfRule>
    <cfRule type="containsText" dxfId="5" priority="9" operator="between" text="OFF">
      <formula>NOT(ISERROR(SEARCH("OFF",T185)))</formula>
    </cfRule>
    <cfRule type="containsText" dxfId="7" priority="10" operator="between" text="OFF">
      <formula>NOT(ISERROR(SEARCH("OFF",T185)))</formula>
    </cfRule>
  </conditionalFormatting>
  <conditionalFormatting sqref="P188">
    <cfRule type="containsText" dxfId="3" priority="11" operator="between" text="OFF">
      <formula>NOT(ISERROR(SEARCH("OFF",P188)))</formula>
    </cfRule>
    <cfRule type="containsText" dxfId="4" priority="12" operator="between" text="OFF">
      <formula>NOT(ISERROR(SEARCH("OFF",P188)))</formula>
    </cfRule>
    <cfRule type="containsText" dxfId="5" priority="13" operator="between" text="S">
      <formula>NOT(ISERROR(SEARCH("S",P188)))</formula>
    </cfRule>
    <cfRule type="containsText" dxfId="6" priority="14" operator="between" text="I">
      <formula>NOT(ISERROR(SEARCH("I",P188)))</formula>
    </cfRule>
    <cfRule type="containsText" dxfId="7" priority="15" operator="between" text="A">
      <formula>NOT(ISERROR(SEARCH("A",P188)))</formula>
    </cfRule>
    <cfRule type="containsText" dxfId="8" priority="16" operator="between" text="L">
      <formula>NOT(ISERROR(SEARCH("L",P188)))</formula>
    </cfRule>
    <cfRule type="containsText" dxfId="6" priority="17" operator="between" text="A">
      <formula>NOT(ISERROR(SEARCH("A",P188)))</formula>
    </cfRule>
    <cfRule type="containsText" dxfId="7" priority="18" operator="between" text="S">
      <formula>NOT(ISERROR(SEARCH("S",P188)))</formula>
    </cfRule>
    <cfRule type="containsText" dxfId="5" priority="19" operator="between" text="OFF">
      <formula>NOT(ISERROR(SEARCH("OFF",P188)))</formula>
    </cfRule>
    <cfRule type="containsText" dxfId="7" priority="20" operator="between" text="OFF">
      <formula>NOT(ISERROR(SEARCH("OFF",P188)))</formula>
    </cfRule>
  </conditionalFormatting>
  <conditionalFormatting sqref="E191:F191">
    <cfRule type="containsText" dxfId="3" priority="631" operator="between" text="OFF">
      <formula>NOT(ISERROR(SEARCH("OFF",E191)))</formula>
    </cfRule>
    <cfRule type="containsText" dxfId="4" priority="632" operator="between" text="OFF">
      <formula>NOT(ISERROR(SEARCH("OFF",E191)))</formula>
    </cfRule>
    <cfRule type="containsText" dxfId="5" priority="633" operator="between" text="S">
      <formula>NOT(ISERROR(SEARCH("S",E191)))</formula>
    </cfRule>
    <cfRule type="containsText" dxfId="6" priority="634" operator="between" text="I">
      <formula>NOT(ISERROR(SEARCH("I",E191)))</formula>
    </cfRule>
    <cfRule type="containsText" dxfId="7" priority="635" operator="between" text="A">
      <formula>NOT(ISERROR(SEARCH("A",E191)))</formula>
    </cfRule>
    <cfRule type="containsText" dxfId="8" priority="636" operator="between" text="L">
      <formula>NOT(ISERROR(SEARCH("L",E191)))</formula>
    </cfRule>
    <cfRule type="containsText" dxfId="6" priority="637" operator="between" text="A">
      <formula>NOT(ISERROR(SEARCH("A",E191)))</formula>
    </cfRule>
    <cfRule type="containsText" dxfId="7" priority="638" operator="between" text="S">
      <formula>NOT(ISERROR(SEARCH("S",E191)))</formula>
    </cfRule>
    <cfRule type="containsText" dxfId="5" priority="639" operator="between" text="OFF">
      <formula>NOT(ISERROR(SEARCH("OFF",E191)))</formula>
    </cfRule>
    <cfRule type="containsText" dxfId="7" priority="640" operator="between" text="OFF">
      <formula>NOT(ISERROR(SEARCH("OFF",E191)))</formula>
    </cfRule>
  </conditionalFormatting>
  <conditionalFormatting sqref="AO210">
    <cfRule type="containsText" dxfId="3" priority="2011" operator="between" text="OFF">
      <formula>NOT(ISERROR(SEARCH("OFF",AO210)))</formula>
    </cfRule>
    <cfRule type="containsText" dxfId="4" priority="2012" operator="between" text="OFF">
      <formula>NOT(ISERROR(SEARCH("OFF",AO210)))</formula>
    </cfRule>
    <cfRule type="containsText" dxfId="5" priority="2013" operator="between" text="S">
      <formula>NOT(ISERROR(SEARCH("S",AO210)))</formula>
    </cfRule>
    <cfRule type="containsText" dxfId="6" priority="2014" operator="between" text="I">
      <formula>NOT(ISERROR(SEARCH("I",AO210)))</formula>
    </cfRule>
    <cfRule type="containsText" dxfId="7" priority="2015" operator="between" text="A">
      <formula>NOT(ISERROR(SEARCH("A",AO210)))</formula>
    </cfRule>
    <cfRule type="containsText" dxfId="8" priority="2016" operator="between" text="L">
      <formula>NOT(ISERROR(SEARCH("L",AO210)))</formula>
    </cfRule>
    <cfRule type="containsText" dxfId="6" priority="2017" operator="between" text="A">
      <formula>NOT(ISERROR(SEARCH("A",AO210)))</formula>
    </cfRule>
    <cfRule type="containsText" dxfId="7" priority="2018" operator="between" text="S">
      <formula>NOT(ISERROR(SEARCH("S",AO210)))</formula>
    </cfRule>
    <cfRule type="containsText" dxfId="5" priority="2019" operator="between" text="OFF">
      <formula>NOT(ISERROR(SEARCH("OFF",AO210)))</formula>
    </cfRule>
    <cfRule type="containsText" dxfId="7" priority="2020" operator="between" text="OFF">
      <formula>NOT(ISERROR(SEARCH("OFF",AO210)))</formula>
    </cfRule>
  </conditionalFormatting>
  <conditionalFormatting sqref="G211">
    <cfRule type="containsText" dxfId="3" priority="471" operator="between" text="OFF">
      <formula>NOT(ISERROR(SEARCH("OFF",G211)))</formula>
    </cfRule>
    <cfRule type="containsText" dxfId="4" priority="472" operator="between" text="OFF">
      <formula>NOT(ISERROR(SEARCH("OFF",G211)))</formula>
    </cfRule>
    <cfRule type="containsText" dxfId="5" priority="473" operator="between" text="S">
      <formula>NOT(ISERROR(SEARCH("S",G211)))</formula>
    </cfRule>
    <cfRule type="containsText" dxfId="6" priority="474" operator="between" text="I">
      <formula>NOT(ISERROR(SEARCH("I",G211)))</formula>
    </cfRule>
    <cfRule type="containsText" dxfId="7" priority="475" operator="between" text="A">
      <formula>NOT(ISERROR(SEARCH("A",G211)))</formula>
    </cfRule>
    <cfRule type="containsText" dxfId="8" priority="476" operator="between" text="L">
      <formula>NOT(ISERROR(SEARCH("L",G211)))</formula>
    </cfRule>
    <cfRule type="containsText" dxfId="6" priority="477" operator="between" text="A">
      <formula>NOT(ISERROR(SEARCH("A",G211)))</formula>
    </cfRule>
    <cfRule type="containsText" dxfId="7" priority="478" operator="between" text="S">
      <formula>NOT(ISERROR(SEARCH("S",G211)))</formula>
    </cfRule>
    <cfRule type="containsText" dxfId="5" priority="479" operator="between" text="OFF">
      <formula>NOT(ISERROR(SEARCH("OFF",G211)))</formula>
    </cfRule>
    <cfRule type="containsText" dxfId="7" priority="480" operator="between" text="OFF">
      <formula>NOT(ISERROR(SEARCH("OFF",G211)))</formula>
    </cfRule>
  </conditionalFormatting>
  <conditionalFormatting sqref="H211">
    <cfRule type="containsText" dxfId="3" priority="381" operator="between" text="OFF">
      <formula>NOT(ISERROR(SEARCH("OFF",H211)))</formula>
    </cfRule>
    <cfRule type="containsText" dxfId="4" priority="382" operator="between" text="OFF">
      <formula>NOT(ISERROR(SEARCH("OFF",H211)))</formula>
    </cfRule>
    <cfRule type="containsText" dxfId="5" priority="383" operator="between" text="S">
      <formula>NOT(ISERROR(SEARCH("S",H211)))</formula>
    </cfRule>
    <cfRule type="containsText" dxfId="6" priority="384" operator="between" text="I">
      <formula>NOT(ISERROR(SEARCH("I",H211)))</formula>
    </cfRule>
    <cfRule type="containsText" dxfId="7" priority="385" operator="between" text="A">
      <formula>NOT(ISERROR(SEARCH("A",H211)))</formula>
    </cfRule>
    <cfRule type="containsText" dxfId="8" priority="386" operator="between" text="L">
      <formula>NOT(ISERROR(SEARCH("L",H211)))</formula>
    </cfRule>
    <cfRule type="containsText" dxfId="6" priority="387" operator="between" text="A">
      <formula>NOT(ISERROR(SEARCH("A",H211)))</formula>
    </cfRule>
    <cfRule type="containsText" dxfId="7" priority="388" operator="between" text="S">
      <formula>NOT(ISERROR(SEARCH("S",H211)))</formula>
    </cfRule>
    <cfRule type="containsText" dxfId="5" priority="389" operator="between" text="OFF">
      <formula>NOT(ISERROR(SEARCH("OFF",H211)))</formula>
    </cfRule>
    <cfRule type="containsText" dxfId="7" priority="390" operator="between" text="OFF">
      <formula>NOT(ISERROR(SEARCH("OFF",H211)))</formula>
    </cfRule>
  </conditionalFormatting>
  <conditionalFormatting sqref="I211">
    <cfRule type="containsText" dxfId="3" priority="241" operator="between" text="OFF">
      <formula>NOT(ISERROR(SEARCH("OFF",I211)))</formula>
    </cfRule>
    <cfRule type="containsText" dxfId="4" priority="242" operator="between" text="OFF">
      <formula>NOT(ISERROR(SEARCH("OFF",I211)))</formula>
    </cfRule>
    <cfRule type="containsText" dxfId="5" priority="243" operator="between" text="S">
      <formula>NOT(ISERROR(SEARCH("S",I211)))</formula>
    </cfRule>
    <cfRule type="containsText" dxfId="6" priority="244" operator="between" text="I">
      <formula>NOT(ISERROR(SEARCH("I",I211)))</formula>
    </cfRule>
    <cfRule type="containsText" dxfId="7" priority="245" operator="between" text="A">
      <formula>NOT(ISERROR(SEARCH("A",I211)))</formula>
    </cfRule>
    <cfRule type="containsText" dxfId="8" priority="246" operator="between" text="L">
      <formula>NOT(ISERROR(SEARCH("L",I211)))</formula>
    </cfRule>
    <cfRule type="containsText" dxfId="6" priority="247" operator="between" text="A">
      <formula>NOT(ISERROR(SEARCH("A",I211)))</formula>
    </cfRule>
    <cfRule type="containsText" dxfId="7" priority="248" operator="between" text="S">
      <formula>NOT(ISERROR(SEARCH("S",I211)))</formula>
    </cfRule>
    <cfRule type="containsText" dxfId="5" priority="249" operator="between" text="OFF">
      <formula>NOT(ISERROR(SEARCH("OFF",I211)))</formula>
    </cfRule>
    <cfRule type="containsText" dxfId="7" priority="250" operator="between" text="OFF">
      <formula>NOT(ISERROR(SEARCH("OFF",I211)))</formula>
    </cfRule>
  </conditionalFormatting>
  <conditionalFormatting sqref="F213">
    <cfRule type="containsText" dxfId="3" priority="591" operator="between" text="OFF">
      <formula>NOT(ISERROR(SEARCH("OFF",F213)))</formula>
    </cfRule>
    <cfRule type="containsText" dxfId="4" priority="592" operator="between" text="OFF">
      <formula>NOT(ISERROR(SEARCH("OFF",F213)))</formula>
    </cfRule>
    <cfRule type="containsText" dxfId="5" priority="593" operator="between" text="S">
      <formula>NOT(ISERROR(SEARCH("S",F213)))</formula>
    </cfRule>
    <cfRule type="containsText" dxfId="6" priority="594" operator="between" text="I">
      <formula>NOT(ISERROR(SEARCH("I",F213)))</formula>
    </cfRule>
    <cfRule type="containsText" dxfId="7" priority="595" operator="between" text="A">
      <formula>NOT(ISERROR(SEARCH("A",F213)))</formula>
    </cfRule>
    <cfRule type="containsText" dxfId="8" priority="596" operator="between" text="L">
      <formula>NOT(ISERROR(SEARCH("L",F213)))</formula>
    </cfRule>
    <cfRule type="containsText" dxfId="6" priority="597" operator="between" text="A">
      <formula>NOT(ISERROR(SEARCH("A",F213)))</formula>
    </cfRule>
    <cfRule type="containsText" dxfId="7" priority="598" operator="between" text="S">
      <formula>NOT(ISERROR(SEARCH("S",F213)))</formula>
    </cfRule>
    <cfRule type="containsText" dxfId="5" priority="599" operator="between" text="OFF">
      <formula>NOT(ISERROR(SEARCH("OFF",F213)))</formula>
    </cfRule>
    <cfRule type="containsText" dxfId="7" priority="600" operator="between" text="OFF">
      <formula>NOT(ISERROR(SEARCH("OFF",F213)))</formula>
    </cfRule>
  </conditionalFormatting>
  <conditionalFormatting sqref="G213">
    <cfRule type="containsText" dxfId="3" priority="491" operator="between" text="OFF">
      <formula>NOT(ISERROR(SEARCH("OFF",G213)))</formula>
    </cfRule>
    <cfRule type="containsText" dxfId="4" priority="492" operator="between" text="OFF">
      <formula>NOT(ISERROR(SEARCH("OFF",G213)))</formula>
    </cfRule>
    <cfRule type="containsText" dxfId="5" priority="493" operator="between" text="S">
      <formula>NOT(ISERROR(SEARCH("S",G213)))</formula>
    </cfRule>
    <cfRule type="containsText" dxfId="6" priority="494" operator="between" text="I">
      <formula>NOT(ISERROR(SEARCH("I",G213)))</formula>
    </cfRule>
    <cfRule type="containsText" dxfId="7" priority="495" operator="between" text="A">
      <formula>NOT(ISERROR(SEARCH("A",G213)))</formula>
    </cfRule>
    <cfRule type="containsText" dxfId="8" priority="496" operator="between" text="L">
      <formula>NOT(ISERROR(SEARCH("L",G213)))</formula>
    </cfRule>
    <cfRule type="containsText" dxfId="6" priority="497" operator="between" text="A">
      <formula>NOT(ISERROR(SEARCH("A",G213)))</formula>
    </cfRule>
    <cfRule type="containsText" dxfId="7" priority="498" operator="between" text="S">
      <formula>NOT(ISERROR(SEARCH("S",G213)))</formula>
    </cfRule>
    <cfRule type="containsText" dxfId="5" priority="499" operator="between" text="OFF">
      <formula>NOT(ISERROR(SEARCH("OFF",G213)))</formula>
    </cfRule>
    <cfRule type="containsText" dxfId="7" priority="500" operator="between" text="OFF">
      <formula>NOT(ISERROR(SEARCH("OFF",G213)))</formula>
    </cfRule>
  </conditionalFormatting>
  <conditionalFormatting sqref="H213">
    <cfRule type="containsText" dxfId="3" priority="401" operator="between" text="OFF">
      <formula>NOT(ISERROR(SEARCH("OFF",H213)))</formula>
    </cfRule>
    <cfRule type="containsText" dxfId="4" priority="402" operator="between" text="OFF">
      <formula>NOT(ISERROR(SEARCH("OFF",H213)))</formula>
    </cfRule>
    <cfRule type="containsText" dxfId="5" priority="403" operator="between" text="S">
      <formula>NOT(ISERROR(SEARCH("S",H213)))</formula>
    </cfRule>
    <cfRule type="containsText" dxfId="6" priority="404" operator="between" text="I">
      <formula>NOT(ISERROR(SEARCH("I",H213)))</formula>
    </cfRule>
    <cfRule type="containsText" dxfId="7" priority="405" operator="between" text="A">
      <formula>NOT(ISERROR(SEARCH("A",H213)))</formula>
    </cfRule>
    <cfRule type="containsText" dxfId="8" priority="406" operator="between" text="L">
      <formula>NOT(ISERROR(SEARCH("L",H213)))</formula>
    </cfRule>
    <cfRule type="containsText" dxfId="6" priority="407" operator="between" text="A">
      <formula>NOT(ISERROR(SEARCH("A",H213)))</formula>
    </cfRule>
    <cfRule type="containsText" dxfId="7" priority="408" operator="between" text="S">
      <formula>NOT(ISERROR(SEARCH("S",H213)))</formula>
    </cfRule>
    <cfRule type="containsText" dxfId="5" priority="409" operator="between" text="OFF">
      <formula>NOT(ISERROR(SEARCH("OFF",H213)))</formula>
    </cfRule>
    <cfRule type="containsText" dxfId="7" priority="410" operator="between" text="OFF">
      <formula>NOT(ISERROR(SEARCH("OFF",H213)))</formula>
    </cfRule>
  </conditionalFormatting>
  <conditionalFormatting sqref="I213">
    <cfRule type="containsText" dxfId="3" priority="191" operator="between" text="OFF">
      <formula>NOT(ISERROR(SEARCH("OFF",I213)))</formula>
    </cfRule>
    <cfRule type="containsText" dxfId="4" priority="192" operator="between" text="OFF">
      <formula>NOT(ISERROR(SEARCH("OFF",I213)))</formula>
    </cfRule>
    <cfRule type="containsText" dxfId="5" priority="193" operator="between" text="S">
      <formula>NOT(ISERROR(SEARCH("S",I213)))</formula>
    </cfRule>
    <cfRule type="containsText" dxfId="6" priority="194" operator="between" text="I">
      <formula>NOT(ISERROR(SEARCH("I",I213)))</formula>
    </cfRule>
    <cfRule type="containsText" dxfId="7" priority="195" operator="between" text="A">
      <formula>NOT(ISERROR(SEARCH("A",I213)))</formula>
    </cfRule>
    <cfRule type="containsText" dxfId="8" priority="196" operator="between" text="L">
      <formula>NOT(ISERROR(SEARCH("L",I213)))</formula>
    </cfRule>
    <cfRule type="containsText" dxfId="6" priority="197" operator="between" text="A">
      <formula>NOT(ISERROR(SEARCH("A",I213)))</formula>
    </cfRule>
    <cfRule type="containsText" dxfId="7" priority="198" operator="between" text="S">
      <formula>NOT(ISERROR(SEARCH("S",I213)))</formula>
    </cfRule>
    <cfRule type="containsText" dxfId="5" priority="199" operator="between" text="OFF">
      <formula>NOT(ISERROR(SEARCH("OFF",I213)))</formula>
    </cfRule>
    <cfRule type="containsText" dxfId="7" priority="200" operator="between" text="OFF">
      <formula>NOT(ISERROR(SEARCH("OFF",I213)))</formula>
    </cfRule>
  </conditionalFormatting>
  <conditionalFormatting sqref="F215">
    <cfRule type="containsText" dxfId="3" priority="581" operator="between" text="OFF">
      <formula>NOT(ISERROR(SEARCH("OFF",F215)))</formula>
    </cfRule>
    <cfRule type="containsText" dxfId="4" priority="582" operator="between" text="OFF">
      <formula>NOT(ISERROR(SEARCH("OFF",F215)))</formula>
    </cfRule>
    <cfRule type="containsText" dxfId="5" priority="583" operator="between" text="S">
      <formula>NOT(ISERROR(SEARCH("S",F215)))</formula>
    </cfRule>
    <cfRule type="containsText" dxfId="6" priority="584" operator="between" text="I">
      <formula>NOT(ISERROR(SEARCH("I",F215)))</formula>
    </cfRule>
    <cfRule type="containsText" dxfId="7" priority="585" operator="between" text="A">
      <formula>NOT(ISERROR(SEARCH("A",F215)))</formula>
    </cfRule>
    <cfRule type="containsText" dxfId="8" priority="586" operator="between" text="L">
      <formula>NOT(ISERROR(SEARCH("L",F215)))</formula>
    </cfRule>
    <cfRule type="containsText" dxfId="6" priority="587" operator="between" text="A">
      <formula>NOT(ISERROR(SEARCH("A",F215)))</formula>
    </cfRule>
    <cfRule type="containsText" dxfId="7" priority="588" operator="between" text="S">
      <formula>NOT(ISERROR(SEARCH("S",F215)))</formula>
    </cfRule>
    <cfRule type="containsText" dxfId="5" priority="589" operator="between" text="OFF">
      <formula>NOT(ISERROR(SEARCH("OFF",F215)))</formula>
    </cfRule>
    <cfRule type="containsText" dxfId="7" priority="590" operator="between" text="OFF">
      <formula>NOT(ISERROR(SEARCH("OFF",F215)))</formula>
    </cfRule>
  </conditionalFormatting>
  <conditionalFormatting sqref="G215">
    <cfRule type="containsText" dxfId="3" priority="481" operator="between" text="OFF">
      <formula>NOT(ISERROR(SEARCH("OFF",G215)))</formula>
    </cfRule>
    <cfRule type="containsText" dxfId="4" priority="482" operator="between" text="OFF">
      <formula>NOT(ISERROR(SEARCH("OFF",G215)))</formula>
    </cfRule>
    <cfRule type="containsText" dxfId="5" priority="483" operator="between" text="S">
      <formula>NOT(ISERROR(SEARCH("S",G215)))</formula>
    </cfRule>
    <cfRule type="containsText" dxfId="6" priority="484" operator="between" text="I">
      <formula>NOT(ISERROR(SEARCH("I",G215)))</formula>
    </cfRule>
    <cfRule type="containsText" dxfId="7" priority="485" operator="between" text="A">
      <formula>NOT(ISERROR(SEARCH("A",G215)))</formula>
    </cfRule>
    <cfRule type="containsText" dxfId="8" priority="486" operator="between" text="L">
      <formula>NOT(ISERROR(SEARCH("L",G215)))</formula>
    </cfRule>
    <cfRule type="containsText" dxfId="6" priority="487" operator="between" text="A">
      <formula>NOT(ISERROR(SEARCH("A",G215)))</formula>
    </cfRule>
    <cfRule type="containsText" dxfId="7" priority="488" operator="between" text="S">
      <formula>NOT(ISERROR(SEARCH("S",G215)))</formula>
    </cfRule>
    <cfRule type="containsText" dxfId="5" priority="489" operator="between" text="OFF">
      <formula>NOT(ISERROR(SEARCH("OFF",G215)))</formula>
    </cfRule>
    <cfRule type="containsText" dxfId="7" priority="490" operator="between" text="OFF">
      <formula>NOT(ISERROR(SEARCH("OFF",G215)))</formula>
    </cfRule>
  </conditionalFormatting>
  <conditionalFormatting sqref="H215">
    <cfRule type="containsText" dxfId="3" priority="391" operator="between" text="OFF">
      <formula>NOT(ISERROR(SEARCH("OFF",H215)))</formula>
    </cfRule>
    <cfRule type="containsText" dxfId="4" priority="392" operator="between" text="OFF">
      <formula>NOT(ISERROR(SEARCH("OFF",H215)))</formula>
    </cfRule>
    <cfRule type="containsText" dxfId="5" priority="393" operator="between" text="S">
      <formula>NOT(ISERROR(SEARCH("S",H215)))</formula>
    </cfRule>
    <cfRule type="containsText" dxfId="6" priority="394" operator="between" text="I">
      <formula>NOT(ISERROR(SEARCH("I",H215)))</formula>
    </cfRule>
    <cfRule type="containsText" dxfId="7" priority="395" operator="between" text="A">
      <formula>NOT(ISERROR(SEARCH("A",H215)))</formula>
    </cfRule>
    <cfRule type="containsText" dxfId="8" priority="396" operator="between" text="L">
      <formula>NOT(ISERROR(SEARCH("L",H215)))</formula>
    </cfRule>
    <cfRule type="containsText" dxfId="6" priority="397" operator="between" text="A">
      <formula>NOT(ISERROR(SEARCH("A",H215)))</formula>
    </cfRule>
    <cfRule type="containsText" dxfId="7" priority="398" operator="between" text="S">
      <formula>NOT(ISERROR(SEARCH("S",H215)))</formula>
    </cfRule>
    <cfRule type="containsText" dxfId="5" priority="399" operator="between" text="OFF">
      <formula>NOT(ISERROR(SEARCH("OFF",H215)))</formula>
    </cfRule>
    <cfRule type="containsText" dxfId="7" priority="400" operator="between" text="OFF">
      <formula>NOT(ISERROR(SEARCH("OFF",H215)))</formula>
    </cfRule>
  </conditionalFormatting>
  <conditionalFormatting sqref="I215">
    <cfRule type="containsText" dxfId="3" priority="251" operator="between" text="OFF">
      <formula>NOT(ISERROR(SEARCH("OFF",I215)))</formula>
    </cfRule>
    <cfRule type="containsText" dxfId="4" priority="252" operator="between" text="OFF">
      <formula>NOT(ISERROR(SEARCH("OFF",I215)))</formula>
    </cfRule>
    <cfRule type="containsText" dxfId="5" priority="253" operator="between" text="S">
      <formula>NOT(ISERROR(SEARCH("S",I215)))</formula>
    </cfRule>
    <cfRule type="containsText" dxfId="6" priority="254" operator="between" text="I">
      <formula>NOT(ISERROR(SEARCH("I",I215)))</formula>
    </cfRule>
    <cfRule type="containsText" dxfId="7" priority="255" operator="between" text="A">
      <formula>NOT(ISERROR(SEARCH("A",I215)))</formula>
    </cfRule>
    <cfRule type="containsText" dxfId="8" priority="256" operator="between" text="L">
      <formula>NOT(ISERROR(SEARCH("L",I215)))</formula>
    </cfRule>
    <cfRule type="containsText" dxfId="6" priority="257" operator="between" text="A">
      <formula>NOT(ISERROR(SEARCH("A",I215)))</formula>
    </cfRule>
    <cfRule type="containsText" dxfId="7" priority="258" operator="between" text="S">
      <formula>NOT(ISERROR(SEARCH("S",I215)))</formula>
    </cfRule>
    <cfRule type="containsText" dxfId="5" priority="259" operator="between" text="OFF">
      <formula>NOT(ISERROR(SEARCH("OFF",I215)))</formula>
    </cfRule>
    <cfRule type="containsText" dxfId="7" priority="260" operator="between" text="OFF">
      <formula>NOT(ISERROR(SEARCH("OFF",I215)))</formula>
    </cfRule>
  </conditionalFormatting>
  <conditionalFormatting sqref="E217:F217">
    <cfRule type="containsText" dxfId="3" priority="611" operator="between" text="OFF">
      <formula>NOT(ISERROR(SEARCH("OFF",E217)))</formula>
    </cfRule>
    <cfRule type="containsText" dxfId="4" priority="612" operator="between" text="OFF">
      <formula>NOT(ISERROR(SEARCH("OFF",E217)))</formula>
    </cfRule>
    <cfRule type="containsText" dxfId="5" priority="613" operator="between" text="S">
      <formula>NOT(ISERROR(SEARCH("S",E217)))</formula>
    </cfRule>
    <cfRule type="containsText" dxfId="6" priority="614" operator="between" text="I">
      <formula>NOT(ISERROR(SEARCH("I",E217)))</formula>
    </cfRule>
    <cfRule type="containsText" dxfId="7" priority="615" operator="between" text="A">
      <formula>NOT(ISERROR(SEARCH("A",E217)))</formula>
    </cfRule>
    <cfRule type="containsText" dxfId="8" priority="616" operator="between" text="L">
      <formula>NOT(ISERROR(SEARCH("L",E217)))</formula>
    </cfRule>
    <cfRule type="containsText" dxfId="6" priority="617" operator="between" text="A">
      <formula>NOT(ISERROR(SEARCH("A",E217)))</formula>
    </cfRule>
    <cfRule type="containsText" dxfId="7" priority="618" operator="between" text="S">
      <formula>NOT(ISERROR(SEARCH("S",E217)))</formula>
    </cfRule>
    <cfRule type="containsText" dxfId="5" priority="619" operator="between" text="OFF">
      <formula>NOT(ISERROR(SEARCH("OFF",E217)))</formula>
    </cfRule>
    <cfRule type="containsText" dxfId="7" priority="620" operator="between" text="OFF">
      <formula>NOT(ISERROR(SEARCH("OFF",E217)))</formula>
    </cfRule>
  </conditionalFormatting>
  <conditionalFormatting sqref="I217">
    <cfRule type="containsText" dxfId="3" priority="221" operator="between" text="OFF">
      <formula>NOT(ISERROR(SEARCH("OFF",I217)))</formula>
    </cfRule>
    <cfRule type="containsText" dxfId="4" priority="222" operator="between" text="OFF">
      <formula>NOT(ISERROR(SEARCH("OFF",I217)))</formula>
    </cfRule>
    <cfRule type="containsText" dxfId="5" priority="223" operator="between" text="S">
      <formula>NOT(ISERROR(SEARCH("S",I217)))</formula>
    </cfRule>
    <cfRule type="containsText" dxfId="6" priority="224" operator="between" text="I">
      <formula>NOT(ISERROR(SEARCH("I",I217)))</formula>
    </cfRule>
    <cfRule type="containsText" dxfId="7" priority="225" operator="between" text="A">
      <formula>NOT(ISERROR(SEARCH("A",I217)))</formula>
    </cfRule>
    <cfRule type="containsText" dxfId="8" priority="226" operator="between" text="L">
      <formula>NOT(ISERROR(SEARCH("L",I217)))</formula>
    </cfRule>
    <cfRule type="containsText" dxfId="6" priority="227" operator="between" text="A">
      <formula>NOT(ISERROR(SEARCH("A",I217)))</formula>
    </cfRule>
    <cfRule type="containsText" dxfId="7" priority="228" operator="between" text="S">
      <formula>NOT(ISERROR(SEARCH("S",I217)))</formula>
    </cfRule>
    <cfRule type="containsText" dxfId="5" priority="229" operator="between" text="OFF">
      <formula>NOT(ISERROR(SEARCH("OFF",I217)))</formula>
    </cfRule>
    <cfRule type="containsText" dxfId="7" priority="230" operator="between" text="OFF">
      <formula>NOT(ISERROR(SEARCH("OFF",I217)))</formula>
    </cfRule>
  </conditionalFormatting>
  <conditionalFormatting sqref="A169:A179">
    <cfRule type="containsText" dxfId="3" priority="2681" operator="between" text="OFF">
      <formula>NOT(ISERROR(SEARCH("OFF",A169)))</formula>
    </cfRule>
    <cfRule type="containsText" dxfId="4" priority="2682" operator="between" text="OFF">
      <formula>NOT(ISERROR(SEARCH("OFF",A169)))</formula>
    </cfRule>
    <cfRule type="containsText" dxfId="5" priority="2683" operator="between" text="S">
      <formula>NOT(ISERROR(SEARCH("S",A169)))</formula>
    </cfRule>
    <cfRule type="containsText" dxfId="6" priority="2684" operator="between" text="I">
      <formula>NOT(ISERROR(SEARCH("I",A169)))</formula>
    </cfRule>
    <cfRule type="containsText" dxfId="7" priority="2685" operator="between" text="A">
      <formula>NOT(ISERROR(SEARCH("A",A169)))</formula>
    </cfRule>
    <cfRule type="containsText" dxfId="8" priority="2686" operator="between" text="L">
      <formula>NOT(ISERROR(SEARCH("L",A169)))</formula>
    </cfRule>
    <cfRule type="containsText" dxfId="6" priority="2687" operator="between" text="A">
      <formula>NOT(ISERROR(SEARCH("A",A169)))</formula>
    </cfRule>
    <cfRule type="containsText" dxfId="7" priority="2688" operator="between" text="S">
      <formula>NOT(ISERROR(SEARCH("S",A169)))</formula>
    </cfRule>
    <cfRule type="containsText" dxfId="5" priority="2689" operator="between" text="OFF">
      <formula>NOT(ISERROR(SEARCH("OFF",A169)))</formula>
    </cfRule>
    <cfRule type="containsText" dxfId="7" priority="2690" operator="between" text="OFF">
      <formula>NOT(ISERROR(SEARCH("OFF",A169)))</formula>
    </cfRule>
  </conditionalFormatting>
  <conditionalFormatting sqref="G160:G161">
    <cfRule type="containsText" dxfId="3" priority="541" operator="between" text="OFF">
      <formula>NOT(ISERROR(SEARCH("OFF",G160)))</formula>
    </cfRule>
    <cfRule type="containsText" dxfId="4" priority="542" operator="between" text="OFF">
      <formula>NOT(ISERROR(SEARCH("OFF",G160)))</formula>
    </cfRule>
    <cfRule type="containsText" dxfId="5" priority="543" operator="between" text="S">
      <formula>NOT(ISERROR(SEARCH("S",G160)))</formula>
    </cfRule>
    <cfRule type="containsText" dxfId="6" priority="544" operator="between" text="I">
      <formula>NOT(ISERROR(SEARCH("I",G160)))</formula>
    </cfRule>
    <cfRule type="containsText" dxfId="7" priority="545" operator="between" text="A">
      <formula>NOT(ISERROR(SEARCH("A",G160)))</formula>
    </cfRule>
    <cfRule type="containsText" dxfId="8" priority="546" operator="between" text="L">
      <formula>NOT(ISERROR(SEARCH("L",G160)))</formula>
    </cfRule>
    <cfRule type="containsText" dxfId="6" priority="547" operator="between" text="A">
      <formula>NOT(ISERROR(SEARCH("A",G160)))</formula>
    </cfRule>
    <cfRule type="containsText" dxfId="7" priority="548" operator="between" text="S">
      <formula>NOT(ISERROR(SEARCH("S",G160)))</formula>
    </cfRule>
    <cfRule type="containsText" dxfId="5" priority="549" operator="between" text="OFF">
      <formula>NOT(ISERROR(SEARCH("OFF",G160)))</formula>
    </cfRule>
    <cfRule type="containsText" dxfId="7" priority="550" operator="between" text="OFF">
      <formula>NOT(ISERROR(SEARCH("OFF",G160)))</formula>
    </cfRule>
  </conditionalFormatting>
  <conditionalFormatting sqref="G168:G179">
    <cfRule type="containsText" dxfId="3" priority="531" operator="between" text="OFF">
      <formula>NOT(ISERROR(SEARCH("OFF",G168)))</formula>
    </cfRule>
    <cfRule type="containsText" dxfId="4" priority="532" operator="between" text="OFF">
      <formula>NOT(ISERROR(SEARCH("OFF",G168)))</formula>
    </cfRule>
    <cfRule type="containsText" dxfId="5" priority="533" operator="between" text="S">
      <formula>NOT(ISERROR(SEARCH("S",G168)))</formula>
    </cfRule>
    <cfRule type="containsText" dxfId="6" priority="534" operator="between" text="I">
      <formula>NOT(ISERROR(SEARCH("I",G168)))</formula>
    </cfRule>
    <cfRule type="containsText" dxfId="7" priority="535" operator="between" text="A">
      <formula>NOT(ISERROR(SEARCH("A",G168)))</formula>
    </cfRule>
    <cfRule type="containsText" dxfId="8" priority="536" operator="between" text="L">
      <formula>NOT(ISERROR(SEARCH("L",G168)))</formula>
    </cfRule>
    <cfRule type="containsText" dxfId="6" priority="537" operator="between" text="A">
      <formula>NOT(ISERROR(SEARCH("A",G168)))</formula>
    </cfRule>
    <cfRule type="containsText" dxfId="7" priority="538" operator="between" text="S">
      <formula>NOT(ISERROR(SEARCH("S",G168)))</formula>
    </cfRule>
    <cfRule type="containsText" dxfId="5" priority="539" operator="between" text="OFF">
      <formula>NOT(ISERROR(SEARCH("OFF",G168)))</formula>
    </cfRule>
    <cfRule type="containsText" dxfId="7" priority="540" operator="between" text="OFF">
      <formula>NOT(ISERROR(SEARCH("OFF",G168)))</formula>
    </cfRule>
  </conditionalFormatting>
  <conditionalFormatting sqref="G195:G200">
    <cfRule type="containsText" dxfId="3" priority="501" operator="between" text="OFF">
      <formula>NOT(ISERROR(SEARCH("OFF",G195)))</formula>
    </cfRule>
    <cfRule type="containsText" dxfId="4" priority="502" operator="between" text="OFF">
      <formula>NOT(ISERROR(SEARCH("OFF",G195)))</formula>
    </cfRule>
    <cfRule type="containsText" dxfId="5" priority="503" operator="between" text="S">
      <formula>NOT(ISERROR(SEARCH("S",G195)))</formula>
    </cfRule>
    <cfRule type="containsText" dxfId="6" priority="504" operator="between" text="I">
      <formula>NOT(ISERROR(SEARCH("I",G195)))</formula>
    </cfRule>
    <cfRule type="containsText" dxfId="7" priority="505" operator="between" text="A">
      <formula>NOT(ISERROR(SEARCH("A",G195)))</formula>
    </cfRule>
    <cfRule type="containsText" dxfId="8" priority="506" operator="between" text="L">
      <formula>NOT(ISERROR(SEARCH("L",G195)))</formula>
    </cfRule>
    <cfRule type="containsText" dxfId="6" priority="507" operator="between" text="A">
      <formula>NOT(ISERROR(SEARCH("A",G195)))</formula>
    </cfRule>
    <cfRule type="containsText" dxfId="7" priority="508" operator="between" text="S">
      <formula>NOT(ISERROR(SEARCH("S",G195)))</formula>
    </cfRule>
    <cfRule type="containsText" dxfId="5" priority="509" operator="between" text="OFF">
      <formula>NOT(ISERROR(SEARCH("OFF",G195)))</formula>
    </cfRule>
    <cfRule type="containsText" dxfId="7" priority="510" operator="between" text="OFF">
      <formula>NOT(ISERROR(SEARCH("OFF",G195)))</formula>
    </cfRule>
  </conditionalFormatting>
  <conditionalFormatting sqref="H160:H161">
    <cfRule type="containsText" dxfId="3" priority="451" operator="between" text="OFF">
      <formula>NOT(ISERROR(SEARCH("OFF",H160)))</formula>
    </cfRule>
    <cfRule type="containsText" dxfId="4" priority="452" operator="between" text="OFF">
      <formula>NOT(ISERROR(SEARCH("OFF",H160)))</formula>
    </cfRule>
    <cfRule type="containsText" dxfId="5" priority="453" operator="between" text="S">
      <formula>NOT(ISERROR(SEARCH("S",H160)))</formula>
    </cfRule>
    <cfRule type="containsText" dxfId="6" priority="454" operator="between" text="I">
      <formula>NOT(ISERROR(SEARCH("I",H160)))</formula>
    </cfRule>
    <cfRule type="containsText" dxfId="7" priority="455" operator="between" text="A">
      <formula>NOT(ISERROR(SEARCH("A",H160)))</formula>
    </cfRule>
    <cfRule type="containsText" dxfId="8" priority="456" operator="between" text="L">
      <formula>NOT(ISERROR(SEARCH("L",H160)))</formula>
    </cfRule>
    <cfRule type="containsText" dxfId="6" priority="457" operator="between" text="A">
      <formula>NOT(ISERROR(SEARCH("A",H160)))</formula>
    </cfRule>
    <cfRule type="containsText" dxfId="7" priority="458" operator="between" text="S">
      <formula>NOT(ISERROR(SEARCH("S",H160)))</formula>
    </cfRule>
    <cfRule type="containsText" dxfId="5" priority="459" operator="between" text="OFF">
      <formula>NOT(ISERROR(SEARCH("OFF",H160)))</formula>
    </cfRule>
    <cfRule type="containsText" dxfId="7" priority="460" operator="between" text="OFF">
      <formula>NOT(ISERROR(SEARCH("OFF",H160)))</formula>
    </cfRule>
  </conditionalFormatting>
  <conditionalFormatting sqref="H168:H179">
    <cfRule type="containsText" dxfId="3" priority="441" operator="between" text="OFF">
      <formula>NOT(ISERROR(SEARCH("OFF",H168)))</formula>
    </cfRule>
    <cfRule type="containsText" dxfId="4" priority="442" operator="between" text="OFF">
      <formula>NOT(ISERROR(SEARCH("OFF",H168)))</formula>
    </cfRule>
    <cfRule type="containsText" dxfId="5" priority="443" operator="between" text="S">
      <formula>NOT(ISERROR(SEARCH("S",H168)))</formula>
    </cfRule>
    <cfRule type="containsText" dxfId="6" priority="444" operator="between" text="I">
      <formula>NOT(ISERROR(SEARCH("I",H168)))</formula>
    </cfRule>
    <cfRule type="containsText" dxfId="7" priority="445" operator="between" text="A">
      <formula>NOT(ISERROR(SEARCH("A",H168)))</formula>
    </cfRule>
    <cfRule type="containsText" dxfId="8" priority="446" operator="between" text="L">
      <formula>NOT(ISERROR(SEARCH("L",H168)))</formula>
    </cfRule>
    <cfRule type="containsText" dxfId="6" priority="447" operator="between" text="A">
      <formula>NOT(ISERROR(SEARCH("A",H168)))</formula>
    </cfRule>
    <cfRule type="containsText" dxfId="7" priority="448" operator="between" text="S">
      <formula>NOT(ISERROR(SEARCH("S",H168)))</formula>
    </cfRule>
    <cfRule type="containsText" dxfId="5" priority="449" operator="between" text="OFF">
      <formula>NOT(ISERROR(SEARCH("OFF",H168)))</formula>
    </cfRule>
    <cfRule type="containsText" dxfId="7" priority="450" operator="between" text="OFF">
      <formula>NOT(ISERROR(SEARCH("OFF",H168)))</formula>
    </cfRule>
  </conditionalFormatting>
  <conditionalFormatting sqref="H195:H200">
    <cfRule type="containsText" dxfId="3" priority="411" operator="between" text="OFF">
      <formula>NOT(ISERROR(SEARCH("OFF",H195)))</formula>
    </cfRule>
    <cfRule type="containsText" dxfId="4" priority="412" operator="between" text="OFF">
      <formula>NOT(ISERROR(SEARCH("OFF",H195)))</formula>
    </cfRule>
    <cfRule type="containsText" dxfId="5" priority="413" operator="between" text="S">
      <formula>NOT(ISERROR(SEARCH("S",H195)))</formula>
    </cfRule>
    <cfRule type="containsText" dxfId="6" priority="414" operator="between" text="I">
      <formula>NOT(ISERROR(SEARCH("I",H195)))</formula>
    </cfRule>
    <cfRule type="containsText" dxfId="7" priority="415" operator="between" text="A">
      <formula>NOT(ISERROR(SEARCH("A",H195)))</formula>
    </cfRule>
    <cfRule type="containsText" dxfId="8" priority="416" operator="between" text="L">
      <formula>NOT(ISERROR(SEARCH("L",H195)))</formula>
    </cfRule>
    <cfRule type="containsText" dxfId="6" priority="417" operator="between" text="A">
      <formula>NOT(ISERROR(SEARCH("A",H195)))</formula>
    </cfRule>
    <cfRule type="containsText" dxfId="7" priority="418" operator="between" text="S">
      <formula>NOT(ISERROR(SEARCH("S",H195)))</formula>
    </cfRule>
    <cfRule type="containsText" dxfId="5" priority="419" operator="between" text="OFF">
      <formula>NOT(ISERROR(SEARCH("OFF",H195)))</formula>
    </cfRule>
    <cfRule type="containsText" dxfId="7" priority="420" operator="between" text="OFF">
      <formula>NOT(ISERROR(SEARCH("OFF",H195)))</formula>
    </cfRule>
  </conditionalFormatting>
  <conditionalFormatting sqref="I160:I161">
    <cfRule type="containsText" dxfId="3" priority="301" operator="between" text="OFF">
      <formula>NOT(ISERROR(SEARCH("OFF",I160)))</formula>
    </cfRule>
    <cfRule type="containsText" dxfId="4" priority="302" operator="between" text="OFF">
      <formula>NOT(ISERROR(SEARCH("OFF",I160)))</formula>
    </cfRule>
    <cfRule type="containsText" dxfId="5" priority="303" operator="between" text="S">
      <formula>NOT(ISERROR(SEARCH("S",I160)))</formula>
    </cfRule>
    <cfRule type="containsText" dxfId="6" priority="304" operator="between" text="I">
      <formula>NOT(ISERROR(SEARCH("I",I160)))</formula>
    </cfRule>
    <cfRule type="containsText" dxfId="7" priority="305" operator="between" text="A">
      <formula>NOT(ISERROR(SEARCH("A",I160)))</formula>
    </cfRule>
    <cfRule type="containsText" dxfId="8" priority="306" operator="between" text="L">
      <formula>NOT(ISERROR(SEARCH("L",I160)))</formula>
    </cfRule>
    <cfRule type="containsText" dxfId="6" priority="307" operator="between" text="A">
      <formula>NOT(ISERROR(SEARCH("A",I160)))</formula>
    </cfRule>
    <cfRule type="containsText" dxfId="7" priority="308" operator="between" text="S">
      <formula>NOT(ISERROR(SEARCH("S",I160)))</formula>
    </cfRule>
    <cfRule type="containsText" dxfId="5" priority="309" operator="between" text="OFF">
      <formula>NOT(ISERROR(SEARCH("OFF",I160)))</formula>
    </cfRule>
    <cfRule type="containsText" dxfId="7" priority="310" operator="between" text="OFF">
      <formula>NOT(ISERROR(SEARCH("OFF",I160)))</formula>
    </cfRule>
  </conditionalFormatting>
  <conditionalFormatting sqref="I168:I179">
    <cfRule type="containsText" dxfId="3" priority="291" operator="between" text="OFF">
      <formula>NOT(ISERROR(SEARCH("OFF",I168)))</formula>
    </cfRule>
    <cfRule type="containsText" dxfId="4" priority="292" operator="between" text="OFF">
      <formula>NOT(ISERROR(SEARCH("OFF",I168)))</formula>
    </cfRule>
    <cfRule type="containsText" dxfId="5" priority="293" operator="between" text="S">
      <formula>NOT(ISERROR(SEARCH("S",I168)))</formula>
    </cfRule>
    <cfRule type="containsText" dxfId="6" priority="294" operator="between" text="I">
      <formula>NOT(ISERROR(SEARCH("I",I168)))</formula>
    </cfRule>
    <cfRule type="containsText" dxfId="7" priority="295" operator="between" text="A">
      <formula>NOT(ISERROR(SEARCH("A",I168)))</formula>
    </cfRule>
    <cfRule type="containsText" dxfId="8" priority="296" operator="between" text="L">
      <formula>NOT(ISERROR(SEARCH("L",I168)))</formula>
    </cfRule>
    <cfRule type="containsText" dxfId="6" priority="297" operator="between" text="A">
      <formula>NOT(ISERROR(SEARCH("A",I168)))</formula>
    </cfRule>
    <cfRule type="containsText" dxfId="7" priority="298" operator="between" text="S">
      <formula>NOT(ISERROR(SEARCH("S",I168)))</formula>
    </cfRule>
    <cfRule type="containsText" dxfId="5" priority="299" operator="between" text="OFF">
      <formula>NOT(ISERROR(SEARCH("OFF",I168)))</formula>
    </cfRule>
    <cfRule type="containsText" dxfId="7" priority="300" operator="between" text="OFF">
      <formula>NOT(ISERROR(SEARCH("OFF",I168)))</formula>
    </cfRule>
  </conditionalFormatting>
  <conditionalFormatting sqref="I195:I200">
    <cfRule type="containsText" dxfId="3" priority="261" operator="between" text="OFF">
      <formula>NOT(ISERROR(SEARCH("OFF",I195)))</formula>
    </cfRule>
    <cfRule type="containsText" dxfId="4" priority="262" operator="between" text="OFF">
      <formula>NOT(ISERROR(SEARCH("OFF",I195)))</formula>
    </cfRule>
    <cfRule type="containsText" dxfId="5" priority="263" operator="between" text="S">
      <formula>NOT(ISERROR(SEARCH("S",I195)))</formula>
    </cfRule>
    <cfRule type="containsText" dxfId="6" priority="264" operator="between" text="I">
      <formula>NOT(ISERROR(SEARCH("I",I195)))</formula>
    </cfRule>
    <cfRule type="containsText" dxfId="7" priority="265" operator="between" text="A">
      <formula>NOT(ISERROR(SEARCH("A",I195)))</formula>
    </cfRule>
    <cfRule type="containsText" dxfId="8" priority="266" operator="between" text="L">
      <formula>NOT(ISERROR(SEARCH("L",I195)))</formula>
    </cfRule>
    <cfRule type="containsText" dxfId="6" priority="267" operator="between" text="A">
      <formula>NOT(ISERROR(SEARCH("A",I195)))</formula>
    </cfRule>
    <cfRule type="containsText" dxfId="7" priority="268" operator="between" text="S">
      <formula>NOT(ISERROR(SEARCH("S",I195)))</formula>
    </cfRule>
    <cfRule type="containsText" dxfId="5" priority="269" operator="between" text="OFF">
      <formula>NOT(ISERROR(SEARCH("OFF",I195)))</formula>
    </cfRule>
    <cfRule type="containsText" dxfId="7" priority="270" operator="between" text="OFF">
      <formula>NOT(ISERROR(SEARCH("OFF",I195)))</formula>
    </cfRule>
  </conditionalFormatting>
  <conditionalFormatting sqref="I222:I229">
    <cfRule type="containsText" dxfId="3" priority="181" operator="between" text="OFF">
      <formula>NOT(ISERROR(SEARCH("OFF",I222)))</formula>
    </cfRule>
    <cfRule type="containsText" dxfId="4" priority="182" operator="between" text="OFF">
      <formula>NOT(ISERROR(SEARCH("OFF",I222)))</formula>
    </cfRule>
    <cfRule type="containsText" dxfId="5" priority="183" operator="between" text="S">
      <formula>NOT(ISERROR(SEARCH("S",I222)))</formula>
    </cfRule>
    <cfRule type="containsText" dxfId="6" priority="184" operator="between" text="I">
      <formula>NOT(ISERROR(SEARCH("I",I222)))</formula>
    </cfRule>
    <cfRule type="containsText" dxfId="7" priority="185" operator="between" text="A">
      <formula>NOT(ISERROR(SEARCH("A",I222)))</formula>
    </cfRule>
    <cfRule type="containsText" dxfId="8" priority="186" operator="between" text="L">
      <formula>NOT(ISERROR(SEARCH("L",I222)))</formula>
    </cfRule>
    <cfRule type="containsText" dxfId="6" priority="187" operator="between" text="A">
      <formula>NOT(ISERROR(SEARCH("A",I222)))</formula>
    </cfRule>
    <cfRule type="containsText" dxfId="7" priority="188" operator="between" text="S">
      <formula>NOT(ISERROR(SEARCH("S",I222)))</formula>
    </cfRule>
    <cfRule type="containsText" dxfId="5" priority="189" operator="between" text="OFF">
      <formula>NOT(ISERROR(SEARCH("OFF",I222)))</formula>
    </cfRule>
    <cfRule type="containsText" dxfId="7" priority="190" operator="between" text="OFF">
      <formula>NOT(ISERROR(SEARCH("OFF",I222)))</formula>
    </cfRule>
  </conditionalFormatting>
  <conditionalFormatting sqref="AJ44:AJ192">
    <cfRule type="containsText" dxfId="3" priority="2711" operator="between" text="OFF">
      <formula>NOT(ISERROR(SEARCH("OFF",AJ44)))</formula>
    </cfRule>
    <cfRule type="containsText" dxfId="4" priority="2712" operator="between" text="OFF">
      <formula>NOT(ISERROR(SEARCH("OFF",AJ44)))</formula>
    </cfRule>
    <cfRule type="containsText" dxfId="5" priority="2713" operator="between" text="S">
      <formula>NOT(ISERROR(SEARCH("S",AJ44)))</formula>
    </cfRule>
    <cfRule type="containsText" dxfId="6" priority="2714" operator="between" text="I">
      <formula>NOT(ISERROR(SEARCH("I",AJ44)))</formula>
    </cfRule>
    <cfRule type="containsText" dxfId="7" priority="2715" operator="between" text="A">
      <formula>NOT(ISERROR(SEARCH("A",AJ44)))</formula>
    </cfRule>
    <cfRule type="containsText" dxfId="8" priority="2716" operator="between" text="L">
      <formula>NOT(ISERROR(SEARCH("L",AJ44)))</formula>
    </cfRule>
    <cfRule type="containsText" dxfId="6" priority="2717" operator="between" text="A">
      <formula>NOT(ISERROR(SEARCH("A",AJ44)))</formula>
    </cfRule>
    <cfRule type="containsText" dxfId="7" priority="2718" operator="between" text="S">
      <formula>NOT(ISERROR(SEARCH("S",AJ44)))</formula>
    </cfRule>
    <cfRule type="containsText" dxfId="5" priority="2719" operator="between" text="OFF">
      <formula>NOT(ISERROR(SEARCH("OFF",AJ44)))</formula>
    </cfRule>
    <cfRule type="containsText" dxfId="7" priority="2720" operator="between" text="OFF">
      <formula>NOT(ISERROR(SEARCH("OFF",AJ44)))</formula>
    </cfRule>
  </conditionalFormatting>
  <conditionalFormatting sqref="J160:N161">
    <cfRule type="containsText" dxfId="3" priority="121" operator="between" text="OFF">
      <formula>NOT(ISERROR(SEARCH("OFF",J160)))</formula>
    </cfRule>
    <cfRule type="containsText" dxfId="4" priority="122" operator="between" text="OFF">
      <formula>NOT(ISERROR(SEARCH("OFF",J160)))</formula>
    </cfRule>
    <cfRule type="containsText" dxfId="5" priority="123" operator="between" text="S">
      <formula>NOT(ISERROR(SEARCH("S",J160)))</formula>
    </cfRule>
    <cfRule type="containsText" dxfId="6" priority="124" operator="between" text="I">
      <formula>NOT(ISERROR(SEARCH("I",J160)))</formula>
    </cfRule>
    <cfRule type="containsText" dxfId="7" priority="125" operator="between" text="A">
      <formula>NOT(ISERROR(SEARCH("A",J160)))</formula>
    </cfRule>
    <cfRule type="containsText" dxfId="8" priority="126" operator="between" text="L">
      <formula>NOT(ISERROR(SEARCH("L",J160)))</formula>
    </cfRule>
    <cfRule type="containsText" dxfId="6" priority="127" operator="between" text="A">
      <formula>NOT(ISERROR(SEARCH("A",J160)))</formula>
    </cfRule>
    <cfRule type="containsText" dxfId="7" priority="128" operator="between" text="S">
      <formula>NOT(ISERROR(SEARCH("S",J160)))</formula>
    </cfRule>
    <cfRule type="containsText" dxfId="5" priority="129" operator="between" text="OFF">
      <formula>NOT(ISERROR(SEARCH("OFF",J160)))</formula>
    </cfRule>
    <cfRule type="containsText" dxfId="7" priority="130" operator="between" text="OFF">
      <formula>NOT(ISERROR(SEARCH("OFF",J160)))</formula>
    </cfRule>
  </conditionalFormatting>
  <conditionalFormatting sqref="O160:AH161">
    <cfRule type="containsText" dxfId="3" priority="61" operator="between" text="OFF">
      <formula>NOT(ISERROR(SEARCH("OFF",O160)))</formula>
    </cfRule>
    <cfRule type="containsText" dxfId="4" priority="62" operator="between" text="OFF">
      <formula>NOT(ISERROR(SEARCH("OFF",O160)))</formula>
    </cfRule>
    <cfRule type="containsText" dxfId="5" priority="63" operator="between" text="S">
      <formula>NOT(ISERROR(SEARCH("S",O160)))</formula>
    </cfRule>
    <cfRule type="containsText" dxfId="6" priority="64" operator="between" text="I">
      <formula>NOT(ISERROR(SEARCH("I",O160)))</formula>
    </cfRule>
    <cfRule type="containsText" dxfId="7" priority="65" operator="between" text="A">
      <formula>NOT(ISERROR(SEARCH("A",O160)))</formula>
    </cfRule>
    <cfRule type="containsText" dxfId="8" priority="66" operator="between" text="L">
      <formula>NOT(ISERROR(SEARCH("L",O160)))</formula>
    </cfRule>
    <cfRule type="containsText" dxfId="6" priority="67" operator="between" text="A">
      <formula>NOT(ISERROR(SEARCH("A",O160)))</formula>
    </cfRule>
    <cfRule type="containsText" dxfId="7" priority="68" operator="between" text="S">
      <formula>NOT(ISERROR(SEARCH("S",O160)))</formula>
    </cfRule>
    <cfRule type="containsText" dxfId="5" priority="69" operator="between" text="OFF">
      <formula>NOT(ISERROR(SEARCH("OFF",O160)))</formula>
    </cfRule>
    <cfRule type="containsText" dxfId="7" priority="70" operator="between" text="OFF">
      <formula>NOT(ISERROR(SEARCH("OFF",O160)))</formula>
    </cfRule>
  </conditionalFormatting>
  <conditionalFormatting sqref="J168:N179">
    <cfRule type="containsText" dxfId="3" priority="111" operator="between" text="OFF">
      <formula>NOT(ISERROR(SEARCH("OFF",J168)))</formula>
    </cfRule>
    <cfRule type="containsText" dxfId="4" priority="112" operator="between" text="OFF">
      <formula>NOT(ISERROR(SEARCH("OFF",J168)))</formula>
    </cfRule>
    <cfRule type="containsText" dxfId="5" priority="113" operator="between" text="S">
      <formula>NOT(ISERROR(SEARCH("S",J168)))</formula>
    </cfRule>
    <cfRule type="containsText" dxfId="6" priority="114" operator="between" text="I">
      <formula>NOT(ISERROR(SEARCH("I",J168)))</formula>
    </cfRule>
    <cfRule type="containsText" dxfId="7" priority="115" operator="between" text="A">
      <formula>NOT(ISERROR(SEARCH("A",J168)))</formula>
    </cfRule>
    <cfRule type="containsText" dxfId="8" priority="116" operator="between" text="L">
      <formula>NOT(ISERROR(SEARCH("L",J168)))</formula>
    </cfRule>
    <cfRule type="containsText" dxfId="6" priority="117" operator="between" text="A">
      <formula>NOT(ISERROR(SEARCH("A",J168)))</formula>
    </cfRule>
    <cfRule type="containsText" dxfId="7" priority="118" operator="between" text="S">
      <formula>NOT(ISERROR(SEARCH("S",J168)))</formula>
    </cfRule>
    <cfRule type="containsText" dxfId="5" priority="119" operator="between" text="OFF">
      <formula>NOT(ISERROR(SEARCH("OFF",J168)))</formula>
    </cfRule>
    <cfRule type="containsText" dxfId="7" priority="120" operator="between" text="OFF">
      <formula>NOT(ISERROR(SEARCH("OFF",J168)))</formula>
    </cfRule>
  </conditionalFormatting>
  <conditionalFormatting sqref="O168:AH179">
    <cfRule type="containsText" dxfId="3" priority="51" operator="between" text="OFF">
      <formula>NOT(ISERROR(SEARCH("OFF",O168)))</formula>
    </cfRule>
    <cfRule type="containsText" dxfId="4" priority="52" operator="between" text="OFF">
      <formula>NOT(ISERROR(SEARCH("OFF",O168)))</formula>
    </cfRule>
    <cfRule type="containsText" dxfId="5" priority="53" operator="between" text="S">
      <formula>NOT(ISERROR(SEARCH("S",O168)))</formula>
    </cfRule>
    <cfRule type="containsText" dxfId="6" priority="54" operator="between" text="I">
      <formula>NOT(ISERROR(SEARCH("I",O168)))</formula>
    </cfRule>
    <cfRule type="containsText" dxfId="7" priority="55" operator="between" text="A">
      <formula>NOT(ISERROR(SEARCH("A",O168)))</formula>
    </cfRule>
    <cfRule type="containsText" dxfId="8" priority="56" operator="between" text="L">
      <formula>NOT(ISERROR(SEARCH("L",O168)))</formula>
    </cfRule>
    <cfRule type="containsText" dxfId="6" priority="57" operator="between" text="A">
      <formula>NOT(ISERROR(SEARCH("A",O168)))</formula>
    </cfRule>
    <cfRule type="containsText" dxfId="7" priority="58" operator="between" text="S">
      <formula>NOT(ISERROR(SEARCH("S",O168)))</formula>
    </cfRule>
    <cfRule type="containsText" dxfId="5" priority="59" operator="between" text="OFF">
      <formula>NOT(ISERROR(SEARCH("OFF",O168)))</formula>
    </cfRule>
    <cfRule type="containsText" dxfId="7" priority="60" operator="between" text="OFF">
      <formula>NOT(ISERROR(SEARCH("OFF",O168)))</formula>
    </cfRule>
  </conditionalFormatting>
  <conditionalFormatting sqref="J196:N200">
    <cfRule type="containsText" dxfId="3" priority="101" operator="between" text="OFF">
      <formula>NOT(ISERROR(SEARCH("OFF",J196)))</formula>
    </cfRule>
    <cfRule type="containsText" dxfId="4" priority="102" operator="between" text="OFF">
      <formula>NOT(ISERROR(SEARCH("OFF",J196)))</formula>
    </cfRule>
    <cfRule type="containsText" dxfId="5" priority="103" operator="between" text="S">
      <formula>NOT(ISERROR(SEARCH("S",J196)))</formula>
    </cfRule>
    <cfRule type="containsText" dxfId="6" priority="104" operator="between" text="I">
      <formula>NOT(ISERROR(SEARCH("I",J196)))</formula>
    </cfRule>
    <cfRule type="containsText" dxfId="7" priority="105" operator="between" text="A">
      <formula>NOT(ISERROR(SEARCH("A",J196)))</formula>
    </cfRule>
    <cfRule type="containsText" dxfId="8" priority="106" operator="between" text="L">
      <formula>NOT(ISERROR(SEARCH("L",J196)))</formula>
    </cfRule>
    <cfRule type="containsText" dxfId="6" priority="107" operator="between" text="A">
      <formula>NOT(ISERROR(SEARCH("A",J196)))</formula>
    </cfRule>
    <cfRule type="containsText" dxfId="7" priority="108" operator="between" text="S">
      <formula>NOT(ISERROR(SEARCH("S",J196)))</formula>
    </cfRule>
    <cfRule type="containsText" dxfId="5" priority="109" operator="between" text="OFF">
      <formula>NOT(ISERROR(SEARCH("OFF",J196)))</formula>
    </cfRule>
    <cfRule type="containsText" dxfId="7" priority="110" operator="between" text="OFF">
      <formula>NOT(ISERROR(SEARCH("OFF",J196)))</formula>
    </cfRule>
  </conditionalFormatting>
  <conditionalFormatting sqref="O196:AH200">
    <cfRule type="containsText" dxfId="3" priority="41" operator="between" text="OFF">
      <formula>NOT(ISERROR(SEARCH("OFF",O196)))</formula>
    </cfRule>
    <cfRule type="containsText" dxfId="4" priority="42" operator="between" text="OFF">
      <formula>NOT(ISERROR(SEARCH("OFF",O196)))</formula>
    </cfRule>
    <cfRule type="containsText" dxfId="5" priority="43" operator="between" text="S">
      <formula>NOT(ISERROR(SEARCH("S",O196)))</formula>
    </cfRule>
    <cfRule type="containsText" dxfId="6" priority="44" operator="between" text="I">
      <formula>NOT(ISERROR(SEARCH("I",O196)))</formula>
    </cfRule>
    <cfRule type="containsText" dxfId="7" priority="45" operator="between" text="A">
      <formula>NOT(ISERROR(SEARCH("A",O196)))</formula>
    </cfRule>
    <cfRule type="containsText" dxfId="8" priority="46" operator="between" text="L">
      <formula>NOT(ISERROR(SEARCH("L",O196)))</formula>
    </cfRule>
    <cfRule type="containsText" dxfId="6" priority="47" operator="between" text="A">
      <formula>NOT(ISERROR(SEARCH("A",O196)))</formula>
    </cfRule>
    <cfRule type="containsText" dxfId="7" priority="48" operator="between" text="S">
      <formula>NOT(ISERROR(SEARCH("S",O196)))</formula>
    </cfRule>
    <cfRule type="containsText" dxfId="5" priority="49" operator="between" text="OFF">
      <formula>NOT(ISERROR(SEARCH("OFF",O196)))</formula>
    </cfRule>
    <cfRule type="containsText" dxfId="7" priority="50" operator="between" text="OFF">
      <formula>NOT(ISERROR(SEARCH("OFF",O196)))</formula>
    </cfRule>
  </conditionalFormatting>
  <printOptions horizontalCentered="1"/>
  <pageMargins left="0" right="0" top="0" bottom="0" header="0" footer="0"/>
  <pageSetup paperSize="9" scale="23" orientation="portrait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96"/>
  <sheetViews>
    <sheetView zoomScale="85" zoomScaleNormal="85" topLeftCell="A128" workbookViewId="0">
      <pane xSplit="5" topLeftCell="X1" activePane="topRight" state="frozen"/>
      <selection/>
      <selection pane="topRight" activeCell="A146" sqref="A146:C146"/>
    </sheetView>
  </sheetViews>
  <sheetFormatPr defaultColWidth="9.09090909090909" defaultRowHeight="14.5"/>
  <cols>
    <col min="1" max="1" width="34.8181818181818" customWidth="1"/>
    <col min="2" max="2" width="18.5454545454545" customWidth="1"/>
    <col min="3" max="3" width="15.0909090909091" customWidth="1"/>
    <col min="4" max="28" width="7.90909090909091" customWidth="1"/>
    <col min="29" max="34" width="7.90909090909091" style="22" customWidth="1"/>
    <col min="35" max="35" width="8" style="116" customWidth="1"/>
    <col min="36" max="36" width="6.90909090909091" customWidth="1"/>
    <col min="37" max="39" width="6.36363636363636" customWidth="1"/>
    <col min="40" max="40" width="7.36363636363636" customWidth="1"/>
    <col min="41" max="41" width="24.0909090909091" customWidth="1"/>
    <col min="42" max="43" width="15.6363636363636" customWidth="1"/>
  </cols>
  <sheetData>
    <row r="1" hidden="1"/>
    <row r="2" hidden="1" spans="1:43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1"/>
      <c r="AD2" s="31"/>
      <c r="AE2" s="31"/>
      <c r="AF2" s="31"/>
      <c r="AG2" s="31"/>
      <c r="AH2" s="31"/>
      <c r="AI2" s="133"/>
    </row>
    <row r="3" ht="15.25" hidden="1" spans="1:43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1"/>
      <c r="AD3" s="31"/>
      <c r="AE3" s="31"/>
      <c r="AF3" s="31"/>
      <c r="AG3" s="31"/>
      <c r="AH3" s="31"/>
      <c r="AI3" s="133"/>
    </row>
    <row r="4" ht="34.5" hidden="1" spans="1:43">
      <c r="A4" s="41"/>
      <c r="B4" s="41"/>
      <c r="C4" s="41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134"/>
    </row>
    <row r="5" ht="34.5" hidden="1" spans="1:43">
      <c r="A5" s="45"/>
      <c r="B5" s="45"/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134"/>
    </row>
    <row r="6" ht="35.25" hidden="1" spans="1:43">
      <c r="A6" s="45"/>
      <c r="B6" s="45"/>
      <c r="C6" s="45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134"/>
    </row>
    <row r="7" ht="22.5" hidden="1" spans="1:43">
      <c r="A7" s="45"/>
      <c r="B7" s="45"/>
      <c r="C7" s="45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135"/>
    </row>
    <row r="8" ht="23.25" hidden="1" spans="1:43">
      <c r="A8" s="54"/>
      <c r="B8" s="54"/>
      <c r="C8" s="54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135"/>
    </row>
    <row r="9" ht="15.25" hidden="1" spans="1:4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1"/>
      <c r="AD9" s="31"/>
      <c r="AE9" s="31"/>
      <c r="AF9" s="31"/>
      <c r="AG9" s="31"/>
      <c r="AH9" s="31"/>
      <c r="AI9" s="133"/>
    </row>
    <row r="10" ht="24" customHeight="1" spans="1:43">
      <c r="A10" s="1" t="s">
        <v>1</v>
      </c>
      <c r="B10" s="2" t="s">
        <v>2</v>
      </c>
      <c r="C10" s="2" t="s">
        <v>3</v>
      </c>
      <c r="D10" s="136" t="s">
        <v>555</v>
      </c>
      <c r="E10" s="137"/>
      <c r="F10" s="137"/>
      <c r="G10" s="137"/>
      <c r="H10" s="137"/>
      <c r="I10" s="137"/>
      <c r="J10" s="137"/>
      <c r="K10" s="137"/>
      <c r="L10" s="137"/>
      <c r="M10" s="137"/>
      <c r="N10" s="138"/>
      <c r="O10" s="1" t="s">
        <v>556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39"/>
      <c r="AJ10" s="23" t="s">
        <v>5</v>
      </c>
      <c r="AK10" s="24"/>
      <c r="AL10" s="24"/>
      <c r="AM10" s="24"/>
      <c r="AN10" s="2" t="s">
        <v>6</v>
      </c>
      <c r="AO10" s="2" t="s">
        <v>5</v>
      </c>
      <c r="AP10" s="26" t="s">
        <v>8</v>
      </c>
      <c r="AQ10" s="27" t="s">
        <v>9</v>
      </c>
    </row>
    <row r="11" ht="17.25" spans="1:43">
      <c r="A11" s="1"/>
      <c r="B11" s="32"/>
      <c r="C11" s="32"/>
      <c r="D11" s="58">
        <v>21</v>
      </c>
      <c r="E11" s="58">
        <v>22</v>
      </c>
      <c r="F11" s="58">
        <v>23</v>
      </c>
      <c r="G11" s="58">
        <v>24</v>
      </c>
      <c r="H11" s="58">
        <v>25</v>
      </c>
      <c r="I11" s="58">
        <v>26</v>
      </c>
      <c r="J11" s="58">
        <v>27</v>
      </c>
      <c r="K11" s="58">
        <v>28</v>
      </c>
      <c r="L11" s="58">
        <v>29</v>
      </c>
      <c r="M11" s="58">
        <v>30</v>
      </c>
      <c r="N11" s="58">
        <v>31</v>
      </c>
      <c r="O11" s="126">
        <v>1</v>
      </c>
      <c r="P11" s="126">
        <v>2</v>
      </c>
      <c r="Q11" s="126">
        <v>3</v>
      </c>
      <c r="R11" s="126">
        <v>4</v>
      </c>
      <c r="S11" s="126">
        <v>5</v>
      </c>
      <c r="T11" s="126">
        <v>6</v>
      </c>
      <c r="U11" s="126">
        <v>7</v>
      </c>
      <c r="V11" s="126">
        <v>8</v>
      </c>
      <c r="W11" s="126">
        <v>9</v>
      </c>
      <c r="X11" s="126">
        <v>10</v>
      </c>
      <c r="Y11" s="126">
        <v>11</v>
      </c>
      <c r="Z11" s="126">
        <v>12</v>
      </c>
      <c r="AA11" s="126">
        <v>13</v>
      </c>
      <c r="AB11" s="126">
        <v>14</v>
      </c>
      <c r="AC11" s="126">
        <v>15</v>
      </c>
      <c r="AD11" s="126">
        <v>16</v>
      </c>
      <c r="AE11" s="126">
        <v>17</v>
      </c>
      <c r="AF11" s="126">
        <v>18</v>
      </c>
      <c r="AG11" s="126">
        <v>19</v>
      </c>
      <c r="AH11" s="126">
        <v>20</v>
      </c>
      <c r="AI11" s="140"/>
      <c r="AJ11" s="11" t="s">
        <v>11</v>
      </c>
      <c r="AK11" s="11" t="s">
        <v>12</v>
      </c>
      <c r="AL11" s="11" t="s">
        <v>13</v>
      </c>
      <c r="AM11" s="11" t="s">
        <v>557</v>
      </c>
      <c r="AN11" s="32"/>
      <c r="AO11" s="32"/>
      <c r="AP11" s="33"/>
      <c r="AQ11" s="34"/>
    </row>
    <row r="12" ht="17.25" hidden="1" spans="1:43">
      <c r="A12" s="127"/>
      <c r="B12" s="127"/>
      <c r="C12" s="127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I12" s="141"/>
      <c r="AJ12" s="9"/>
      <c r="AK12" s="9"/>
      <c r="AL12" s="9"/>
      <c r="AM12" s="9"/>
      <c r="AN12" s="32"/>
      <c r="AO12" s="32"/>
      <c r="AP12" s="33"/>
      <c r="AQ12" s="34"/>
    </row>
    <row r="13" ht="15.25" spans="1:43">
      <c r="A13" s="59" t="s">
        <v>558</v>
      </c>
      <c r="B13" s="63" t="s">
        <v>165</v>
      </c>
      <c r="C13" s="65" t="s">
        <v>559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 t="s">
        <v>103</v>
      </c>
      <c r="AI13" s="113"/>
      <c r="AJ13" s="36">
        <f>COUNTIF(D13:AH13,"S")</f>
        <v>0</v>
      </c>
      <c r="AK13" s="36">
        <f>COUNTIF(D13:AH13,"I")</f>
        <v>1</v>
      </c>
      <c r="AL13" s="36">
        <f>COUNTIF(D13:AH13,"A")</f>
        <v>0</v>
      </c>
      <c r="AM13" s="36">
        <f>COUNTIF(D13:AI13,"PA")</f>
        <v>0</v>
      </c>
      <c r="AN13" s="38">
        <f>SUM(AJ13:AL13)</f>
        <v>1</v>
      </c>
      <c r="AO13" s="66" t="s">
        <v>382</v>
      </c>
      <c r="AP13" s="38">
        <v>16</v>
      </c>
      <c r="AQ13" s="39">
        <f>AN13/AP13</f>
        <v>0.0625</v>
      </c>
    </row>
    <row r="14" ht="15.25" spans="1:43">
      <c r="A14" s="59" t="s">
        <v>560</v>
      </c>
      <c r="B14" s="63" t="s">
        <v>16</v>
      </c>
      <c r="C14" s="65" t="s">
        <v>561</v>
      </c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 t="s">
        <v>13</v>
      </c>
      <c r="AB14" s="62" t="s">
        <v>13</v>
      </c>
      <c r="AC14" s="62" t="s">
        <v>13</v>
      </c>
      <c r="AD14" s="62"/>
      <c r="AE14" s="62"/>
      <c r="AF14" s="62"/>
      <c r="AG14" s="62"/>
      <c r="AH14" s="62"/>
      <c r="AI14" s="113"/>
      <c r="AJ14" s="36">
        <f t="shared" ref="AJ14:AJ45" si="0">COUNTIF(D14:AH14,"S")</f>
        <v>0</v>
      </c>
      <c r="AK14" s="36">
        <f t="shared" ref="AK14:AK45" si="1">COUNTIF(D14:AH14,"I")</f>
        <v>0</v>
      </c>
      <c r="AL14" s="36">
        <f t="shared" ref="AL14:AL45" si="2">COUNTIF(D14:AH14,"A")</f>
        <v>3</v>
      </c>
      <c r="AM14" s="36">
        <f t="shared" ref="AM14:AM45" si="3">COUNTIF(D14:AI14,"PA")</f>
        <v>0</v>
      </c>
      <c r="AN14" s="38">
        <f t="shared" ref="AN14:AN45" si="4">SUM(AJ14:AL14)</f>
        <v>3</v>
      </c>
      <c r="AO14" s="81"/>
      <c r="AP14" s="38">
        <v>16</v>
      </c>
      <c r="AQ14" s="39">
        <f t="shared" ref="AQ14:AQ45" si="5">AN14/AP14</f>
        <v>0.1875</v>
      </c>
    </row>
    <row r="15" ht="15.25" spans="1:43">
      <c r="A15" s="59" t="s">
        <v>562</v>
      </c>
      <c r="B15" s="63" t="s">
        <v>16</v>
      </c>
      <c r="C15" s="65" t="s">
        <v>506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113"/>
      <c r="AJ15" s="36">
        <f t="shared" si="0"/>
        <v>0</v>
      </c>
      <c r="AK15" s="36">
        <f t="shared" si="1"/>
        <v>0</v>
      </c>
      <c r="AL15" s="36">
        <f t="shared" si="2"/>
        <v>0</v>
      </c>
      <c r="AM15" s="36">
        <f t="shared" si="3"/>
        <v>0</v>
      </c>
      <c r="AN15" s="38">
        <f t="shared" si="4"/>
        <v>0</v>
      </c>
      <c r="AO15" s="38"/>
      <c r="AP15" s="38">
        <v>16</v>
      </c>
      <c r="AQ15" s="39">
        <f t="shared" si="5"/>
        <v>0</v>
      </c>
    </row>
    <row r="16" ht="15.25" spans="1:43">
      <c r="A16" s="59" t="s">
        <v>563</v>
      </c>
      <c r="B16" s="63" t="s">
        <v>564</v>
      </c>
      <c r="C16" s="65" t="s">
        <v>506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113"/>
      <c r="AJ16" s="36">
        <f t="shared" si="0"/>
        <v>0</v>
      </c>
      <c r="AK16" s="36">
        <f t="shared" si="1"/>
        <v>0</v>
      </c>
      <c r="AL16" s="36">
        <f t="shared" si="2"/>
        <v>0</v>
      </c>
      <c r="AM16" s="36">
        <f t="shared" si="3"/>
        <v>0</v>
      </c>
      <c r="AN16" s="38">
        <f t="shared" si="4"/>
        <v>0</v>
      </c>
      <c r="AO16" s="52"/>
      <c r="AP16" s="38">
        <v>16</v>
      </c>
      <c r="AQ16" s="39">
        <f t="shared" si="5"/>
        <v>0</v>
      </c>
    </row>
    <row r="17" ht="15.25" spans="1:43">
      <c r="A17" s="59" t="s">
        <v>565</v>
      </c>
      <c r="B17" s="63" t="s">
        <v>165</v>
      </c>
      <c r="C17" s="65" t="s">
        <v>508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113"/>
      <c r="AJ17" s="36">
        <f t="shared" si="0"/>
        <v>0</v>
      </c>
      <c r="AK17" s="36">
        <f t="shared" si="1"/>
        <v>0</v>
      </c>
      <c r="AL17" s="36">
        <f t="shared" si="2"/>
        <v>0</v>
      </c>
      <c r="AM17" s="36">
        <f t="shared" si="3"/>
        <v>0</v>
      </c>
      <c r="AN17" s="38">
        <f t="shared" si="4"/>
        <v>0</v>
      </c>
      <c r="AO17" s="66" t="s">
        <v>459</v>
      </c>
      <c r="AP17" s="38">
        <v>16</v>
      </c>
      <c r="AQ17" s="39">
        <f t="shared" si="5"/>
        <v>0</v>
      </c>
    </row>
    <row r="18" ht="15.25" spans="1:43">
      <c r="A18" s="59" t="s">
        <v>566</v>
      </c>
      <c r="B18" s="63" t="s">
        <v>16</v>
      </c>
      <c r="C18" s="65" t="s">
        <v>567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113"/>
      <c r="AJ18" s="36">
        <f t="shared" si="0"/>
        <v>0</v>
      </c>
      <c r="AK18" s="36">
        <f t="shared" si="1"/>
        <v>0</v>
      </c>
      <c r="AL18" s="36">
        <f t="shared" si="2"/>
        <v>0</v>
      </c>
      <c r="AM18" s="36">
        <f t="shared" si="3"/>
        <v>0</v>
      </c>
      <c r="AN18" s="38">
        <f t="shared" si="4"/>
        <v>0</v>
      </c>
      <c r="AO18" s="38"/>
      <c r="AP18" s="38">
        <v>16</v>
      </c>
      <c r="AQ18" s="39">
        <f t="shared" si="5"/>
        <v>0</v>
      </c>
    </row>
    <row r="19" ht="15.25" spans="1:43">
      <c r="A19" s="59" t="s">
        <v>568</v>
      </c>
      <c r="B19" s="63" t="s">
        <v>16</v>
      </c>
      <c r="C19" s="65" t="s">
        <v>567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 t="s">
        <v>11</v>
      </c>
      <c r="X19" s="62" t="s">
        <v>11</v>
      </c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113"/>
      <c r="AJ19" s="36">
        <f t="shared" si="0"/>
        <v>2</v>
      </c>
      <c r="AK19" s="36">
        <f t="shared" si="1"/>
        <v>0</v>
      </c>
      <c r="AL19" s="36">
        <f t="shared" si="2"/>
        <v>0</v>
      </c>
      <c r="AM19" s="36">
        <f t="shared" si="3"/>
        <v>0</v>
      </c>
      <c r="AN19" s="38">
        <f t="shared" si="4"/>
        <v>2</v>
      </c>
      <c r="AO19" s="66" t="s">
        <v>336</v>
      </c>
      <c r="AP19" s="38">
        <v>16</v>
      </c>
      <c r="AQ19" s="39">
        <f t="shared" si="5"/>
        <v>0.125</v>
      </c>
    </row>
    <row r="20" ht="15.25" spans="1:43">
      <c r="A20" s="59" t="s">
        <v>569</v>
      </c>
      <c r="B20" s="63" t="s">
        <v>564</v>
      </c>
      <c r="C20" s="65" t="s">
        <v>567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113"/>
      <c r="AJ20" s="36">
        <f t="shared" si="0"/>
        <v>0</v>
      </c>
      <c r="AK20" s="36">
        <f t="shared" si="1"/>
        <v>0</v>
      </c>
      <c r="AL20" s="36">
        <f t="shared" si="2"/>
        <v>0</v>
      </c>
      <c r="AM20" s="36">
        <f t="shared" si="3"/>
        <v>0</v>
      </c>
      <c r="AN20" s="38">
        <f t="shared" si="4"/>
        <v>0</v>
      </c>
      <c r="AO20" s="52" t="s">
        <v>193</v>
      </c>
      <c r="AP20" s="38">
        <v>16</v>
      </c>
      <c r="AQ20" s="39">
        <f t="shared" si="5"/>
        <v>0</v>
      </c>
    </row>
    <row r="21" ht="15.25" spans="1:43">
      <c r="A21" s="59" t="s">
        <v>570</v>
      </c>
      <c r="B21" s="63" t="s">
        <v>16</v>
      </c>
      <c r="C21" s="65" t="s">
        <v>571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 t="s">
        <v>103</v>
      </c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113"/>
      <c r="AJ21" s="36">
        <f t="shared" si="0"/>
        <v>0</v>
      </c>
      <c r="AK21" s="36">
        <f t="shared" si="1"/>
        <v>1</v>
      </c>
      <c r="AL21" s="36">
        <f t="shared" si="2"/>
        <v>0</v>
      </c>
      <c r="AM21" s="36">
        <f t="shared" si="3"/>
        <v>0</v>
      </c>
      <c r="AN21" s="38">
        <f t="shared" si="4"/>
        <v>1</v>
      </c>
      <c r="AO21" s="66" t="s">
        <v>336</v>
      </c>
      <c r="AP21" s="38">
        <v>16</v>
      </c>
      <c r="AQ21" s="39">
        <f t="shared" si="5"/>
        <v>0.0625</v>
      </c>
    </row>
    <row r="22" ht="15.25" spans="1:43">
      <c r="A22" s="59" t="s">
        <v>572</v>
      </c>
      <c r="B22" s="63" t="s">
        <v>564</v>
      </c>
      <c r="C22" s="65" t="s">
        <v>573</v>
      </c>
      <c r="D22" s="62"/>
      <c r="E22" s="62"/>
      <c r="F22" s="62"/>
      <c r="G22" s="62"/>
      <c r="H22" s="62"/>
      <c r="I22" s="62"/>
      <c r="J22" s="62"/>
      <c r="K22" s="62" t="s">
        <v>12</v>
      </c>
      <c r="L22" s="62"/>
      <c r="M22" s="62"/>
      <c r="N22" s="62" t="s">
        <v>12</v>
      </c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113"/>
      <c r="AJ22" s="36">
        <f t="shared" si="0"/>
        <v>0</v>
      </c>
      <c r="AK22" s="36">
        <f t="shared" si="1"/>
        <v>2</v>
      </c>
      <c r="AL22" s="36">
        <f t="shared" si="2"/>
        <v>0</v>
      </c>
      <c r="AM22" s="36">
        <f t="shared" si="3"/>
        <v>0</v>
      </c>
      <c r="AN22" s="38">
        <f t="shared" si="4"/>
        <v>2</v>
      </c>
      <c r="AO22" s="38" t="s">
        <v>303</v>
      </c>
      <c r="AP22" s="38">
        <v>16</v>
      </c>
      <c r="AQ22" s="39">
        <f t="shared" si="5"/>
        <v>0.125</v>
      </c>
    </row>
    <row r="23" ht="15.25" spans="1:43">
      <c r="A23" s="59" t="s">
        <v>574</v>
      </c>
      <c r="B23" s="63" t="s">
        <v>16</v>
      </c>
      <c r="C23" s="65" t="s">
        <v>322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113"/>
      <c r="AJ23" s="36">
        <f t="shared" si="0"/>
        <v>0</v>
      </c>
      <c r="AK23" s="36">
        <f t="shared" si="1"/>
        <v>0</v>
      </c>
      <c r="AL23" s="36">
        <f t="shared" si="2"/>
        <v>0</v>
      </c>
      <c r="AM23" s="36">
        <f t="shared" si="3"/>
        <v>0</v>
      </c>
      <c r="AN23" s="38">
        <f t="shared" si="4"/>
        <v>0</v>
      </c>
      <c r="AO23" s="38" t="s">
        <v>25</v>
      </c>
      <c r="AP23" s="38">
        <v>16</v>
      </c>
      <c r="AQ23" s="39">
        <f t="shared" si="5"/>
        <v>0</v>
      </c>
    </row>
    <row r="24" ht="15.25" spans="1:43">
      <c r="A24" s="59" t="s">
        <v>575</v>
      </c>
      <c r="B24" s="63" t="s">
        <v>16</v>
      </c>
      <c r="C24" s="65" t="s">
        <v>276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113"/>
      <c r="AJ24" s="36">
        <f t="shared" si="0"/>
        <v>0</v>
      </c>
      <c r="AK24" s="36">
        <f t="shared" si="1"/>
        <v>0</v>
      </c>
      <c r="AL24" s="36">
        <f t="shared" si="2"/>
        <v>0</v>
      </c>
      <c r="AM24" s="36">
        <f t="shared" si="3"/>
        <v>0</v>
      </c>
      <c r="AN24" s="38">
        <f t="shared" si="4"/>
        <v>0</v>
      </c>
      <c r="AO24" s="66" t="s">
        <v>423</v>
      </c>
      <c r="AP24" s="38">
        <v>16</v>
      </c>
      <c r="AQ24" s="39">
        <f t="shared" si="5"/>
        <v>0</v>
      </c>
    </row>
    <row r="25" ht="15.25" spans="1:43">
      <c r="A25" s="59" t="s">
        <v>576</v>
      </c>
      <c r="B25" s="63" t="s">
        <v>16</v>
      </c>
      <c r="C25" s="65" t="s">
        <v>276</v>
      </c>
      <c r="D25" s="62"/>
      <c r="E25" s="62"/>
      <c r="F25" s="62"/>
      <c r="G25" s="62"/>
      <c r="H25" s="62" t="s">
        <v>11</v>
      </c>
      <c r="I25" s="62" t="s">
        <v>11</v>
      </c>
      <c r="J25" s="62" t="s">
        <v>11</v>
      </c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 t="s">
        <v>11</v>
      </c>
      <c r="AH25" s="62" t="s">
        <v>11</v>
      </c>
      <c r="AI25" s="113"/>
      <c r="AJ25" s="36">
        <f t="shared" si="0"/>
        <v>5</v>
      </c>
      <c r="AK25" s="36">
        <f t="shared" si="1"/>
        <v>0</v>
      </c>
      <c r="AL25" s="36">
        <f t="shared" si="2"/>
        <v>0</v>
      </c>
      <c r="AM25" s="36">
        <f t="shared" si="3"/>
        <v>0</v>
      </c>
      <c r="AN25" s="38">
        <f t="shared" si="4"/>
        <v>5</v>
      </c>
      <c r="AO25" s="38" t="s">
        <v>168</v>
      </c>
      <c r="AP25" s="38">
        <v>16</v>
      </c>
      <c r="AQ25" s="39">
        <f t="shared" si="5"/>
        <v>0.3125</v>
      </c>
    </row>
    <row r="26" ht="15.25" spans="1:43">
      <c r="A26" s="59" t="s">
        <v>577</v>
      </c>
      <c r="B26" s="63" t="s">
        <v>165</v>
      </c>
      <c r="C26" s="65" t="s">
        <v>276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113"/>
      <c r="AJ26" s="36">
        <f t="shared" si="0"/>
        <v>0</v>
      </c>
      <c r="AK26" s="36">
        <f t="shared" si="1"/>
        <v>0</v>
      </c>
      <c r="AL26" s="36">
        <f t="shared" si="2"/>
        <v>0</v>
      </c>
      <c r="AM26" s="36">
        <f t="shared" si="3"/>
        <v>0</v>
      </c>
      <c r="AN26" s="38">
        <f t="shared" si="4"/>
        <v>0</v>
      </c>
      <c r="AO26" s="38" t="s">
        <v>337</v>
      </c>
      <c r="AP26" s="38">
        <v>16</v>
      </c>
      <c r="AQ26" s="39">
        <f t="shared" si="5"/>
        <v>0</v>
      </c>
    </row>
    <row r="27" ht="15.25" spans="1:43">
      <c r="A27" s="59" t="s">
        <v>578</v>
      </c>
      <c r="B27" s="63" t="s">
        <v>527</v>
      </c>
      <c r="C27" s="65" t="s">
        <v>276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113"/>
      <c r="AJ27" s="36">
        <f t="shared" si="0"/>
        <v>0</v>
      </c>
      <c r="AK27" s="36">
        <f t="shared" si="1"/>
        <v>0</v>
      </c>
      <c r="AL27" s="36">
        <f t="shared" si="2"/>
        <v>0</v>
      </c>
      <c r="AM27" s="36">
        <f t="shared" si="3"/>
        <v>0</v>
      </c>
      <c r="AN27" s="38">
        <f t="shared" si="4"/>
        <v>0</v>
      </c>
      <c r="AO27" s="66" t="s">
        <v>382</v>
      </c>
      <c r="AP27" s="38">
        <v>16</v>
      </c>
      <c r="AQ27" s="39">
        <f t="shared" si="5"/>
        <v>0</v>
      </c>
    </row>
    <row r="28" ht="15.25" spans="1:43">
      <c r="A28" s="59" t="s">
        <v>579</v>
      </c>
      <c r="B28" s="63" t="s">
        <v>564</v>
      </c>
      <c r="C28" s="65" t="s">
        <v>227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113"/>
      <c r="AJ28" s="36">
        <f t="shared" si="0"/>
        <v>0</v>
      </c>
      <c r="AK28" s="36">
        <f t="shared" si="1"/>
        <v>0</v>
      </c>
      <c r="AL28" s="36">
        <f t="shared" si="2"/>
        <v>0</v>
      </c>
      <c r="AM28" s="36">
        <f t="shared" si="3"/>
        <v>0</v>
      </c>
      <c r="AN28" s="38">
        <f t="shared" si="4"/>
        <v>0</v>
      </c>
      <c r="AO28" s="66" t="s">
        <v>460</v>
      </c>
      <c r="AP28" s="68">
        <v>16</v>
      </c>
      <c r="AQ28" s="39">
        <f t="shared" si="5"/>
        <v>0</v>
      </c>
    </row>
    <row r="29" ht="15.25" spans="1:43">
      <c r="A29" s="59" t="s">
        <v>580</v>
      </c>
      <c r="B29" s="63" t="s">
        <v>564</v>
      </c>
      <c r="C29" s="65" t="s">
        <v>227</v>
      </c>
      <c r="D29" s="62" t="s">
        <v>103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113"/>
      <c r="AJ29" s="36">
        <f t="shared" si="0"/>
        <v>0</v>
      </c>
      <c r="AK29" s="36">
        <f t="shared" si="1"/>
        <v>1</v>
      </c>
      <c r="AL29" s="36">
        <f t="shared" si="2"/>
        <v>0</v>
      </c>
      <c r="AM29" s="36">
        <f t="shared" si="3"/>
        <v>0</v>
      </c>
      <c r="AN29" s="38">
        <f t="shared" si="4"/>
        <v>1</v>
      </c>
      <c r="AO29" s="36" t="s">
        <v>305</v>
      </c>
      <c r="AP29" s="38">
        <v>16</v>
      </c>
      <c r="AQ29" s="39">
        <f t="shared" si="5"/>
        <v>0.0625</v>
      </c>
    </row>
    <row r="30" ht="15.25" spans="1:43">
      <c r="A30" s="59" t="s">
        <v>581</v>
      </c>
      <c r="B30" s="63" t="s">
        <v>16</v>
      </c>
      <c r="C30" s="65" t="s">
        <v>394</v>
      </c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113"/>
      <c r="AJ30" s="36">
        <f t="shared" si="0"/>
        <v>0</v>
      </c>
      <c r="AK30" s="36">
        <f t="shared" si="1"/>
        <v>0</v>
      </c>
      <c r="AL30" s="36">
        <f t="shared" si="2"/>
        <v>0</v>
      </c>
      <c r="AM30" s="36">
        <f t="shared" si="3"/>
        <v>0</v>
      </c>
      <c r="AN30" s="38">
        <f t="shared" si="4"/>
        <v>0</v>
      </c>
      <c r="AO30" s="52" t="s">
        <v>582</v>
      </c>
      <c r="AP30" s="38">
        <v>16</v>
      </c>
      <c r="AQ30" s="39">
        <f t="shared" si="5"/>
        <v>0</v>
      </c>
    </row>
    <row r="31" ht="15.25" spans="1:43">
      <c r="A31" s="59" t="s">
        <v>583</v>
      </c>
      <c r="B31" s="63" t="s">
        <v>16</v>
      </c>
      <c r="C31" s="65" t="s">
        <v>394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 t="s">
        <v>103</v>
      </c>
      <c r="AB31" s="62"/>
      <c r="AC31" s="62"/>
      <c r="AD31" s="62"/>
      <c r="AE31" s="62"/>
      <c r="AF31" s="62"/>
      <c r="AG31" s="62"/>
      <c r="AH31" s="62" t="s">
        <v>11</v>
      </c>
      <c r="AI31" s="113"/>
      <c r="AJ31" s="36">
        <f t="shared" si="0"/>
        <v>1</v>
      </c>
      <c r="AK31" s="36">
        <f t="shared" si="1"/>
        <v>1</v>
      </c>
      <c r="AL31" s="36">
        <f t="shared" si="2"/>
        <v>0</v>
      </c>
      <c r="AM31" s="36">
        <f t="shared" si="3"/>
        <v>0</v>
      </c>
      <c r="AN31" s="38">
        <f t="shared" si="4"/>
        <v>2</v>
      </c>
      <c r="AO31" s="69" t="s">
        <v>239</v>
      </c>
      <c r="AP31" s="38">
        <v>16</v>
      </c>
      <c r="AQ31" s="39">
        <f t="shared" si="5"/>
        <v>0.125</v>
      </c>
    </row>
    <row r="32" ht="15.25" spans="1:43">
      <c r="A32" s="59" t="s">
        <v>584</v>
      </c>
      <c r="B32" s="63" t="s">
        <v>16</v>
      </c>
      <c r="C32" s="65" t="s">
        <v>394</v>
      </c>
      <c r="D32" s="62"/>
      <c r="E32" s="62"/>
      <c r="F32" s="62"/>
      <c r="G32" s="62"/>
      <c r="H32" s="62"/>
      <c r="I32" s="62" t="s">
        <v>13</v>
      </c>
      <c r="J32" s="62"/>
      <c r="K32" s="62"/>
      <c r="L32" s="62"/>
      <c r="M32" s="62"/>
      <c r="N32" s="62"/>
      <c r="O32" s="62" t="s">
        <v>11</v>
      </c>
      <c r="P32" s="62"/>
      <c r="Q32" s="62" t="s">
        <v>13</v>
      </c>
      <c r="R32" s="62"/>
      <c r="S32" s="62"/>
      <c r="T32" s="62"/>
      <c r="U32" s="62"/>
      <c r="V32" s="62"/>
      <c r="W32" s="62" t="s">
        <v>13</v>
      </c>
      <c r="X32" s="62"/>
      <c r="Y32" s="62"/>
      <c r="Z32" s="62"/>
      <c r="AA32" s="62"/>
      <c r="AB32" s="62"/>
      <c r="AC32" s="62"/>
      <c r="AD32" s="62"/>
      <c r="AE32" s="62"/>
      <c r="AF32" s="62" t="s">
        <v>13</v>
      </c>
      <c r="AG32" s="62" t="s">
        <v>11</v>
      </c>
      <c r="AH32" s="62"/>
      <c r="AI32" s="113"/>
      <c r="AJ32" s="36">
        <f t="shared" si="0"/>
        <v>2</v>
      </c>
      <c r="AK32" s="36">
        <f t="shared" si="1"/>
        <v>0</v>
      </c>
      <c r="AL32" s="36">
        <f t="shared" si="2"/>
        <v>4</v>
      </c>
      <c r="AM32" s="36">
        <f t="shared" si="3"/>
        <v>0</v>
      </c>
      <c r="AN32" s="38">
        <f t="shared" si="4"/>
        <v>6</v>
      </c>
      <c r="AO32" s="66" t="s">
        <v>382</v>
      </c>
      <c r="AP32" s="38">
        <v>16</v>
      </c>
      <c r="AQ32" s="39">
        <f t="shared" si="5"/>
        <v>0.375</v>
      </c>
    </row>
    <row r="33" ht="15.25" spans="1:43">
      <c r="A33" s="59" t="s">
        <v>585</v>
      </c>
      <c r="B33" s="63" t="s">
        <v>16</v>
      </c>
      <c r="C33" s="65" t="s">
        <v>394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113"/>
      <c r="AJ33" s="36">
        <f t="shared" si="0"/>
        <v>0</v>
      </c>
      <c r="AK33" s="36">
        <f t="shared" si="1"/>
        <v>0</v>
      </c>
      <c r="AL33" s="36">
        <f t="shared" si="2"/>
        <v>0</v>
      </c>
      <c r="AM33" s="36">
        <f t="shared" si="3"/>
        <v>0</v>
      </c>
      <c r="AN33" s="38">
        <f t="shared" si="4"/>
        <v>0</v>
      </c>
      <c r="AO33" s="66"/>
      <c r="AP33" s="38">
        <v>16</v>
      </c>
      <c r="AQ33" s="39">
        <f t="shared" si="5"/>
        <v>0</v>
      </c>
    </row>
    <row r="34" ht="15.25" spans="1:43">
      <c r="A34" s="59" t="s">
        <v>586</v>
      </c>
      <c r="B34" s="63" t="s">
        <v>16</v>
      </c>
      <c r="C34" s="65" t="s">
        <v>394</v>
      </c>
      <c r="D34" s="62"/>
      <c r="E34" s="62"/>
      <c r="F34" s="62"/>
      <c r="G34" s="62"/>
      <c r="H34" s="62"/>
      <c r="I34" s="62"/>
      <c r="J34" s="62"/>
      <c r="K34" s="62" t="s">
        <v>11</v>
      </c>
      <c r="L34" s="62" t="s">
        <v>11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113"/>
      <c r="AJ34" s="36">
        <f t="shared" si="0"/>
        <v>2</v>
      </c>
      <c r="AK34" s="36">
        <f t="shared" si="1"/>
        <v>0</v>
      </c>
      <c r="AL34" s="36">
        <f t="shared" si="2"/>
        <v>0</v>
      </c>
      <c r="AM34" s="36">
        <f t="shared" si="3"/>
        <v>0</v>
      </c>
      <c r="AN34" s="38">
        <f t="shared" si="4"/>
        <v>2</v>
      </c>
      <c r="AO34" s="66" t="s">
        <v>193</v>
      </c>
      <c r="AP34" s="38">
        <v>16</v>
      </c>
      <c r="AQ34" s="39">
        <f t="shared" si="5"/>
        <v>0.125</v>
      </c>
    </row>
    <row r="35" ht="15.25" spans="1:43">
      <c r="A35" s="59" t="s">
        <v>587</v>
      </c>
      <c r="B35" s="63" t="s">
        <v>564</v>
      </c>
      <c r="C35" s="65" t="s">
        <v>394</v>
      </c>
      <c r="D35" s="62"/>
      <c r="E35" s="62"/>
      <c r="F35" s="62"/>
      <c r="G35" s="62"/>
      <c r="H35" s="62"/>
      <c r="I35" s="62"/>
      <c r="J35" s="62"/>
      <c r="K35" s="62"/>
      <c r="L35" s="62" t="s">
        <v>11</v>
      </c>
      <c r="M35" s="62"/>
      <c r="N35" s="62"/>
      <c r="O35" s="62"/>
      <c r="P35" s="62"/>
      <c r="Q35" s="62" t="s">
        <v>11</v>
      </c>
      <c r="R35" s="62" t="s">
        <v>11</v>
      </c>
      <c r="S35" s="62"/>
      <c r="T35" s="62"/>
      <c r="U35" s="62"/>
      <c r="V35" s="62"/>
      <c r="W35" s="62"/>
      <c r="X35" s="62" t="s">
        <v>11</v>
      </c>
      <c r="Y35" s="62" t="s">
        <v>11</v>
      </c>
      <c r="Z35" s="62"/>
      <c r="AA35" s="62"/>
      <c r="AB35" s="62"/>
      <c r="AC35" s="62"/>
      <c r="AD35" s="62"/>
      <c r="AE35" s="62"/>
      <c r="AF35" s="62"/>
      <c r="AG35" s="62"/>
      <c r="AH35" s="62"/>
      <c r="AI35" s="113"/>
      <c r="AJ35" s="36">
        <f t="shared" si="0"/>
        <v>5</v>
      </c>
      <c r="AK35" s="36">
        <f t="shared" si="1"/>
        <v>0</v>
      </c>
      <c r="AL35" s="36">
        <f t="shared" si="2"/>
        <v>0</v>
      </c>
      <c r="AM35" s="36">
        <f t="shared" si="3"/>
        <v>0</v>
      </c>
      <c r="AN35" s="38">
        <f t="shared" si="4"/>
        <v>5</v>
      </c>
      <c r="AO35" s="70" t="s">
        <v>382</v>
      </c>
      <c r="AP35" s="38">
        <v>16</v>
      </c>
      <c r="AQ35" s="39">
        <f t="shared" si="5"/>
        <v>0.3125</v>
      </c>
    </row>
    <row r="36" ht="15.25" spans="1:43">
      <c r="A36" s="59" t="s">
        <v>588</v>
      </c>
      <c r="B36" s="63" t="s">
        <v>16</v>
      </c>
      <c r="C36" s="65" t="s">
        <v>355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113"/>
      <c r="AJ36" s="36">
        <f t="shared" si="0"/>
        <v>0</v>
      </c>
      <c r="AK36" s="36">
        <f t="shared" si="1"/>
        <v>0</v>
      </c>
      <c r="AL36" s="36">
        <f t="shared" si="2"/>
        <v>0</v>
      </c>
      <c r="AM36" s="36">
        <f t="shared" si="3"/>
        <v>0</v>
      </c>
      <c r="AN36" s="38">
        <f t="shared" si="4"/>
        <v>0</v>
      </c>
      <c r="AO36" s="69" t="s">
        <v>171</v>
      </c>
      <c r="AP36" s="38">
        <v>16</v>
      </c>
      <c r="AQ36" s="39">
        <f t="shared" si="5"/>
        <v>0</v>
      </c>
    </row>
    <row r="37" ht="15.25" spans="1:43">
      <c r="A37" s="59" t="s">
        <v>589</v>
      </c>
      <c r="B37" s="63" t="s">
        <v>16</v>
      </c>
      <c r="C37" s="65" t="s">
        <v>355</v>
      </c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113"/>
      <c r="AJ37" s="36">
        <f t="shared" si="0"/>
        <v>0</v>
      </c>
      <c r="AK37" s="36">
        <f t="shared" si="1"/>
        <v>0</v>
      </c>
      <c r="AL37" s="36">
        <f t="shared" si="2"/>
        <v>0</v>
      </c>
      <c r="AM37" s="36">
        <f t="shared" si="3"/>
        <v>0</v>
      </c>
      <c r="AN37" s="38">
        <f t="shared" si="4"/>
        <v>0</v>
      </c>
      <c r="AO37" s="38" t="s">
        <v>216</v>
      </c>
      <c r="AP37" s="38">
        <v>16</v>
      </c>
      <c r="AQ37" s="39">
        <f t="shared" si="5"/>
        <v>0</v>
      </c>
    </row>
    <row r="38" ht="15.25" spans="1:43">
      <c r="A38" s="59" t="s">
        <v>590</v>
      </c>
      <c r="B38" s="63" t="s">
        <v>16</v>
      </c>
      <c r="C38" s="65" t="s">
        <v>340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113"/>
      <c r="AJ38" s="36">
        <f t="shared" si="0"/>
        <v>0</v>
      </c>
      <c r="AK38" s="36">
        <f t="shared" si="1"/>
        <v>0</v>
      </c>
      <c r="AL38" s="36">
        <f t="shared" si="2"/>
        <v>0</v>
      </c>
      <c r="AM38" s="36">
        <f t="shared" si="3"/>
        <v>0</v>
      </c>
      <c r="AN38" s="38">
        <f t="shared" si="4"/>
        <v>0</v>
      </c>
      <c r="AO38" s="66" t="s">
        <v>336</v>
      </c>
      <c r="AP38" s="38">
        <v>16</v>
      </c>
      <c r="AQ38" s="39">
        <f t="shared" si="5"/>
        <v>0</v>
      </c>
    </row>
    <row r="39" ht="15.25" spans="1:43">
      <c r="A39" s="59" t="s">
        <v>591</v>
      </c>
      <c r="B39" s="63" t="s">
        <v>16</v>
      </c>
      <c r="C39" s="65" t="s">
        <v>308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113"/>
      <c r="AJ39" s="36">
        <f t="shared" si="0"/>
        <v>0</v>
      </c>
      <c r="AK39" s="36">
        <f t="shared" si="1"/>
        <v>0</v>
      </c>
      <c r="AL39" s="36">
        <f t="shared" si="2"/>
        <v>0</v>
      </c>
      <c r="AM39" s="36">
        <f t="shared" si="3"/>
        <v>0</v>
      </c>
      <c r="AN39" s="38">
        <f t="shared" si="4"/>
        <v>0</v>
      </c>
      <c r="AO39" s="81" t="s">
        <v>118</v>
      </c>
      <c r="AP39" s="38">
        <v>16</v>
      </c>
      <c r="AQ39" s="39">
        <f t="shared" si="5"/>
        <v>0</v>
      </c>
    </row>
    <row r="40" ht="15.25" spans="1:43">
      <c r="A40" s="59" t="s">
        <v>592</v>
      </c>
      <c r="B40" s="63" t="s">
        <v>16</v>
      </c>
      <c r="C40" s="65" t="s">
        <v>308</v>
      </c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113"/>
      <c r="AJ40" s="36">
        <f t="shared" si="0"/>
        <v>0</v>
      </c>
      <c r="AK40" s="36">
        <f t="shared" si="1"/>
        <v>0</v>
      </c>
      <c r="AL40" s="36">
        <f t="shared" si="2"/>
        <v>0</v>
      </c>
      <c r="AM40" s="36">
        <f t="shared" si="3"/>
        <v>0</v>
      </c>
      <c r="AN40" s="38">
        <f t="shared" si="4"/>
        <v>0</v>
      </c>
      <c r="AO40" s="67" t="s">
        <v>336</v>
      </c>
      <c r="AP40" s="38">
        <v>16</v>
      </c>
      <c r="AQ40" s="39">
        <f t="shared" si="5"/>
        <v>0</v>
      </c>
    </row>
    <row r="41" ht="15.25" spans="1:43">
      <c r="A41" s="59" t="s">
        <v>593</v>
      </c>
      <c r="B41" s="63" t="s">
        <v>16</v>
      </c>
      <c r="C41" s="65" t="s">
        <v>136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 t="s">
        <v>557</v>
      </c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113"/>
      <c r="AJ41" s="36">
        <f t="shared" si="0"/>
        <v>0</v>
      </c>
      <c r="AK41" s="36">
        <f t="shared" si="1"/>
        <v>0</v>
      </c>
      <c r="AL41" s="36">
        <f t="shared" si="2"/>
        <v>0</v>
      </c>
      <c r="AM41" s="36">
        <f t="shared" si="3"/>
        <v>1</v>
      </c>
      <c r="AN41" s="38">
        <f t="shared" si="4"/>
        <v>0</v>
      </c>
      <c r="AO41" s="66" t="s">
        <v>193</v>
      </c>
      <c r="AP41" s="38">
        <v>26</v>
      </c>
      <c r="AQ41" s="39">
        <f t="shared" si="5"/>
        <v>0</v>
      </c>
    </row>
    <row r="42" ht="15.25" spans="1:43">
      <c r="A42" s="59" t="s">
        <v>594</v>
      </c>
      <c r="B42" s="63" t="s">
        <v>16</v>
      </c>
      <c r="C42" s="65" t="s">
        <v>252</v>
      </c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113"/>
      <c r="AJ42" s="36">
        <f t="shared" si="0"/>
        <v>0</v>
      </c>
      <c r="AK42" s="36">
        <f t="shared" si="1"/>
        <v>0</v>
      </c>
      <c r="AL42" s="36">
        <f t="shared" si="2"/>
        <v>0</v>
      </c>
      <c r="AM42" s="36">
        <f t="shared" si="3"/>
        <v>0</v>
      </c>
      <c r="AN42" s="38">
        <f t="shared" si="4"/>
        <v>0</v>
      </c>
      <c r="AO42" s="66" t="s">
        <v>193</v>
      </c>
      <c r="AP42" s="38">
        <v>26</v>
      </c>
      <c r="AQ42" s="39">
        <f t="shared" si="5"/>
        <v>0</v>
      </c>
    </row>
    <row r="43" ht="15.25" spans="1:43">
      <c r="A43" s="59" t="s">
        <v>595</v>
      </c>
      <c r="B43" s="63" t="s">
        <v>564</v>
      </c>
      <c r="C43" s="65" t="s">
        <v>596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142"/>
      <c r="AJ43" s="36">
        <f t="shared" si="0"/>
        <v>0</v>
      </c>
      <c r="AK43" s="36">
        <f t="shared" si="1"/>
        <v>0</v>
      </c>
      <c r="AL43" s="36">
        <f t="shared" si="2"/>
        <v>0</v>
      </c>
      <c r="AM43" s="36">
        <f t="shared" si="3"/>
        <v>0</v>
      </c>
      <c r="AN43" s="38">
        <f t="shared" si="4"/>
        <v>0</v>
      </c>
      <c r="AO43" s="38" t="s">
        <v>25</v>
      </c>
      <c r="AP43" s="38">
        <v>26</v>
      </c>
      <c r="AQ43" s="39">
        <f t="shared" si="5"/>
        <v>0</v>
      </c>
    </row>
    <row r="44" ht="15.25" spans="1:43">
      <c r="A44" s="59" t="s">
        <v>597</v>
      </c>
      <c r="B44" s="63" t="s">
        <v>564</v>
      </c>
      <c r="C44" s="65" t="s">
        <v>395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 t="s">
        <v>11</v>
      </c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113"/>
      <c r="AJ44" s="36">
        <f t="shared" si="0"/>
        <v>1</v>
      </c>
      <c r="AK44" s="36">
        <f t="shared" si="1"/>
        <v>0</v>
      </c>
      <c r="AL44" s="36">
        <f t="shared" si="2"/>
        <v>0</v>
      </c>
      <c r="AM44" s="36">
        <f t="shared" si="3"/>
        <v>0</v>
      </c>
      <c r="AN44" s="38">
        <f t="shared" si="4"/>
        <v>1</v>
      </c>
      <c r="AO44" s="38" t="s">
        <v>25</v>
      </c>
      <c r="AP44" s="38">
        <v>26</v>
      </c>
      <c r="AQ44" s="39">
        <f t="shared" si="5"/>
        <v>0.0384615384615385</v>
      </c>
    </row>
    <row r="45" ht="15.25" spans="1:43">
      <c r="A45" s="59" t="s">
        <v>598</v>
      </c>
      <c r="B45" s="63" t="s">
        <v>16</v>
      </c>
      <c r="C45" s="65" t="s">
        <v>515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 t="s">
        <v>11</v>
      </c>
      <c r="AH45" s="62" t="s">
        <v>11</v>
      </c>
      <c r="AI45" s="113"/>
      <c r="AJ45" s="36">
        <f t="shared" si="0"/>
        <v>2</v>
      </c>
      <c r="AK45" s="36">
        <f t="shared" si="1"/>
        <v>0</v>
      </c>
      <c r="AL45" s="36">
        <f t="shared" si="2"/>
        <v>0</v>
      </c>
      <c r="AM45" s="36">
        <f t="shared" si="3"/>
        <v>0</v>
      </c>
      <c r="AN45" s="38">
        <f t="shared" si="4"/>
        <v>2</v>
      </c>
      <c r="AO45" s="66" t="s">
        <v>424</v>
      </c>
      <c r="AP45" s="38">
        <v>26</v>
      </c>
      <c r="AQ45" s="39">
        <f t="shared" si="5"/>
        <v>0.0769230769230769</v>
      </c>
    </row>
    <row r="46" ht="15.25" spans="1:43">
      <c r="A46" s="59" t="s">
        <v>599</v>
      </c>
      <c r="B46" s="63" t="s">
        <v>16</v>
      </c>
      <c r="C46" s="65" t="s">
        <v>515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113"/>
      <c r="AJ46" s="36">
        <f t="shared" ref="AJ46:AJ77" si="6">COUNTIF(D46:AH46,"S")</f>
        <v>0</v>
      </c>
      <c r="AK46" s="36">
        <f t="shared" ref="AK46:AK77" si="7">COUNTIF(D46:AH46,"I")</f>
        <v>0</v>
      </c>
      <c r="AL46" s="36">
        <f t="shared" ref="AL46:AL77" si="8">COUNTIF(D46:AH46,"A")</f>
        <v>0</v>
      </c>
      <c r="AM46" s="36">
        <f t="shared" ref="AM46:AM77" si="9">COUNTIF(D46:AI46,"PA")</f>
        <v>0</v>
      </c>
      <c r="AN46" s="38">
        <f t="shared" ref="AN46:AN77" si="10">SUM(AJ46:AL46)</f>
        <v>0</v>
      </c>
      <c r="AO46" s="74" t="s">
        <v>466</v>
      </c>
      <c r="AP46" s="38">
        <v>26</v>
      </c>
      <c r="AQ46" s="39">
        <f t="shared" ref="AQ46:AQ77" si="11">AN46/AP46</f>
        <v>0</v>
      </c>
    </row>
    <row r="47" ht="15.25" spans="1:43">
      <c r="A47" s="59" t="s">
        <v>600</v>
      </c>
      <c r="B47" s="63" t="s">
        <v>16</v>
      </c>
      <c r="C47" s="65" t="s">
        <v>515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 t="s">
        <v>11</v>
      </c>
      <c r="AB47" s="62"/>
      <c r="AC47" s="62"/>
      <c r="AD47" s="62"/>
      <c r="AE47" s="62"/>
      <c r="AF47" s="62"/>
      <c r="AG47" s="62"/>
      <c r="AH47" s="62"/>
      <c r="AI47" s="113"/>
      <c r="AJ47" s="36">
        <f t="shared" si="6"/>
        <v>1</v>
      </c>
      <c r="AK47" s="36">
        <f t="shared" si="7"/>
        <v>0</v>
      </c>
      <c r="AL47" s="36">
        <f t="shared" si="8"/>
        <v>0</v>
      </c>
      <c r="AM47" s="36">
        <f t="shared" si="9"/>
        <v>0</v>
      </c>
      <c r="AN47" s="38">
        <f t="shared" si="10"/>
        <v>1</v>
      </c>
      <c r="AO47" s="66" t="s">
        <v>425</v>
      </c>
      <c r="AP47" s="38">
        <v>26</v>
      </c>
      <c r="AQ47" s="39">
        <f t="shared" si="11"/>
        <v>0.0384615384615385</v>
      </c>
    </row>
    <row r="48" ht="15.25" spans="1:43">
      <c r="A48" s="59" t="s">
        <v>601</v>
      </c>
      <c r="B48" s="63" t="s">
        <v>16</v>
      </c>
      <c r="C48" s="76" t="s">
        <v>503</v>
      </c>
      <c r="D48" s="62"/>
      <c r="E48" s="62"/>
      <c r="F48" s="62"/>
      <c r="G48" s="62"/>
      <c r="H48" s="62"/>
      <c r="I48" s="62"/>
      <c r="J48" s="62" t="s">
        <v>11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113"/>
      <c r="AJ48" s="36">
        <f t="shared" si="6"/>
        <v>1</v>
      </c>
      <c r="AK48" s="36">
        <f t="shared" si="7"/>
        <v>0</v>
      </c>
      <c r="AL48" s="36">
        <f t="shared" si="8"/>
        <v>0</v>
      </c>
      <c r="AM48" s="36">
        <f t="shared" si="9"/>
        <v>0</v>
      </c>
      <c r="AN48" s="38">
        <f t="shared" si="10"/>
        <v>1</v>
      </c>
      <c r="AO48" s="75" t="s">
        <v>427</v>
      </c>
      <c r="AP48" s="38">
        <v>26</v>
      </c>
      <c r="AQ48" s="39">
        <f t="shared" si="11"/>
        <v>0.0384615384615385</v>
      </c>
    </row>
    <row r="49" ht="15.25" spans="1:43">
      <c r="A49" s="59" t="s">
        <v>602</v>
      </c>
      <c r="B49" s="63" t="s">
        <v>16</v>
      </c>
      <c r="C49" s="76" t="s">
        <v>503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113"/>
      <c r="AJ49" s="36">
        <f t="shared" si="6"/>
        <v>0</v>
      </c>
      <c r="AK49" s="36">
        <f t="shared" si="7"/>
        <v>0</v>
      </c>
      <c r="AL49" s="36">
        <f t="shared" si="8"/>
        <v>0</v>
      </c>
      <c r="AM49" s="36">
        <f t="shared" si="9"/>
        <v>0</v>
      </c>
      <c r="AN49" s="38">
        <f t="shared" si="10"/>
        <v>0</v>
      </c>
      <c r="AO49" s="38"/>
      <c r="AP49" s="38">
        <v>26</v>
      </c>
      <c r="AQ49" s="39">
        <f t="shared" si="11"/>
        <v>0</v>
      </c>
    </row>
    <row r="50" ht="15.25" spans="1:43">
      <c r="A50" s="59" t="s">
        <v>603</v>
      </c>
      <c r="B50" s="63" t="s">
        <v>16</v>
      </c>
      <c r="C50" s="76" t="s">
        <v>505</v>
      </c>
      <c r="D50" s="62" t="s">
        <v>11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113"/>
      <c r="AJ50" s="36">
        <f t="shared" si="6"/>
        <v>1</v>
      </c>
      <c r="AK50" s="36">
        <f t="shared" si="7"/>
        <v>0</v>
      </c>
      <c r="AL50" s="36">
        <f t="shared" si="8"/>
        <v>0</v>
      </c>
      <c r="AM50" s="36">
        <f t="shared" si="9"/>
        <v>0</v>
      </c>
      <c r="AN50" s="38">
        <f t="shared" si="10"/>
        <v>1</v>
      </c>
      <c r="AO50" s="69" t="s">
        <v>275</v>
      </c>
      <c r="AP50" s="38">
        <v>26</v>
      </c>
      <c r="AQ50" s="39">
        <f t="shared" si="11"/>
        <v>0.0384615384615385</v>
      </c>
    </row>
    <row r="51" ht="15.25" spans="1:43">
      <c r="A51" s="59" t="s">
        <v>604</v>
      </c>
      <c r="B51" s="63" t="s">
        <v>16</v>
      </c>
      <c r="C51" s="76" t="s">
        <v>350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113"/>
      <c r="AJ51" s="36">
        <f t="shared" si="6"/>
        <v>0</v>
      </c>
      <c r="AK51" s="36">
        <f t="shared" si="7"/>
        <v>0</v>
      </c>
      <c r="AL51" s="36">
        <f t="shared" si="8"/>
        <v>0</v>
      </c>
      <c r="AM51" s="36">
        <f t="shared" si="9"/>
        <v>0</v>
      </c>
      <c r="AN51" s="38">
        <f t="shared" si="10"/>
        <v>0</v>
      </c>
      <c r="AO51" s="38"/>
      <c r="AP51" s="38">
        <v>26</v>
      </c>
      <c r="AQ51" s="39">
        <f t="shared" si="11"/>
        <v>0</v>
      </c>
    </row>
    <row r="52" ht="15.25" spans="1:43">
      <c r="A52" s="59" t="s">
        <v>605</v>
      </c>
      <c r="B52" s="63" t="s">
        <v>564</v>
      </c>
      <c r="C52" s="65" t="s">
        <v>395</v>
      </c>
      <c r="D52" s="62" t="s">
        <v>11</v>
      </c>
      <c r="E52" s="62"/>
      <c r="F52" s="62"/>
      <c r="G52" s="62"/>
      <c r="H52" s="62"/>
      <c r="I52" s="62"/>
      <c r="J52" s="62"/>
      <c r="K52" s="62"/>
      <c r="L52" s="62"/>
      <c r="M52" s="62" t="s">
        <v>11</v>
      </c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113"/>
      <c r="AJ52" s="36">
        <f t="shared" si="6"/>
        <v>2</v>
      </c>
      <c r="AK52" s="36">
        <f t="shared" si="7"/>
        <v>0</v>
      </c>
      <c r="AL52" s="36">
        <f t="shared" si="8"/>
        <v>0</v>
      </c>
      <c r="AM52" s="36">
        <f t="shared" si="9"/>
        <v>0</v>
      </c>
      <c r="AN52" s="38">
        <f t="shared" si="10"/>
        <v>2</v>
      </c>
      <c r="AO52" s="38"/>
      <c r="AP52" s="38">
        <v>26</v>
      </c>
      <c r="AQ52" s="39">
        <f t="shared" si="11"/>
        <v>0.0769230769230769</v>
      </c>
    </row>
    <row r="53" ht="15.25" spans="1:43">
      <c r="A53" s="59" t="s">
        <v>606</v>
      </c>
      <c r="B53" s="63" t="s">
        <v>564</v>
      </c>
      <c r="C53" s="65" t="s">
        <v>395</v>
      </c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 t="s">
        <v>557</v>
      </c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113"/>
      <c r="AJ53" s="36">
        <f t="shared" si="6"/>
        <v>0</v>
      </c>
      <c r="AK53" s="36">
        <f t="shared" si="7"/>
        <v>0</v>
      </c>
      <c r="AL53" s="36">
        <f t="shared" si="8"/>
        <v>0</v>
      </c>
      <c r="AM53" s="36">
        <f t="shared" si="9"/>
        <v>1</v>
      </c>
      <c r="AN53" s="38">
        <f t="shared" si="10"/>
        <v>0</v>
      </c>
      <c r="AO53" s="38"/>
      <c r="AP53" s="38">
        <v>26</v>
      </c>
      <c r="AQ53" s="39">
        <f t="shared" si="11"/>
        <v>0</v>
      </c>
    </row>
    <row r="54" ht="15.25" spans="1:43">
      <c r="A54" s="59" t="s">
        <v>607</v>
      </c>
      <c r="B54" s="63" t="s">
        <v>165</v>
      </c>
      <c r="C54" s="76" t="s">
        <v>271</v>
      </c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 t="s">
        <v>11</v>
      </c>
      <c r="AA54" s="62" t="s">
        <v>11</v>
      </c>
      <c r="AB54" s="62"/>
      <c r="AC54" s="62"/>
      <c r="AD54" s="62"/>
      <c r="AE54" s="62"/>
      <c r="AF54" s="62"/>
      <c r="AG54" s="62"/>
      <c r="AH54" s="62"/>
      <c r="AI54" s="113"/>
      <c r="AJ54" s="36">
        <f t="shared" si="6"/>
        <v>2</v>
      </c>
      <c r="AK54" s="36">
        <f t="shared" si="7"/>
        <v>0</v>
      </c>
      <c r="AL54" s="36">
        <f t="shared" si="8"/>
        <v>0</v>
      </c>
      <c r="AM54" s="36">
        <f t="shared" si="9"/>
        <v>0</v>
      </c>
      <c r="AN54" s="38">
        <f t="shared" si="10"/>
        <v>2</v>
      </c>
      <c r="AO54" s="66" t="s">
        <v>382</v>
      </c>
      <c r="AP54" s="38">
        <v>26</v>
      </c>
      <c r="AQ54" s="39">
        <f t="shared" si="11"/>
        <v>0.0769230769230769</v>
      </c>
    </row>
    <row r="55" ht="15.25" spans="1:43">
      <c r="A55" s="59" t="s">
        <v>608</v>
      </c>
      <c r="B55" s="63" t="s">
        <v>16</v>
      </c>
      <c r="C55" s="76" t="s">
        <v>271</v>
      </c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113"/>
      <c r="AJ55" s="36">
        <f t="shared" si="6"/>
        <v>0</v>
      </c>
      <c r="AK55" s="36">
        <f t="shared" si="7"/>
        <v>0</v>
      </c>
      <c r="AL55" s="36">
        <f t="shared" si="8"/>
        <v>0</v>
      </c>
      <c r="AM55" s="36">
        <f t="shared" si="9"/>
        <v>0</v>
      </c>
      <c r="AN55" s="38">
        <f t="shared" si="10"/>
        <v>0</v>
      </c>
      <c r="AO55" s="66" t="s">
        <v>467</v>
      </c>
      <c r="AP55" s="38">
        <v>26</v>
      </c>
      <c r="AQ55" s="39">
        <f t="shared" si="11"/>
        <v>0</v>
      </c>
    </row>
    <row r="56" ht="15.25" spans="1:43">
      <c r="A56" s="59" t="s">
        <v>609</v>
      </c>
      <c r="B56" s="63" t="s">
        <v>165</v>
      </c>
      <c r="C56" s="76" t="s">
        <v>271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 t="s">
        <v>103</v>
      </c>
      <c r="Y56" s="62"/>
      <c r="Z56" s="62"/>
      <c r="AA56" s="62"/>
      <c r="AB56" s="62"/>
      <c r="AC56" s="62"/>
      <c r="AD56" s="62"/>
      <c r="AE56" s="62"/>
      <c r="AF56" s="62" t="s">
        <v>11</v>
      </c>
      <c r="AG56" s="62"/>
      <c r="AH56" s="62"/>
      <c r="AI56" s="113"/>
      <c r="AJ56" s="36">
        <f t="shared" si="6"/>
        <v>1</v>
      </c>
      <c r="AK56" s="36">
        <f t="shared" si="7"/>
        <v>1</v>
      </c>
      <c r="AL56" s="36">
        <f t="shared" si="8"/>
        <v>0</v>
      </c>
      <c r="AM56" s="36">
        <f t="shared" si="9"/>
        <v>0</v>
      </c>
      <c r="AN56" s="38">
        <f t="shared" si="10"/>
        <v>2</v>
      </c>
      <c r="AO56" s="38" t="s">
        <v>272</v>
      </c>
      <c r="AP56" s="38">
        <v>26</v>
      </c>
      <c r="AQ56" s="39">
        <f t="shared" si="11"/>
        <v>0.0769230769230769</v>
      </c>
    </row>
    <row r="57" ht="15.25" spans="1:43">
      <c r="A57" s="59" t="s">
        <v>610</v>
      </c>
      <c r="B57" s="63" t="s">
        <v>16</v>
      </c>
      <c r="C57" s="76" t="s">
        <v>271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 t="s">
        <v>11</v>
      </c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113"/>
      <c r="AJ57" s="36">
        <f t="shared" si="6"/>
        <v>1</v>
      </c>
      <c r="AK57" s="36">
        <f t="shared" si="7"/>
        <v>0</v>
      </c>
      <c r="AL57" s="36">
        <f t="shared" si="8"/>
        <v>0</v>
      </c>
      <c r="AM57" s="36">
        <f t="shared" si="9"/>
        <v>0</v>
      </c>
      <c r="AN57" s="38">
        <f t="shared" si="10"/>
        <v>1</v>
      </c>
      <c r="AO57" s="66" t="s">
        <v>193</v>
      </c>
      <c r="AP57" s="38">
        <v>26</v>
      </c>
      <c r="AQ57" s="39">
        <f t="shared" si="11"/>
        <v>0.0384615384615385</v>
      </c>
    </row>
    <row r="58" ht="15.25" spans="1:43">
      <c r="A58" s="59" t="s">
        <v>611</v>
      </c>
      <c r="B58" s="63" t="s">
        <v>16</v>
      </c>
      <c r="C58" s="76" t="s">
        <v>344</v>
      </c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113"/>
      <c r="AJ58" s="36">
        <f t="shared" si="6"/>
        <v>0</v>
      </c>
      <c r="AK58" s="36">
        <f t="shared" si="7"/>
        <v>0</v>
      </c>
      <c r="AL58" s="36">
        <f t="shared" si="8"/>
        <v>0</v>
      </c>
      <c r="AM58" s="36">
        <f t="shared" si="9"/>
        <v>0</v>
      </c>
      <c r="AN58" s="38">
        <f t="shared" si="10"/>
        <v>0</v>
      </c>
      <c r="AO58" s="66" t="s">
        <v>336</v>
      </c>
      <c r="AP58" s="38">
        <v>26</v>
      </c>
      <c r="AQ58" s="39">
        <f t="shared" si="11"/>
        <v>0</v>
      </c>
    </row>
    <row r="59" ht="15.25" spans="1:43">
      <c r="A59" s="59" t="s">
        <v>612</v>
      </c>
      <c r="B59" s="59" t="s">
        <v>165</v>
      </c>
      <c r="C59" s="76" t="s">
        <v>344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113"/>
      <c r="AJ59" s="36">
        <f t="shared" si="6"/>
        <v>0</v>
      </c>
      <c r="AK59" s="36">
        <f t="shared" si="7"/>
        <v>0</v>
      </c>
      <c r="AL59" s="36">
        <f t="shared" si="8"/>
        <v>0</v>
      </c>
      <c r="AM59" s="36">
        <f t="shared" si="9"/>
        <v>0</v>
      </c>
      <c r="AN59" s="38">
        <f t="shared" si="10"/>
        <v>0</v>
      </c>
      <c r="AO59" s="38" t="s">
        <v>25</v>
      </c>
      <c r="AP59" s="38">
        <v>26</v>
      </c>
      <c r="AQ59" s="39">
        <f t="shared" si="11"/>
        <v>0</v>
      </c>
    </row>
    <row r="60" ht="15.25" spans="1:43">
      <c r="A60" s="59" t="s">
        <v>613</v>
      </c>
      <c r="B60" s="63" t="s">
        <v>16</v>
      </c>
      <c r="C60" s="76" t="s">
        <v>344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113"/>
      <c r="AJ60" s="36">
        <f t="shared" si="6"/>
        <v>0</v>
      </c>
      <c r="AK60" s="36">
        <f t="shared" si="7"/>
        <v>0</v>
      </c>
      <c r="AL60" s="36">
        <f t="shared" si="8"/>
        <v>0</v>
      </c>
      <c r="AM60" s="36">
        <f t="shared" si="9"/>
        <v>0</v>
      </c>
      <c r="AN60" s="38">
        <f t="shared" si="10"/>
        <v>0</v>
      </c>
      <c r="AO60" s="66" t="s">
        <v>193</v>
      </c>
      <c r="AP60" s="38">
        <v>26</v>
      </c>
      <c r="AQ60" s="39">
        <f t="shared" si="11"/>
        <v>0</v>
      </c>
    </row>
    <row r="61" ht="15.25" spans="1:43">
      <c r="A61" s="59" t="s">
        <v>614</v>
      </c>
      <c r="B61" s="63" t="s">
        <v>16</v>
      </c>
      <c r="C61" s="76" t="s">
        <v>344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113"/>
      <c r="AJ61" s="36">
        <f t="shared" si="6"/>
        <v>0</v>
      </c>
      <c r="AK61" s="36">
        <f t="shared" si="7"/>
        <v>0</v>
      </c>
      <c r="AL61" s="36">
        <f t="shared" si="8"/>
        <v>0</v>
      </c>
      <c r="AM61" s="36">
        <f t="shared" si="9"/>
        <v>0</v>
      </c>
      <c r="AN61" s="38">
        <f t="shared" si="10"/>
        <v>0</v>
      </c>
      <c r="AO61" s="70" t="s">
        <v>428</v>
      </c>
      <c r="AP61" s="38">
        <v>26</v>
      </c>
      <c r="AQ61" s="39">
        <f t="shared" si="11"/>
        <v>0</v>
      </c>
    </row>
    <row r="62" ht="15.25" spans="1:43">
      <c r="A62" s="59" t="s">
        <v>615</v>
      </c>
      <c r="B62" s="63" t="s">
        <v>165</v>
      </c>
      <c r="C62" s="76" t="s">
        <v>344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113"/>
      <c r="AJ62" s="36">
        <f t="shared" si="6"/>
        <v>0</v>
      </c>
      <c r="AK62" s="36">
        <f t="shared" si="7"/>
        <v>0</v>
      </c>
      <c r="AL62" s="36">
        <f t="shared" si="8"/>
        <v>0</v>
      </c>
      <c r="AM62" s="36">
        <f t="shared" si="9"/>
        <v>0</v>
      </c>
      <c r="AN62" s="38">
        <f t="shared" si="10"/>
        <v>0</v>
      </c>
      <c r="AO62" s="66" t="s">
        <v>429</v>
      </c>
      <c r="AP62" s="68">
        <v>26</v>
      </c>
      <c r="AQ62" s="39">
        <f t="shared" si="11"/>
        <v>0</v>
      </c>
    </row>
    <row r="63" ht="15.25" spans="1:43">
      <c r="A63" s="59" t="s">
        <v>616</v>
      </c>
      <c r="B63" s="63" t="s">
        <v>564</v>
      </c>
      <c r="C63" s="76" t="s">
        <v>231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113"/>
      <c r="AJ63" s="36">
        <f t="shared" si="6"/>
        <v>0</v>
      </c>
      <c r="AK63" s="36">
        <f t="shared" si="7"/>
        <v>0</v>
      </c>
      <c r="AL63" s="36">
        <f t="shared" si="8"/>
        <v>0</v>
      </c>
      <c r="AM63" s="36">
        <f t="shared" si="9"/>
        <v>0</v>
      </c>
      <c r="AN63" s="38">
        <f t="shared" si="10"/>
        <v>0</v>
      </c>
      <c r="AO63" s="66" t="s">
        <v>430</v>
      </c>
      <c r="AP63" s="38">
        <v>26</v>
      </c>
      <c r="AQ63" s="39">
        <f t="shared" si="11"/>
        <v>0</v>
      </c>
    </row>
    <row r="64" ht="15.25" spans="1:43">
      <c r="A64" s="59" t="s">
        <v>617</v>
      </c>
      <c r="B64" s="63" t="s">
        <v>564</v>
      </c>
      <c r="C64" s="76" t="s">
        <v>231</v>
      </c>
      <c r="D64" s="62"/>
      <c r="E64" s="62"/>
      <c r="F64" s="62"/>
      <c r="G64" s="62"/>
      <c r="H64" s="62"/>
      <c r="I64" s="62"/>
      <c r="J64" s="62"/>
      <c r="K64" s="62"/>
      <c r="L64" s="62" t="s">
        <v>11</v>
      </c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 t="s">
        <v>13</v>
      </c>
      <c r="AB64" s="62"/>
      <c r="AC64" s="62"/>
      <c r="AD64" s="62"/>
      <c r="AE64" s="62"/>
      <c r="AF64" s="62"/>
      <c r="AG64" s="62"/>
      <c r="AH64" s="62"/>
      <c r="AI64" s="113"/>
      <c r="AJ64" s="36">
        <f t="shared" si="6"/>
        <v>1</v>
      </c>
      <c r="AK64" s="36">
        <f t="shared" si="7"/>
        <v>0</v>
      </c>
      <c r="AL64" s="36">
        <f t="shared" si="8"/>
        <v>1</v>
      </c>
      <c r="AM64" s="36">
        <f t="shared" si="9"/>
        <v>0</v>
      </c>
      <c r="AN64" s="38">
        <f t="shared" si="10"/>
        <v>2</v>
      </c>
      <c r="AO64" s="66" t="s">
        <v>193</v>
      </c>
      <c r="AP64" s="38">
        <v>26</v>
      </c>
      <c r="AQ64" s="39">
        <f t="shared" si="11"/>
        <v>0.0769230769230769</v>
      </c>
    </row>
    <row r="65" ht="15.25" spans="1:43">
      <c r="A65" s="59" t="s">
        <v>618</v>
      </c>
      <c r="B65" s="63" t="s">
        <v>564</v>
      </c>
      <c r="C65" s="76" t="s">
        <v>231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113"/>
      <c r="AJ65" s="36">
        <f t="shared" si="6"/>
        <v>0</v>
      </c>
      <c r="AK65" s="36">
        <f t="shared" si="7"/>
        <v>0</v>
      </c>
      <c r="AL65" s="36">
        <f t="shared" si="8"/>
        <v>0</v>
      </c>
      <c r="AM65" s="36">
        <f t="shared" si="9"/>
        <v>0</v>
      </c>
      <c r="AN65" s="38">
        <f t="shared" si="10"/>
        <v>0</v>
      </c>
      <c r="AO65" s="66" t="s">
        <v>431</v>
      </c>
      <c r="AP65" s="38">
        <v>26</v>
      </c>
      <c r="AQ65" s="39">
        <f t="shared" si="11"/>
        <v>0</v>
      </c>
    </row>
    <row r="66" ht="15.25" spans="1:43">
      <c r="A66" s="59" t="s">
        <v>619</v>
      </c>
      <c r="B66" s="63" t="s">
        <v>564</v>
      </c>
      <c r="C66" s="76" t="s">
        <v>231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113"/>
      <c r="AJ66" s="36">
        <f t="shared" si="6"/>
        <v>0</v>
      </c>
      <c r="AK66" s="36">
        <f t="shared" si="7"/>
        <v>0</v>
      </c>
      <c r="AL66" s="36">
        <f t="shared" si="8"/>
        <v>0</v>
      </c>
      <c r="AM66" s="36">
        <f t="shared" si="9"/>
        <v>0</v>
      </c>
      <c r="AN66" s="38">
        <f t="shared" si="10"/>
        <v>0</v>
      </c>
      <c r="AO66" s="75" t="s">
        <v>388</v>
      </c>
      <c r="AP66" s="38">
        <v>26</v>
      </c>
      <c r="AQ66" s="39">
        <f t="shared" si="11"/>
        <v>0</v>
      </c>
    </row>
    <row r="67" ht="15.25" spans="1:43">
      <c r="A67" s="59" t="s">
        <v>620</v>
      </c>
      <c r="B67" s="63" t="s">
        <v>564</v>
      </c>
      <c r="C67" s="76" t="s">
        <v>231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 t="s">
        <v>103</v>
      </c>
      <c r="AD67" s="62"/>
      <c r="AE67" s="62"/>
      <c r="AF67" s="62"/>
      <c r="AG67" s="62"/>
      <c r="AH67" s="62"/>
      <c r="AI67" s="113"/>
      <c r="AJ67" s="36">
        <f t="shared" si="6"/>
        <v>0</v>
      </c>
      <c r="AK67" s="36">
        <f t="shared" si="7"/>
        <v>1</v>
      </c>
      <c r="AL67" s="36">
        <f t="shared" si="8"/>
        <v>0</v>
      </c>
      <c r="AM67" s="36">
        <f t="shared" si="9"/>
        <v>0</v>
      </c>
      <c r="AN67" s="38">
        <f t="shared" si="10"/>
        <v>1</v>
      </c>
      <c r="AO67" s="81" t="s">
        <v>193</v>
      </c>
      <c r="AP67" s="38">
        <v>26</v>
      </c>
      <c r="AQ67" s="39">
        <f t="shared" si="11"/>
        <v>0.0384615384615385</v>
      </c>
    </row>
    <row r="68" ht="15.25" spans="1:43">
      <c r="A68" s="59" t="s">
        <v>621</v>
      </c>
      <c r="B68" s="63" t="s">
        <v>622</v>
      </c>
      <c r="C68" s="76" t="s">
        <v>217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113"/>
      <c r="AJ68" s="36">
        <f t="shared" si="6"/>
        <v>0</v>
      </c>
      <c r="AK68" s="36">
        <f t="shared" si="7"/>
        <v>0</v>
      </c>
      <c r="AL68" s="36">
        <f t="shared" si="8"/>
        <v>0</v>
      </c>
      <c r="AM68" s="36">
        <f t="shared" si="9"/>
        <v>0</v>
      </c>
      <c r="AN68" s="38">
        <f t="shared" si="10"/>
        <v>0</v>
      </c>
      <c r="AO68" s="66" t="s">
        <v>193</v>
      </c>
      <c r="AP68" s="38">
        <v>26</v>
      </c>
      <c r="AQ68" s="39">
        <f t="shared" si="11"/>
        <v>0</v>
      </c>
    </row>
    <row r="69" ht="15.25" spans="1:43">
      <c r="A69" s="59" t="s">
        <v>623</v>
      </c>
      <c r="B69" s="63" t="s">
        <v>622</v>
      </c>
      <c r="C69" s="65" t="s">
        <v>624</v>
      </c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113"/>
      <c r="AJ69" s="36">
        <f t="shared" si="6"/>
        <v>0</v>
      </c>
      <c r="AK69" s="36">
        <f t="shared" si="7"/>
        <v>0</v>
      </c>
      <c r="AL69" s="36">
        <f t="shared" si="8"/>
        <v>0</v>
      </c>
      <c r="AM69" s="36">
        <f t="shared" si="9"/>
        <v>0</v>
      </c>
      <c r="AN69" s="38">
        <f t="shared" si="10"/>
        <v>0</v>
      </c>
      <c r="AO69" s="66" t="s">
        <v>433</v>
      </c>
      <c r="AP69" s="38">
        <v>26</v>
      </c>
      <c r="AQ69" s="39">
        <f t="shared" si="11"/>
        <v>0</v>
      </c>
    </row>
    <row r="70" ht="15.25" spans="1:43">
      <c r="A70" s="59" t="s">
        <v>625</v>
      </c>
      <c r="B70" s="63" t="s">
        <v>622</v>
      </c>
      <c r="C70" s="76" t="s">
        <v>271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113"/>
      <c r="AJ70" s="36">
        <f t="shared" si="6"/>
        <v>0</v>
      </c>
      <c r="AK70" s="36">
        <f t="shared" si="7"/>
        <v>0</v>
      </c>
      <c r="AL70" s="36">
        <f t="shared" si="8"/>
        <v>0</v>
      </c>
      <c r="AM70" s="36">
        <f t="shared" si="9"/>
        <v>0</v>
      </c>
      <c r="AN70" s="38">
        <f t="shared" si="10"/>
        <v>0</v>
      </c>
      <c r="AO70" s="67"/>
      <c r="AP70" s="38">
        <v>26</v>
      </c>
      <c r="AQ70" s="39">
        <f t="shared" si="11"/>
        <v>0</v>
      </c>
    </row>
    <row r="71" ht="15.25" spans="1:43">
      <c r="A71" s="59" t="s">
        <v>626</v>
      </c>
      <c r="B71" s="63" t="s">
        <v>16</v>
      </c>
      <c r="C71" s="76" t="s">
        <v>196</v>
      </c>
      <c r="D71" s="62"/>
      <c r="E71" s="62"/>
      <c r="F71" s="62" t="s">
        <v>13</v>
      </c>
      <c r="G71" s="62"/>
      <c r="H71" s="62"/>
      <c r="I71" s="62"/>
      <c r="J71" s="62"/>
      <c r="K71" s="62"/>
      <c r="L71" s="62" t="s">
        <v>11</v>
      </c>
      <c r="M71" s="62"/>
      <c r="N71" s="62" t="s">
        <v>11</v>
      </c>
      <c r="O71" s="62"/>
      <c r="P71" s="62"/>
      <c r="Q71" s="62"/>
      <c r="R71" s="62"/>
      <c r="S71" s="62"/>
      <c r="T71" s="62"/>
      <c r="U71" s="62"/>
      <c r="V71" s="62"/>
      <c r="W71" s="62" t="s">
        <v>13</v>
      </c>
      <c r="X71" s="62" t="s">
        <v>11</v>
      </c>
      <c r="Y71" s="62"/>
      <c r="Z71" s="62"/>
      <c r="AA71" s="62"/>
      <c r="AB71" s="62"/>
      <c r="AC71" s="62" t="s">
        <v>13</v>
      </c>
      <c r="AD71" s="62"/>
      <c r="AE71" s="62"/>
      <c r="AF71" s="62"/>
      <c r="AG71" s="62"/>
      <c r="AH71" s="62"/>
      <c r="AI71" s="113"/>
      <c r="AJ71" s="36">
        <f t="shared" si="6"/>
        <v>3</v>
      </c>
      <c r="AK71" s="36">
        <f t="shared" si="7"/>
        <v>0</v>
      </c>
      <c r="AL71" s="36">
        <f t="shared" si="8"/>
        <v>3</v>
      </c>
      <c r="AM71" s="36">
        <f t="shared" si="9"/>
        <v>0</v>
      </c>
      <c r="AN71" s="38">
        <f t="shared" si="10"/>
        <v>6</v>
      </c>
      <c r="AO71" s="66" t="s">
        <v>434</v>
      </c>
      <c r="AP71" s="68">
        <v>26</v>
      </c>
      <c r="AQ71" s="39">
        <f t="shared" si="11"/>
        <v>0.230769230769231</v>
      </c>
    </row>
    <row r="72" ht="15.25" spans="1:43">
      <c r="A72" s="59" t="s">
        <v>627</v>
      </c>
      <c r="B72" s="63" t="s">
        <v>622</v>
      </c>
      <c r="C72" s="76" t="s">
        <v>271</v>
      </c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113"/>
      <c r="AJ72" s="36">
        <f t="shared" si="6"/>
        <v>0</v>
      </c>
      <c r="AK72" s="36">
        <f t="shared" si="7"/>
        <v>0</v>
      </c>
      <c r="AL72" s="36">
        <f t="shared" si="8"/>
        <v>0</v>
      </c>
      <c r="AM72" s="36">
        <f t="shared" si="9"/>
        <v>0</v>
      </c>
      <c r="AN72" s="38">
        <f t="shared" si="10"/>
        <v>0</v>
      </c>
      <c r="AO72" s="66" t="s">
        <v>382</v>
      </c>
      <c r="AP72" s="38">
        <v>26</v>
      </c>
      <c r="AQ72" s="39">
        <f t="shared" si="11"/>
        <v>0</v>
      </c>
    </row>
    <row r="73" ht="15.25" spans="1:43">
      <c r="A73" s="59" t="s">
        <v>628</v>
      </c>
      <c r="B73" s="63" t="s">
        <v>622</v>
      </c>
      <c r="C73" s="76" t="s">
        <v>624</v>
      </c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113"/>
      <c r="AJ73" s="36">
        <f t="shared" si="6"/>
        <v>0</v>
      </c>
      <c r="AK73" s="36">
        <f t="shared" si="7"/>
        <v>0</v>
      </c>
      <c r="AL73" s="36">
        <f t="shared" si="8"/>
        <v>0</v>
      </c>
      <c r="AM73" s="36">
        <f t="shared" si="9"/>
        <v>0</v>
      </c>
      <c r="AN73" s="38">
        <f t="shared" si="10"/>
        <v>0</v>
      </c>
      <c r="AO73" s="66" t="s">
        <v>389</v>
      </c>
      <c r="AP73" s="38">
        <v>26</v>
      </c>
      <c r="AQ73" s="39">
        <f t="shared" si="11"/>
        <v>0</v>
      </c>
    </row>
    <row r="74" ht="15.25" spans="1:43">
      <c r="A74" s="59" t="s">
        <v>629</v>
      </c>
      <c r="B74" s="63" t="s">
        <v>59</v>
      </c>
      <c r="C74" s="76" t="s">
        <v>236</v>
      </c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 t="s">
        <v>11</v>
      </c>
      <c r="Y74" s="62" t="s">
        <v>11</v>
      </c>
      <c r="Z74" s="62"/>
      <c r="AA74" s="62"/>
      <c r="AB74" s="62" t="s">
        <v>11</v>
      </c>
      <c r="AC74" s="62" t="s">
        <v>11</v>
      </c>
      <c r="AD74" s="62"/>
      <c r="AE74" s="62"/>
      <c r="AF74" s="62"/>
      <c r="AG74" s="62"/>
      <c r="AH74" s="62"/>
      <c r="AI74" s="113"/>
      <c r="AJ74" s="36">
        <f t="shared" si="6"/>
        <v>4</v>
      </c>
      <c r="AK74" s="36">
        <f t="shared" si="7"/>
        <v>0</v>
      </c>
      <c r="AL74" s="36">
        <f t="shared" si="8"/>
        <v>0</v>
      </c>
      <c r="AM74" s="36">
        <f t="shared" si="9"/>
        <v>0</v>
      </c>
      <c r="AN74" s="38">
        <f t="shared" si="10"/>
        <v>4</v>
      </c>
      <c r="AO74" s="38" t="s">
        <v>390</v>
      </c>
      <c r="AP74" s="38">
        <v>26</v>
      </c>
      <c r="AQ74" s="39">
        <f t="shared" si="11"/>
        <v>0.153846153846154</v>
      </c>
    </row>
    <row r="75" ht="15.25" spans="1:43">
      <c r="A75" s="59" t="s">
        <v>630</v>
      </c>
      <c r="B75" s="63" t="s">
        <v>16</v>
      </c>
      <c r="C75" s="76" t="s">
        <v>236</v>
      </c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 t="s">
        <v>12</v>
      </c>
      <c r="S75" s="62"/>
      <c r="T75" s="62" t="s">
        <v>13</v>
      </c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113"/>
      <c r="AJ75" s="36">
        <f t="shared" si="6"/>
        <v>0</v>
      </c>
      <c r="AK75" s="36">
        <f t="shared" si="7"/>
        <v>1</v>
      </c>
      <c r="AL75" s="36">
        <f t="shared" si="8"/>
        <v>1</v>
      </c>
      <c r="AM75" s="36">
        <f t="shared" si="9"/>
        <v>0</v>
      </c>
      <c r="AN75" s="38">
        <f t="shared" si="10"/>
        <v>2</v>
      </c>
      <c r="AO75" s="38" t="s">
        <v>228</v>
      </c>
      <c r="AP75" s="38">
        <v>26</v>
      </c>
      <c r="AQ75" s="39">
        <f t="shared" si="11"/>
        <v>0.0769230769230769</v>
      </c>
    </row>
    <row r="76" ht="15.25" spans="1:43">
      <c r="A76" s="59" t="s">
        <v>631</v>
      </c>
      <c r="B76" s="63" t="s">
        <v>16</v>
      </c>
      <c r="C76" s="76" t="s">
        <v>236</v>
      </c>
      <c r="D76" s="62"/>
      <c r="E76" s="62" t="s">
        <v>11</v>
      </c>
      <c r="F76" s="62" t="s">
        <v>11</v>
      </c>
      <c r="G76" s="62"/>
      <c r="H76" s="62"/>
      <c r="I76" s="62"/>
      <c r="J76" s="62"/>
      <c r="K76" s="62"/>
      <c r="L76" s="62"/>
      <c r="M76" s="62"/>
      <c r="N76" s="62"/>
      <c r="O76" s="62"/>
      <c r="P76" s="62" t="s">
        <v>13</v>
      </c>
      <c r="Q76" s="62" t="s">
        <v>13</v>
      </c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 t="s">
        <v>13</v>
      </c>
      <c r="AC76" s="62"/>
      <c r="AD76" s="62"/>
      <c r="AE76" s="62"/>
      <c r="AF76" s="62"/>
      <c r="AG76" s="62"/>
      <c r="AH76" s="62"/>
      <c r="AI76" s="113"/>
      <c r="AJ76" s="36">
        <f t="shared" si="6"/>
        <v>2</v>
      </c>
      <c r="AK76" s="36">
        <f t="shared" si="7"/>
        <v>0</v>
      </c>
      <c r="AL76" s="36">
        <f t="shared" si="8"/>
        <v>3</v>
      </c>
      <c r="AM76" s="36">
        <f t="shared" si="9"/>
        <v>0</v>
      </c>
      <c r="AN76" s="38">
        <f t="shared" si="10"/>
        <v>5</v>
      </c>
      <c r="AO76" s="70" t="s">
        <v>470</v>
      </c>
      <c r="AP76" s="38">
        <v>26</v>
      </c>
      <c r="AQ76" s="39">
        <f t="shared" si="11"/>
        <v>0.192307692307692</v>
      </c>
    </row>
    <row r="77" ht="15.25" spans="1:43">
      <c r="A77" s="59" t="s">
        <v>632</v>
      </c>
      <c r="B77" s="63" t="s">
        <v>16</v>
      </c>
      <c r="C77" s="76" t="s">
        <v>236</v>
      </c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113"/>
      <c r="AJ77" s="36">
        <f t="shared" si="6"/>
        <v>0</v>
      </c>
      <c r="AK77" s="36">
        <f t="shared" si="7"/>
        <v>0</v>
      </c>
      <c r="AL77" s="36">
        <f t="shared" si="8"/>
        <v>0</v>
      </c>
      <c r="AM77" s="36">
        <f t="shared" si="9"/>
        <v>0</v>
      </c>
      <c r="AN77" s="38">
        <f t="shared" si="10"/>
        <v>0</v>
      </c>
      <c r="AO77" s="38" t="s">
        <v>171</v>
      </c>
      <c r="AP77" s="38">
        <v>26</v>
      </c>
      <c r="AQ77" s="39">
        <f t="shared" si="11"/>
        <v>0</v>
      </c>
    </row>
    <row r="78" ht="15.25" spans="1:43">
      <c r="A78" s="59" t="s">
        <v>633</v>
      </c>
      <c r="B78" s="63" t="s">
        <v>165</v>
      </c>
      <c r="C78" s="76" t="s">
        <v>242</v>
      </c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113"/>
      <c r="AJ78" s="36">
        <f t="shared" ref="AJ78:AJ109" si="12">COUNTIF(D78:AH78,"S")</f>
        <v>0</v>
      </c>
      <c r="AK78" s="36">
        <f t="shared" ref="AK78:AK109" si="13">COUNTIF(D78:AH78,"I")</f>
        <v>0</v>
      </c>
      <c r="AL78" s="36">
        <f t="shared" ref="AL78:AL109" si="14">COUNTIF(D78:AH78,"A")</f>
        <v>0</v>
      </c>
      <c r="AM78" s="36">
        <f t="shared" ref="AM78:AM109" si="15">COUNTIF(D78:AI78,"PA")</f>
        <v>0</v>
      </c>
      <c r="AN78" s="38">
        <f t="shared" ref="AN78:AN109" si="16">SUM(AJ78:AL78)</f>
        <v>0</v>
      </c>
      <c r="AO78" s="38" t="s">
        <v>228</v>
      </c>
      <c r="AP78" s="38">
        <v>26</v>
      </c>
      <c r="AQ78" s="39">
        <f t="shared" ref="AQ78:AQ109" si="17">AN78/AP78</f>
        <v>0</v>
      </c>
    </row>
    <row r="79" ht="15.25" spans="1:43">
      <c r="A79" s="59" t="s">
        <v>634</v>
      </c>
      <c r="B79" s="63" t="s">
        <v>165</v>
      </c>
      <c r="C79" s="76" t="s">
        <v>242</v>
      </c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 t="s">
        <v>103</v>
      </c>
      <c r="AG79" s="62"/>
      <c r="AH79" s="62"/>
      <c r="AI79" s="113"/>
      <c r="AJ79" s="36">
        <f t="shared" si="12"/>
        <v>0</v>
      </c>
      <c r="AK79" s="36">
        <f t="shared" si="13"/>
        <v>1</v>
      </c>
      <c r="AL79" s="36">
        <f t="shared" si="14"/>
        <v>0</v>
      </c>
      <c r="AM79" s="36">
        <f t="shared" si="15"/>
        <v>0</v>
      </c>
      <c r="AN79" s="38">
        <f t="shared" si="16"/>
        <v>1</v>
      </c>
      <c r="AO79" s="38"/>
      <c r="AP79" s="38">
        <v>26</v>
      </c>
      <c r="AQ79" s="39">
        <f t="shared" si="17"/>
        <v>0.0384615384615385</v>
      </c>
    </row>
    <row r="80" ht="15.25" spans="1:43">
      <c r="A80" s="59" t="s">
        <v>635</v>
      </c>
      <c r="B80" s="63" t="s">
        <v>16</v>
      </c>
      <c r="C80" s="76" t="s">
        <v>242</v>
      </c>
      <c r="D80" s="62"/>
      <c r="E80" s="62"/>
      <c r="F80" s="62"/>
      <c r="G80" s="62"/>
      <c r="H80" s="62"/>
      <c r="I80" s="62"/>
      <c r="J80" s="62"/>
      <c r="K80" s="62"/>
      <c r="L80" s="62" t="s">
        <v>11</v>
      </c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113"/>
      <c r="AJ80" s="36">
        <f t="shared" si="12"/>
        <v>1</v>
      </c>
      <c r="AK80" s="36">
        <f t="shared" si="13"/>
        <v>0</v>
      </c>
      <c r="AL80" s="36">
        <f t="shared" si="14"/>
        <v>0</v>
      </c>
      <c r="AM80" s="36">
        <f t="shared" si="15"/>
        <v>0</v>
      </c>
      <c r="AN80" s="38">
        <f t="shared" si="16"/>
        <v>1</v>
      </c>
      <c r="AO80" s="67" t="s">
        <v>475</v>
      </c>
      <c r="AP80" s="38">
        <v>26</v>
      </c>
      <c r="AQ80" s="39">
        <f t="shared" si="17"/>
        <v>0.0384615384615385</v>
      </c>
    </row>
    <row r="81" ht="15.25" spans="1:43">
      <c r="A81" s="59" t="s">
        <v>636</v>
      </c>
      <c r="B81" s="63" t="s">
        <v>16</v>
      </c>
      <c r="C81" s="76" t="s">
        <v>242</v>
      </c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 t="s">
        <v>11</v>
      </c>
      <c r="T81" s="62"/>
      <c r="U81" s="62"/>
      <c r="V81" s="62"/>
      <c r="W81" s="62" t="s">
        <v>11</v>
      </c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113"/>
      <c r="AJ81" s="36">
        <f t="shared" si="12"/>
        <v>2</v>
      </c>
      <c r="AK81" s="36">
        <f t="shared" si="13"/>
        <v>0</v>
      </c>
      <c r="AL81" s="36">
        <f t="shared" si="14"/>
        <v>0</v>
      </c>
      <c r="AM81" s="36">
        <f t="shared" si="15"/>
        <v>0</v>
      </c>
      <c r="AN81" s="38">
        <f t="shared" si="16"/>
        <v>2</v>
      </c>
      <c r="AO81" s="66" t="s">
        <v>391</v>
      </c>
      <c r="AP81" s="68">
        <v>26</v>
      </c>
      <c r="AQ81" s="39">
        <f t="shared" si="17"/>
        <v>0.0769230769230769</v>
      </c>
    </row>
    <row r="82" ht="15.25" spans="1:43">
      <c r="A82" s="59" t="s">
        <v>637</v>
      </c>
      <c r="B82" s="63" t="s">
        <v>16</v>
      </c>
      <c r="C82" s="76" t="s">
        <v>242</v>
      </c>
      <c r="D82" s="62"/>
      <c r="E82" s="62"/>
      <c r="F82" s="62"/>
      <c r="G82" s="62"/>
      <c r="H82" s="62" t="s">
        <v>11</v>
      </c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 t="s">
        <v>11</v>
      </c>
      <c r="X82" s="62" t="s">
        <v>11</v>
      </c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113"/>
      <c r="AJ82" s="36">
        <f t="shared" si="12"/>
        <v>3</v>
      </c>
      <c r="AK82" s="36">
        <f t="shared" si="13"/>
        <v>0</v>
      </c>
      <c r="AL82" s="36">
        <f t="shared" si="14"/>
        <v>0</v>
      </c>
      <c r="AM82" s="36">
        <f t="shared" si="15"/>
        <v>0</v>
      </c>
      <c r="AN82" s="38">
        <f t="shared" si="16"/>
        <v>3</v>
      </c>
      <c r="AO82" s="66" t="s">
        <v>382</v>
      </c>
      <c r="AP82" s="38">
        <v>26</v>
      </c>
      <c r="AQ82" s="39">
        <f t="shared" si="17"/>
        <v>0.115384615384615</v>
      </c>
    </row>
    <row r="83" ht="15.25" spans="1:43">
      <c r="A83" s="59" t="s">
        <v>638</v>
      </c>
      <c r="B83" s="63" t="s">
        <v>16</v>
      </c>
      <c r="C83" s="76" t="s">
        <v>242</v>
      </c>
      <c r="D83" s="62"/>
      <c r="E83" s="62"/>
      <c r="F83" s="62"/>
      <c r="G83" s="62"/>
      <c r="H83" s="62"/>
      <c r="I83" s="62"/>
      <c r="J83" s="62" t="s">
        <v>103</v>
      </c>
      <c r="K83" s="62"/>
      <c r="L83" s="62"/>
      <c r="M83" s="62"/>
      <c r="N83" s="62"/>
      <c r="O83" s="62"/>
      <c r="P83" s="62"/>
      <c r="Q83" s="62" t="s">
        <v>13</v>
      </c>
      <c r="R83" s="62"/>
      <c r="S83" s="62"/>
      <c r="T83" s="62" t="s">
        <v>13</v>
      </c>
      <c r="U83" s="62"/>
      <c r="V83" s="62"/>
      <c r="W83" s="62"/>
      <c r="X83" s="62"/>
      <c r="Y83" s="62"/>
      <c r="Z83" s="62"/>
      <c r="AA83" s="62" t="s">
        <v>11</v>
      </c>
      <c r="AB83" s="62"/>
      <c r="AC83" s="62"/>
      <c r="AD83" s="62"/>
      <c r="AE83" s="62"/>
      <c r="AF83" s="62"/>
      <c r="AG83" s="62"/>
      <c r="AH83" s="62"/>
      <c r="AI83" s="113"/>
      <c r="AJ83" s="36">
        <f t="shared" si="12"/>
        <v>1</v>
      </c>
      <c r="AK83" s="36">
        <f t="shared" si="13"/>
        <v>1</v>
      </c>
      <c r="AL83" s="36">
        <f t="shared" si="14"/>
        <v>2</v>
      </c>
      <c r="AM83" s="36">
        <f t="shared" si="15"/>
        <v>0</v>
      </c>
      <c r="AN83" s="38">
        <f t="shared" si="16"/>
        <v>4</v>
      </c>
      <c r="AO83" s="38" t="s">
        <v>278</v>
      </c>
      <c r="AP83" s="38">
        <v>26</v>
      </c>
      <c r="AQ83" s="39">
        <f t="shared" si="17"/>
        <v>0.153846153846154</v>
      </c>
    </row>
    <row r="84" ht="15.25" spans="1:43">
      <c r="A84" s="59" t="s">
        <v>639</v>
      </c>
      <c r="B84" s="63" t="s">
        <v>16</v>
      </c>
      <c r="C84" s="76" t="s">
        <v>242</v>
      </c>
      <c r="D84" s="62" t="s">
        <v>11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 t="s">
        <v>11</v>
      </c>
      <c r="P84" s="62"/>
      <c r="Q84" s="62"/>
      <c r="R84" s="62"/>
      <c r="S84" s="62"/>
      <c r="T84" s="62" t="s">
        <v>11</v>
      </c>
      <c r="U84" s="62"/>
      <c r="V84" s="62"/>
      <c r="W84" s="62"/>
      <c r="X84" s="62" t="s">
        <v>13</v>
      </c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113"/>
      <c r="AJ84" s="36">
        <f t="shared" si="12"/>
        <v>3</v>
      </c>
      <c r="AK84" s="36">
        <f t="shared" si="13"/>
        <v>0</v>
      </c>
      <c r="AL84" s="36">
        <f t="shared" si="14"/>
        <v>1</v>
      </c>
      <c r="AM84" s="36">
        <f t="shared" si="15"/>
        <v>0</v>
      </c>
      <c r="AN84" s="38">
        <f t="shared" si="16"/>
        <v>4</v>
      </c>
      <c r="AO84" s="69" t="s">
        <v>275</v>
      </c>
      <c r="AP84" s="38">
        <v>26</v>
      </c>
      <c r="AQ84" s="39">
        <f t="shared" si="17"/>
        <v>0.153846153846154</v>
      </c>
    </row>
    <row r="85" ht="15.25" spans="1:43">
      <c r="A85" s="59" t="s">
        <v>640</v>
      </c>
      <c r="B85" s="63" t="s">
        <v>16</v>
      </c>
      <c r="C85" s="59" t="s">
        <v>242</v>
      </c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 t="s">
        <v>11</v>
      </c>
      <c r="AG85" s="62" t="s">
        <v>13</v>
      </c>
      <c r="AH85" s="62"/>
      <c r="AI85" s="113"/>
      <c r="AJ85" s="36">
        <f t="shared" si="12"/>
        <v>1</v>
      </c>
      <c r="AK85" s="36">
        <f t="shared" si="13"/>
        <v>0</v>
      </c>
      <c r="AL85" s="36">
        <f t="shared" si="14"/>
        <v>1</v>
      </c>
      <c r="AM85" s="36">
        <f t="shared" si="15"/>
        <v>0</v>
      </c>
      <c r="AN85" s="38">
        <f t="shared" si="16"/>
        <v>2</v>
      </c>
      <c r="AO85" s="66" t="s">
        <v>336</v>
      </c>
      <c r="AP85" s="38">
        <v>26</v>
      </c>
      <c r="AQ85" s="39">
        <f t="shared" si="17"/>
        <v>0.0769230769230769</v>
      </c>
    </row>
    <row r="86" ht="15.25" spans="1:43">
      <c r="A86" s="59" t="s">
        <v>641</v>
      </c>
      <c r="B86" s="63" t="s">
        <v>16</v>
      </c>
      <c r="C86" s="59" t="s">
        <v>242</v>
      </c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113"/>
      <c r="AJ86" s="36">
        <f t="shared" si="12"/>
        <v>0</v>
      </c>
      <c r="AK86" s="36">
        <f t="shared" si="13"/>
        <v>0</v>
      </c>
      <c r="AL86" s="36">
        <f t="shared" si="14"/>
        <v>0</v>
      </c>
      <c r="AM86" s="36">
        <f t="shared" si="15"/>
        <v>0</v>
      </c>
      <c r="AN86" s="38">
        <f t="shared" si="16"/>
        <v>0</v>
      </c>
      <c r="AO86" s="38" t="s">
        <v>216</v>
      </c>
      <c r="AP86" s="38">
        <v>26</v>
      </c>
      <c r="AQ86" s="39">
        <f t="shared" si="17"/>
        <v>0</v>
      </c>
    </row>
    <row r="87" ht="15.25" spans="1:43">
      <c r="A87" s="59" t="s">
        <v>642</v>
      </c>
      <c r="B87" s="63" t="s">
        <v>59</v>
      </c>
      <c r="C87" s="59" t="s">
        <v>242</v>
      </c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113"/>
      <c r="AJ87" s="36">
        <f t="shared" si="12"/>
        <v>0</v>
      </c>
      <c r="AK87" s="36">
        <f t="shared" si="13"/>
        <v>0</v>
      </c>
      <c r="AL87" s="36">
        <f t="shared" si="14"/>
        <v>0</v>
      </c>
      <c r="AM87" s="36">
        <f t="shared" si="15"/>
        <v>0</v>
      </c>
      <c r="AN87" s="38">
        <f t="shared" si="16"/>
        <v>0</v>
      </c>
      <c r="AO87" s="38"/>
      <c r="AP87" s="38">
        <v>26</v>
      </c>
      <c r="AQ87" s="39">
        <f t="shared" si="17"/>
        <v>0</v>
      </c>
    </row>
    <row r="88" ht="15.25" spans="1:43">
      <c r="A88" s="59" t="s">
        <v>643</v>
      </c>
      <c r="B88" s="63" t="s">
        <v>165</v>
      </c>
      <c r="C88" s="59" t="s">
        <v>242</v>
      </c>
      <c r="D88" s="62"/>
      <c r="E88" s="62"/>
      <c r="F88" s="62"/>
      <c r="G88" s="62"/>
      <c r="H88" s="62"/>
      <c r="I88" s="62"/>
      <c r="J88" s="62"/>
      <c r="K88" s="62"/>
      <c r="L88" s="62"/>
      <c r="M88" s="62" t="s">
        <v>11</v>
      </c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113"/>
      <c r="AJ88" s="36">
        <f t="shared" si="12"/>
        <v>1</v>
      </c>
      <c r="AK88" s="36">
        <f t="shared" si="13"/>
        <v>0</v>
      </c>
      <c r="AL88" s="36">
        <f t="shared" si="14"/>
        <v>0</v>
      </c>
      <c r="AM88" s="36">
        <f t="shared" si="15"/>
        <v>0</v>
      </c>
      <c r="AN88" s="38">
        <f t="shared" si="16"/>
        <v>1</v>
      </c>
      <c r="AO88" s="38" t="s">
        <v>25</v>
      </c>
      <c r="AP88" s="38">
        <v>26</v>
      </c>
      <c r="AQ88" s="39">
        <f t="shared" si="17"/>
        <v>0.0384615384615385</v>
      </c>
    </row>
    <row r="89" ht="15.25" spans="1:43">
      <c r="A89" s="59" t="s">
        <v>644</v>
      </c>
      <c r="B89" s="63" t="s">
        <v>165</v>
      </c>
      <c r="C89" s="59" t="s">
        <v>153</v>
      </c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113"/>
      <c r="AJ89" s="36">
        <f t="shared" si="12"/>
        <v>0</v>
      </c>
      <c r="AK89" s="36">
        <f t="shared" si="13"/>
        <v>0</v>
      </c>
      <c r="AL89" s="36">
        <f t="shared" si="14"/>
        <v>0</v>
      </c>
      <c r="AM89" s="36">
        <f t="shared" si="15"/>
        <v>0</v>
      </c>
      <c r="AN89" s="38">
        <f t="shared" si="16"/>
        <v>0</v>
      </c>
      <c r="AO89" s="81" t="s">
        <v>120</v>
      </c>
      <c r="AP89" s="38">
        <v>26</v>
      </c>
      <c r="AQ89" s="39">
        <f t="shared" si="17"/>
        <v>0</v>
      </c>
    </row>
    <row r="90" ht="15.25" spans="1:43">
      <c r="A90" s="59" t="s">
        <v>645</v>
      </c>
      <c r="B90" s="63" t="s">
        <v>16</v>
      </c>
      <c r="C90" s="59" t="s">
        <v>153</v>
      </c>
      <c r="D90" s="62"/>
      <c r="E90" s="62"/>
      <c r="F90" s="62"/>
      <c r="G90" s="62"/>
      <c r="H90" s="62"/>
      <c r="I90" s="62" t="s">
        <v>13</v>
      </c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 t="s">
        <v>11</v>
      </c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113"/>
      <c r="AJ90" s="36">
        <f t="shared" si="12"/>
        <v>1</v>
      </c>
      <c r="AK90" s="36">
        <f t="shared" si="13"/>
        <v>0</v>
      </c>
      <c r="AL90" s="36">
        <f t="shared" si="14"/>
        <v>1</v>
      </c>
      <c r="AM90" s="36">
        <f t="shared" si="15"/>
        <v>0</v>
      </c>
      <c r="AN90" s="38">
        <f t="shared" si="16"/>
        <v>2</v>
      </c>
      <c r="AO90" s="66" t="s">
        <v>382</v>
      </c>
      <c r="AP90" s="38">
        <v>27</v>
      </c>
      <c r="AQ90" s="39">
        <f t="shared" si="17"/>
        <v>0.0740740740740741</v>
      </c>
    </row>
    <row r="91" ht="15.25" spans="1:43">
      <c r="A91" s="59" t="s">
        <v>646</v>
      </c>
      <c r="B91" s="63" t="s">
        <v>16</v>
      </c>
      <c r="C91" s="59" t="s">
        <v>153</v>
      </c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 t="s">
        <v>11</v>
      </c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113"/>
      <c r="AJ91" s="36">
        <f t="shared" si="12"/>
        <v>1</v>
      </c>
      <c r="AK91" s="36">
        <f t="shared" si="13"/>
        <v>0</v>
      </c>
      <c r="AL91" s="36">
        <f t="shared" si="14"/>
        <v>0</v>
      </c>
      <c r="AM91" s="36">
        <f t="shared" si="15"/>
        <v>0</v>
      </c>
      <c r="AN91" s="38">
        <f t="shared" si="16"/>
        <v>1</v>
      </c>
      <c r="AO91" s="66" t="s">
        <v>336</v>
      </c>
      <c r="AP91" s="38">
        <v>28</v>
      </c>
      <c r="AQ91" s="39">
        <f t="shared" si="17"/>
        <v>0.0357142857142857</v>
      </c>
    </row>
    <row r="92" ht="15.25" spans="1:43">
      <c r="A92" s="59" t="s">
        <v>647</v>
      </c>
      <c r="B92" s="63" t="s">
        <v>165</v>
      </c>
      <c r="C92" s="59" t="s">
        <v>267</v>
      </c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113"/>
      <c r="AJ92" s="36">
        <f t="shared" si="12"/>
        <v>0</v>
      </c>
      <c r="AK92" s="36">
        <f t="shared" si="13"/>
        <v>0</v>
      </c>
      <c r="AL92" s="36">
        <f t="shared" si="14"/>
        <v>0</v>
      </c>
      <c r="AM92" s="36">
        <f t="shared" si="15"/>
        <v>0</v>
      </c>
      <c r="AN92" s="38">
        <f t="shared" si="16"/>
        <v>0</v>
      </c>
      <c r="AO92" s="66" t="s">
        <v>382</v>
      </c>
      <c r="AP92" s="38">
        <v>29</v>
      </c>
      <c r="AQ92" s="39">
        <f t="shared" si="17"/>
        <v>0</v>
      </c>
    </row>
    <row r="93" ht="15.25" spans="1:43">
      <c r="A93" s="59" t="s">
        <v>648</v>
      </c>
      <c r="B93" s="63" t="s">
        <v>165</v>
      </c>
      <c r="C93" s="59" t="s">
        <v>267</v>
      </c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113"/>
      <c r="AJ93" s="36">
        <f t="shared" si="12"/>
        <v>0</v>
      </c>
      <c r="AK93" s="36">
        <f t="shared" si="13"/>
        <v>0</v>
      </c>
      <c r="AL93" s="36">
        <f t="shared" si="14"/>
        <v>0</v>
      </c>
      <c r="AM93" s="36">
        <f t="shared" si="15"/>
        <v>0</v>
      </c>
      <c r="AN93" s="38">
        <f t="shared" si="16"/>
        <v>0</v>
      </c>
      <c r="AO93" s="70" t="s">
        <v>428</v>
      </c>
      <c r="AP93" s="38">
        <v>26</v>
      </c>
      <c r="AQ93" s="39">
        <f t="shared" si="17"/>
        <v>0</v>
      </c>
    </row>
    <row r="94" ht="15.25" spans="1:43">
      <c r="A94" s="59" t="s">
        <v>649</v>
      </c>
      <c r="B94" s="63" t="s">
        <v>165</v>
      </c>
      <c r="C94" s="59" t="s">
        <v>267</v>
      </c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113"/>
      <c r="AJ94" s="36">
        <f t="shared" si="12"/>
        <v>0</v>
      </c>
      <c r="AK94" s="36">
        <f t="shared" si="13"/>
        <v>0</v>
      </c>
      <c r="AL94" s="36">
        <f t="shared" si="14"/>
        <v>0</v>
      </c>
      <c r="AM94" s="36">
        <f t="shared" si="15"/>
        <v>0</v>
      </c>
      <c r="AN94" s="38">
        <f t="shared" si="16"/>
        <v>0</v>
      </c>
      <c r="AO94" s="66" t="s">
        <v>193</v>
      </c>
      <c r="AP94" s="38">
        <v>26</v>
      </c>
      <c r="AQ94" s="39">
        <f t="shared" si="17"/>
        <v>0</v>
      </c>
    </row>
    <row r="95" ht="15.25" spans="1:43">
      <c r="A95" s="59" t="s">
        <v>650</v>
      </c>
      <c r="B95" s="63" t="s">
        <v>165</v>
      </c>
      <c r="C95" s="59" t="s">
        <v>219</v>
      </c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113"/>
      <c r="AJ95" s="36">
        <f t="shared" si="12"/>
        <v>0</v>
      </c>
      <c r="AK95" s="36">
        <f t="shared" si="13"/>
        <v>0</v>
      </c>
      <c r="AL95" s="36">
        <f t="shared" si="14"/>
        <v>0</v>
      </c>
      <c r="AM95" s="36">
        <f t="shared" si="15"/>
        <v>0</v>
      </c>
      <c r="AN95" s="38">
        <f t="shared" si="16"/>
        <v>0</v>
      </c>
      <c r="AO95" s="38" t="s">
        <v>228</v>
      </c>
      <c r="AP95" s="38">
        <v>26</v>
      </c>
      <c r="AQ95" s="39">
        <f t="shared" si="17"/>
        <v>0</v>
      </c>
    </row>
    <row r="96" ht="15.25" spans="1:43">
      <c r="A96" s="59" t="s">
        <v>651</v>
      </c>
      <c r="B96" s="63" t="s">
        <v>165</v>
      </c>
      <c r="C96" s="59" t="s">
        <v>219</v>
      </c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113"/>
      <c r="AJ96" s="36">
        <f t="shared" si="12"/>
        <v>0</v>
      </c>
      <c r="AK96" s="36">
        <f t="shared" si="13"/>
        <v>0</v>
      </c>
      <c r="AL96" s="36">
        <f t="shared" si="14"/>
        <v>0</v>
      </c>
      <c r="AM96" s="36">
        <f t="shared" si="15"/>
        <v>0</v>
      </c>
      <c r="AN96" s="38">
        <f t="shared" si="16"/>
        <v>0</v>
      </c>
      <c r="AO96" s="38" t="s">
        <v>228</v>
      </c>
      <c r="AP96" s="38">
        <v>26</v>
      </c>
      <c r="AQ96" s="39">
        <f t="shared" si="17"/>
        <v>0</v>
      </c>
    </row>
    <row r="97" ht="15.25" spans="1:43">
      <c r="A97" s="59" t="s">
        <v>652</v>
      </c>
      <c r="B97" s="63" t="s">
        <v>16</v>
      </c>
      <c r="C97" s="59" t="s">
        <v>219</v>
      </c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113"/>
      <c r="AJ97" s="36">
        <f t="shared" si="12"/>
        <v>0</v>
      </c>
      <c r="AK97" s="36">
        <f t="shared" si="13"/>
        <v>0</v>
      </c>
      <c r="AL97" s="36">
        <f t="shared" si="14"/>
        <v>0</v>
      </c>
      <c r="AM97" s="36">
        <f t="shared" si="15"/>
        <v>0</v>
      </c>
      <c r="AN97" s="38">
        <f t="shared" si="16"/>
        <v>0</v>
      </c>
      <c r="AO97" s="81" t="s">
        <v>125</v>
      </c>
      <c r="AP97" s="38">
        <v>26</v>
      </c>
      <c r="AQ97" s="39">
        <f t="shared" si="17"/>
        <v>0</v>
      </c>
    </row>
    <row r="98" ht="15.25" spans="1:43">
      <c r="A98" s="59" t="s">
        <v>653</v>
      </c>
      <c r="B98" s="63" t="s">
        <v>16</v>
      </c>
      <c r="C98" s="59" t="s">
        <v>219</v>
      </c>
      <c r="D98" s="62"/>
      <c r="E98" s="62"/>
      <c r="F98" s="62"/>
      <c r="G98" s="62" t="s">
        <v>11</v>
      </c>
      <c r="H98" s="62" t="s">
        <v>11</v>
      </c>
      <c r="I98" s="62" t="s">
        <v>11</v>
      </c>
      <c r="J98" s="62" t="s">
        <v>11</v>
      </c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113"/>
      <c r="AJ98" s="36">
        <f t="shared" si="12"/>
        <v>4</v>
      </c>
      <c r="AK98" s="36">
        <f t="shared" si="13"/>
        <v>0</v>
      </c>
      <c r="AL98" s="36">
        <f t="shared" si="14"/>
        <v>0</v>
      </c>
      <c r="AM98" s="36">
        <f t="shared" si="15"/>
        <v>0</v>
      </c>
      <c r="AN98" s="38">
        <f t="shared" si="16"/>
        <v>4</v>
      </c>
      <c r="AO98" s="81">
        <v>45946</v>
      </c>
      <c r="AP98" s="38">
        <v>26</v>
      </c>
      <c r="AQ98" s="39">
        <f t="shared" si="17"/>
        <v>0.153846153846154</v>
      </c>
    </row>
    <row r="99" ht="15.25" spans="1:43">
      <c r="A99" s="59" t="s">
        <v>654</v>
      </c>
      <c r="B99" s="63" t="s">
        <v>211</v>
      </c>
      <c r="C99" s="59" t="s">
        <v>215</v>
      </c>
      <c r="D99" s="62"/>
      <c r="E99" s="62"/>
      <c r="F99" s="62"/>
      <c r="G99" s="62"/>
      <c r="H99" s="62"/>
      <c r="I99" s="62"/>
      <c r="J99" s="62" t="s">
        <v>11</v>
      </c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 t="s">
        <v>13</v>
      </c>
      <c r="W99" s="62"/>
      <c r="X99" s="62"/>
      <c r="Y99" s="62"/>
      <c r="Z99" s="62"/>
      <c r="AA99" s="62"/>
      <c r="AB99" s="62" t="s">
        <v>13</v>
      </c>
      <c r="AC99" s="62"/>
      <c r="AD99" s="62"/>
      <c r="AE99" s="62"/>
      <c r="AF99" s="62" t="s">
        <v>13</v>
      </c>
      <c r="AG99" s="62" t="s">
        <v>13</v>
      </c>
      <c r="AH99" s="62"/>
      <c r="AI99" s="113"/>
      <c r="AJ99" s="36">
        <f t="shared" si="12"/>
        <v>1</v>
      </c>
      <c r="AK99" s="36">
        <f t="shared" si="13"/>
        <v>0</v>
      </c>
      <c r="AL99" s="36">
        <f t="shared" si="14"/>
        <v>4</v>
      </c>
      <c r="AM99" s="36">
        <f t="shared" si="15"/>
        <v>0</v>
      </c>
      <c r="AN99" s="38">
        <f t="shared" si="16"/>
        <v>5</v>
      </c>
      <c r="AO99" s="66" t="s">
        <v>193</v>
      </c>
      <c r="AP99" s="38">
        <v>26</v>
      </c>
      <c r="AQ99" s="39">
        <f t="shared" si="17"/>
        <v>0.192307692307692</v>
      </c>
    </row>
    <row r="100" ht="15.25" spans="1:43">
      <c r="A100" s="59" t="s">
        <v>655</v>
      </c>
      <c r="B100" s="63" t="s">
        <v>16</v>
      </c>
      <c r="C100" s="59" t="s">
        <v>215</v>
      </c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113"/>
      <c r="AJ100" s="36">
        <f t="shared" si="12"/>
        <v>0</v>
      </c>
      <c r="AK100" s="36">
        <f t="shared" si="13"/>
        <v>0</v>
      </c>
      <c r="AL100" s="36">
        <f t="shared" si="14"/>
        <v>0</v>
      </c>
      <c r="AM100" s="36">
        <f t="shared" si="15"/>
        <v>0</v>
      </c>
      <c r="AN100" s="38">
        <f t="shared" si="16"/>
        <v>0</v>
      </c>
      <c r="AO100" s="38" t="s">
        <v>228</v>
      </c>
      <c r="AP100" s="38">
        <v>27</v>
      </c>
      <c r="AQ100" s="39">
        <f t="shared" si="17"/>
        <v>0</v>
      </c>
    </row>
    <row r="101" ht="15.25" spans="1:43">
      <c r="A101" s="59" t="s">
        <v>656</v>
      </c>
      <c r="B101" s="63" t="s">
        <v>16</v>
      </c>
      <c r="C101" s="59" t="s">
        <v>215</v>
      </c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113"/>
      <c r="AJ101" s="36">
        <f t="shared" si="12"/>
        <v>0</v>
      </c>
      <c r="AK101" s="36">
        <f t="shared" si="13"/>
        <v>0</v>
      </c>
      <c r="AL101" s="36">
        <f t="shared" si="14"/>
        <v>0</v>
      </c>
      <c r="AM101" s="36">
        <f t="shared" si="15"/>
        <v>0</v>
      </c>
      <c r="AN101" s="38">
        <f t="shared" si="16"/>
        <v>0</v>
      </c>
      <c r="AO101" s="38"/>
      <c r="AP101" s="38">
        <v>28</v>
      </c>
      <c r="AQ101" s="39">
        <f t="shared" si="17"/>
        <v>0</v>
      </c>
    </row>
    <row r="102" ht="15.25" spans="1:43">
      <c r="A102" s="59" t="s">
        <v>657</v>
      </c>
      <c r="B102" s="63" t="s">
        <v>16</v>
      </c>
      <c r="C102" s="59" t="s">
        <v>215</v>
      </c>
      <c r="D102" s="62"/>
      <c r="E102" s="62"/>
      <c r="F102" s="62"/>
      <c r="G102" s="62"/>
      <c r="H102" s="62"/>
      <c r="I102" s="62"/>
      <c r="J102" s="62"/>
      <c r="K102" s="62"/>
      <c r="L102" s="62" t="s">
        <v>11</v>
      </c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113"/>
      <c r="AJ102" s="36">
        <f t="shared" si="12"/>
        <v>1</v>
      </c>
      <c r="AK102" s="36">
        <f t="shared" si="13"/>
        <v>0</v>
      </c>
      <c r="AL102" s="36">
        <f t="shared" si="14"/>
        <v>0</v>
      </c>
      <c r="AM102" s="36">
        <f t="shared" si="15"/>
        <v>0</v>
      </c>
      <c r="AN102" s="38">
        <f t="shared" si="16"/>
        <v>1</v>
      </c>
      <c r="AO102" s="38" t="s">
        <v>25</v>
      </c>
      <c r="AP102" s="38">
        <v>29</v>
      </c>
      <c r="AQ102" s="39">
        <f t="shared" si="17"/>
        <v>0.0344827586206897</v>
      </c>
    </row>
    <row r="103" ht="15.25" spans="1:43">
      <c r="A103" s="59" t="s">
        <v>658</v>
      </c>
      <c r="B103" s="63" t="s">
        <v>16</v>
      </c>
      <c r="C103" s="59" t="s">
        <v>215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 t="s">
        <v>11</v>
      </c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113"/>
      <c r="AJ103" s="36">
        <f t="shared" si="12"/>
        <v>1</v>
      </c>
      <c r="AK103" s="36">
        <f t="shared" si="13"/>
        <v>0</v>
      </c>
      <c r="AL103" s="36">
        <f t="shared" si="14"/>
        <v>0</v>
      </c>
      <c r="AM103" s="36">
        <f t="shared" si="15"/>
        <v>0</v>
      </c>
      <c r="AN103" s="38">
        <f t="shared" si="16"/>
        <v>1</v>
      </c>
      <c r="AO103" s="66" t="s">
        <v>193</v>
      </c>
      <c r="AP103" s="38">
        <v>30</v>
      </c>
      <c r="AQ103" s="39">
        <f t="shared" si="17"/>
        <v>0.0333333333333333</v>
      </c>
    </row>
    <row r="104" ht="15.25" spans="1:43">
      <c r="A104" s="59" t="s">
        <v>659</v>
      </c>
      <c r="B104" s="63" t="s">
        <v>16</v>
      </c>
      <c r="C104" s="59" t="s">
        <v>215</v>
      </c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113"/>
      <c r="AJ104" s="36">
        <f t="shared" si="12"/>
        <v>0</v>
      </c>
      <c r="AK104" s="36">
        <f t="shared" si="13"/>
        <v>0</v>
      </c>
      <c r="AL104" s="36">
        <f t="shared" si="14"/>
        <v>0</v>
      </c>
      <c r="AM104" s="36">
        <f t="shared" si="15"/>
        <v>0</v>
      </c>
      <c r="AN104" s="38">
        <f t="shared" si="16"/>
        <v>0</v>
      </c>
      <c r="AO104" s="66" t="s">
        <v>336</v>
      </c>
      <c r="AP104" s="38">
        <v>31</v>
      </c>
      <c r="AQ104" s="39">
        <f t="shared" si="17"/>
        <v>0</v>
      </c>
    </row>
    <row r="105" ht="15.25" spans="1:43">
      <c r="A105" s="59" t="s">
        <v>660</v>
      </c>
      <c r="B105" s="63" t="s">
        <v>16</v>
      </c>
      <c r="C105" s="59" t="s">
        <v>215</v>
      </c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113"/>
      <c r="AJ105" s="36">
        <f t="shared" si="12"/>
        <v>0</v>
      </c>
      <c r="AK105" s="36">
        <f t="shared" si="13"/>
        <v>0</v>
      </c>
      <c r="AL105" s="36">
        <f t="shared" si="14"/>
        <v>0</v>
      </c>
      <c r="AM105" s="36">
        <f t="shared" si="15"/>
        <v>0</v>
      </c>
      <c r="AN105" s="38">
        <f t="shared" si="16"/>
        <v>0</v>
      </c>
      <c r="AO105" s="66" t="s">
        <v>193</v>
      </c>
      <c r="AP105" s="38">
        <v>32</v>
      </c>
      <c r="AQ105" s="39">
        <f t="shared" si="17"/>
        <v>0</v>
      </c>
    </row>
    <row r="106" ht="15.25" spans="1:43">
      <c r="A106" s="59" t="s">
        <v>661</v>
      </c>
      <c r="B106" s="63" t="s">
        <v>16</v>
      </c>
      <c r="C106" s="59" t="s">
        <v>215</v>
      </c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 t="s">
        <v>11</v>
      </c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 t="s">
        <v>103</v>
      </c>
      <c r="AB106" s="62"/>
      <c r="AC106" s="62"/>
      <c r="AD106" s="62"/>
      <c r="AE106" s="62"/>
      <c r="AF106" s="62"/>
      <c r="AG106" s="62"/>
      <c r="AH106" s="62"/>
      <c r="AI106" s="113"/>
      <c r="AJ106" s="36">
        <f t="shared" si="12"/>
        <v>1</v>
      </c>
      <c r="AK106" s="36">
        <f t="shared" si="13"/>
        <v>1</v>
      </c>
      <c r="AL106" s="36">
        <f t="shared" si="14"/>
        <v>0</v>
      </c>
      <c r="AM106" s="36">
        <f t="shared" si="15"/>
        <v>0</v>
      </c>
      <c r="AN106" s="38">
        <f t="shared" si="16"/>
        <v>2</v>
      </c>
      <c r="AO106" s="38"/>
      <c r="AP106" s="38">
        <v>33</v>
      </c>
      <c r="AQ106" s="39">
        <f t="shared" si="17"/>
        <v>0.0606060606060606</v>
      </c>
    </row>
    <row r="107" ht="15.25" spans="1:43">
      <c r="A107" s="59" t="s">
        <v>662</v>
      </c>
      <c r="B107" s="63" t="s">
        <v>16</v>
      </c>
      <c r="C107" s="59" t="s">
        <v>215</v>
      </c>
      <c r="D107" s="62"/>
      <c r="E107" s="62"/>
      <c r="F107" s="62"/>
      <c r="G107" s="62"/>
      <c r="H107" s="62" t="s">
        <v>11</v>
      </c>
      <c r="I107" s="62"/>
      <c r="J107" s="62"/>
      <c r="K107" s="62" t="s">
        <v>11</v>
      </c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113"/>
      <c r="AJ107" s="36">
        <f t="shared" si="12"/>
        <v>2</v>
      </c>
      <c r="AK107" s="36">
        <f t="shared" si="13"/>
        <v>0</v>
      </c>
      <c r="AL107" s="36">
        <f t="shared" si="14"/>
        <v>0</v>
      </c>
      <c r="AM107" s="36">
        <f t="shared" si="15"/>
        <v>0</v>
      </c>
      <c r="AN107" s="38">
        <f t="shared" si="16"/>
        <v>2</v>
      </c>
      <c r="AO107" s="38" t="s">
        <v>228</v>
      </c>
      <c r="AP107" s="38">
        <v>34</v>
      </c>
      <c r="AQ107" s="39">
        <f t="shared" si="17"/>
        <v>0.0588235294117647</v>
      </c>
    </row>
    <row r="108" ht="15.25" spans="1:43">
      <c r="A108" s="59" t="s">
        <v>663</v>
      </c>
      <c r="B108" s="63" t="s">
        <v>16</v>
      </c>
      <c r="C108" s="59" t="s">
        <v>215</v>
      </c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 t="s">
        <v>11</v>
      </c>
      <c r="P108" s="62"/>
      <c r="Q108" s="62" t="s">
        <v>13</v>
      </c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113"/>
      <c r="AJ108" s="36">
        <f t="shared" si="12"/>
        <v>1</v>
      </c>
      <c r="AK108" s="36">
        <f t="shared" si="13"/>
        <v>0</v>
      </c>
      <c r="AL108" s="36">
        <f t="shared" si="14"/>
        <v>1</v>
      </c>
      <c r="AM108" s="36">
        <f t="shared" si="15"/>
        <v>0</v>
      </c>
      <c r="AN108" s="38">
        <f t="shared" si="16"/>
        <v>2</v>
      </c>
      <c r="AO108" s="69" t="s">
        <v>275</v>
      </c>
      <c r="AP108" s="38">
        <v>35</v>
      </c>
      <c r="AQ108" s="39">
        <f t="shared" si="17"/>
        <v>0.0571428571428571</v>
      </c>
    </row>
    <row r="109" ht="15.25" spans="1:43">
      <c r="A109" s="59" t="s">
        <v>664</v>
      </c>
      <c r="B109" s="63" t="s">
        <v>564</v>
      </c>
      <c r="C109" s="59" t="s">
        <v>215</v>
      </c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113"/>
      <c r="AJ109" s="36">
        <f t="shared" si="12"/>
        <v>0</v>
      </c>
      <c r="AK109" s="36">
        <f t="shared" si="13"/>
        <v>0</v>
      </c>
      <c r="AL109" s="36">
        <f t="shared" si="14"/>
        <v>0</v>
      </c>
      <c r="AM109" s="36">
        <f t="shared" si="15"/>
        <v>0</v>
      </c>
      <c r="AN109" s="38">
        <f t="shared" si="16"/>
        <v>0</v>
      </c>
      <c r="AO109" s="38" t="s">
        <v>25</v>
      </c>
      <c r="AP109" s="38">
        <v>36</v>
      </c>
      <c r="AQ109" s="39">
        <f t="shared" si="17"/>
        <v>0</v>
      </c>
    </row>
    <row r="110" ht="15.25" spans="1:43">
      <c r="A110" s="59" t="s">
        <v>665</v>
      </c>
      <c r="B110" s="85" t="s">
        <v>16</v>
      </c>
      <c r="C110" s="59" t="s">
        <v>238</v>
      </c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 t="s">
        <v>11</v>
      </c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113"/>
      <c r="AJ110" s="36">
        <f t="shared" ref="AJ110:AJ141" si="18">COUNTIF(D110:AH110,"S")</f>
        <v>1</v>
      </c>
      <c r="AK110" s="36">
        <f t="shared" ref="AK110:AK141" si="19">COUNTIF(D110:AH110,"I")</f>
        <v>0</v>
      </c>
      <c r="AL110" s="36">
        <f t="shared" ref="AL110:AL141" si="20">COUNTIF(D110:AH110,"A")</f>
        <v>0</v>
      </c>
      <c r="AM110" s="36">
        <f t="shared" ref="AM110:AM141" si="21">COUNTIF(D110:AI110,"PA")</f>
        <v>0</v>
      </c>
      <c r="AN110" s="38">
        <f t="shared" ref="AN110:AN141" si="22">SUM(AJ110:AL110)</f>
        <v>1</v>
      </c>
      <c r="AO110" s="81">
        <v>45967</v>
      </c>
      <c r="AP110" s="38">
        <v>37</v>
      </c>
      <c r="AQ110" s="39">
        <f t="shared" ref="AQ110:AQ141" si="23">AN110/AP110</f>
        <v>0.027027027027027</v>
      </c>
    </row>
    <row r="111" ht="15.25" spans="1:43">
      <c r="A111" s="59" t="s">
        <v>666</v>
      </c>
      <c r="B111" s="63" t="s">
        <v>16</v>
      </c>
      <c r="C111" s="59" t="s">
        <v>238</v>
      </c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 t="s">
        <v>11</v>
      </c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113"/>
      <c r="AJ111" s="36">
        <f t="shared" si="18"/>
        <v>1</v>
      </c>
      <c r="AK111" s="36">
        <f t="shared" si="19"/>
        <v>0</v>
      </c>
      <c r="AL111" s="36">
        <f t="shared" si="20"/>
        <v>0</v>
      </c>
      <c r="AM111" s="36">
        <f t="shared" si="21"/>
        <v>0</v>
      </c>
      <c r="AN111" s="38">
        <f t="shared" si="22"/>
        <v>1</v>
      </c>
      <c r="AO111" s="38" t="s">
        <v>173</v>
      </c>
      <c r="AP111" s="38">
        <v>38</v>
      </c>
      <c r="AQ111" s="39">
        <f t="shared" si="23"/>
        <v>0.0263157894736842</v>
      </c>
    </row>
    <row r="112" ht="15.25" spans="1:43">
      <c r="A112" s="59" t="s">
        <v>667</v>
      </c>
      <c r="B112" s="63" t="s">
        <v>564</v>
      </c>
      <c r="C112" s="59" t="s">
        <v>238</v>
      </c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113"/>
      <c r="AJ112" s="36">
        <f t="shared" si="18"/>
        <v>0</v>
      </c>
      <c r="AK112" s="36">
        <f t="shared" si="19"/>
        <v>0</v>
      </c>
      <c r="AL112" s="36">
        <f t="shared" si="20"/>
        <v>0</v>
      </c>
      <c r="AM112" s="36">
        <f t="shared" si="21"/>
        <v>0</v>
      </c>
      <c r="AN112" s="38">
        <f t="shared" si="22"/>
        <v>0</v>
      </c>
      <c r="AO112" s="69" t="s">
        <v>275</v>
      </c>
      <c r="AP112" s="38">
        <v>39</v>
      </c>
      <c r="AQ112" s="39">
        <f t="shared" si="23"/>
        <v>0</v>
      </c>
    </row>
    <row r="113" ht="15.25" spans="1:43">
      <c r="A113" s="59" t="s">
        <v>668</v>
      </c>
      <c r="B113" s="63" t="s">
        <v>165</v>
      </c>
      <c r="C113" s="59" t="s">
        <v>238</v>
      </c>
      <c r="D113" s="62"/>
      <c r="E113" s="62"/>
      <c r="F113" s="62"/>
      <c r="G113" s="62"/>
      <c r="H113" s="62"/>
      <c r="I113" s="62"/>
      <c r="J113" s="62"/>
      <c r="K113" s="62" t="s">
        <v>12</v>
      </c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113"/>
      <c r="AJ113" s="36">
        <f t="shared" si="18"/>
        <v>0</v>
      </c>
      <c r="AK113" s="36">
        <f t="shared" si="19"/>
        <v>1</v>
      </c>
      <c r="AL113" s="36">
        <f t="shared" si="20"/>
        <v>0</v>
      </c>
      <c r="AM113" s="36">
        <f t="shared" si="21"/>
        <v>0</v>
      </c>
      <c r="AN113" s="38">
        <f t="shared" si="22"/>
        <v>1</v>
      </c>
      <c r="AO113" s="38" t="s">
        <v>171</v>
      </c>
      <c r="AP113" s="38">
        <v>40</v>
      </c>
      <c r="AQ113" s="39">
        <f t="shared" si="23"/>
        <v>0.025</v>
      </c>
    </row>
    <row r="114" ht="15.25" spans="1:43">
      <c r="A114" s="59" t="s">
        <v>669</v>
      </c>
      <c r="B114" s="63" t="s">
        <v>16</v>
      </c>
      <c r="C114" s="59" t="s">
        <v>180</v>
      </c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113"/>
      <c r="AJ114" s="36">
        <f t="shared" si="18"/>
        <v>0</v>
      </c>
      <c r="AK114" s="36">
        <f t="shared" si="19"/>
        <v>0</v>
      </c>
      <c r="AL114" s="36">
        <f t="shared" si="20"/>
        <v>0</v>
      </c>
      <c r="AM114" s="36">
        <f t="shared" si="21"/>
        <v>0</v>
      </c>
      <c r="AN114" s="38">
        <f t="shared" si="22"/>
        <v>0</v>
      </c>
      <c r="AO114" s="66"/>
      <c r="AP114" s="38">
        <v>41</v>
      </c>
      <c r="AQ114" s="39">
        <f t="shared" si="23"/>
        <v>0</v>
      </c>
    </row>
    <row r="115" ht="15.25" spans="1:43">
      <c r="A115" s="59" t="s">
        <v>670</v>
      </c>
      <c r="B115" s="63" t="s">
        <v>16</v>
      </c>
      <c r="C115" s="59" t="s">
        <v>180</v>
      </c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113"/>
      <c r="AJ115" s="36">
        <f t="shared" si="18"/>
        <v>0</v>
      </c>
      <c r="AK115" s="36">
        <f t="shared" si="19"/>
        <v>0</v>
      </c>
      <c r="AL115" s="36">
        <f t="shared" si="20"/>
        <v>0</v>
      </c>
      <c r="AM115" s="36">
        <f t="shared" si="21"/>
        <v>0</v>
      </c>
      <c r="AN115" s="38">
        <f t="shared" si="22"/>
        <v>0</v>
      </c>
      <c r="AO115" s="38" t="s">
        <v>228</v>
      </c>
      <c r="AP115" s="38">
        <v>42</v>
      </c>
      <c r="AQ115" s="39">
        <f t="shared" si="23"/>
        <v>0</v>
      </c>
    </row>
    <row r="116" ht="15.25" spans="1:43">
      <c r="A116" s="59" t="s">
        <v>671</v>
      </c>
      <c r="B116" s="63" t="s">
        <v>165</v>
      </c>
      <c r="C116" s="59" t="s">
        <v>180</v>
      </c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113"/>
      <c r="AJ116" s="36">
        <f t="shared" si="18"/>
        <v>0</v>
      </c>
      <c r="AK116" s="36">
        <f t="shared" si="19"/>
        <v>0</v>
      </c>
      <c r="AL116" s="36">
        <f t="shared" si="20"/>
        <v>0</v>
      </c>
      <c r="AM116" s="36">
        <f t="shared" si="21"/>
        <v>0</v>
      </c>
      <c r="AN116" s="38">
        <f t="shared" si="22"/>
        <v>0</v>
      </c>
      <c r="AO116" s="38" t="s">
        <v>228</v>
      </c>
      <c r="AP116" s="38">
        <v>43</v>
      </c>
      <c r="AQ116" s="39">
        <f t="shared" si="23"/>
        <v>0</v>
      </c>
    </row>
    <row r="117" ht="15.25" spans="1:43">
      <c r="A117" s="59" t="s">
        <v>672</v>
      </c>
      <c r="B117" s="63" t="s">
        <v>16</v>
      </c>
      <c r="C117" s="59" t="s">
        <v>180</v>
      </c>
      <c r="D117" s="62"/>
      <c r="E117" s="62"/>
      <c r="F117" s="62"/>
      <c r="G117" s="62"/>
      <c r="H117" s="62"/>
      <c r="I117" s="62"/>
      <c r="J117" s="62" t="s">
        <v>11</v>
      </c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113"/>
      <c r="AJ117" s="36">
        <f t="shared" si="18"/>
        <v>1</v>
      </c>
      <c r="AK117" s="36">
        <f t="shared" si="19"/>
        <v>0</v>
      </c>
      <c r="AL117" s="36">
        <f t="shared" si="20"/>
        <v>0</v>
      </c>
      <c r="AM117" s="36">
        <f t="shared" si="21"/>
        <v>0</v>
      </c>
      <c r="AN117" s="38">
        <f t="shared" si="22"/>
        <v>1</v>
      </c>
      <c r="AO117" s="66" t="s">
        <v>193</v>
      </c>
      <c r="AP117" s="38">
        <v>44</v>
      </c>
      <c r="AQ117" s="39">
        <f t="shared" si="23"/>
        <v>0.0227272727272727</v>
      </c>
    </row>
    <row r="118" ht="15.25" spans="1:43">
      <c r="A118" s="59" t="s">
        <v>673</v>
      </c>
      <c r="B118" s="63" t="s">
        <v>16</v>
      </c>
      <c r="C118" s="59" t="s">
        <v>180</v>
      </c>
      <c r="D118" s="62"/>
      <c r="E118" s="62"/>
      <c r="F118" s="62"/>
      <c r="G118" s="62"/>
      <c r="H118" s="62"/>
      <c r="I118" s="62"/>
      <c r="J118" s="62" t="s">
        <v>11</v>
      </c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113"/>
      <c r="AJ118" s="36">
        <f t="shared" si="18"/>
        <v>1</v>
      </c>
      <c r="AK118" s="36">
        <f t="shared" si="19"/>
        <v>0</v>
      </c>
      <c r="AL118" s="36">
        <f t="shared" si="20"/>
        <v>0</v>
      </c>
      <c r="AM118" s="36">
        <f t="shared" si="21"/>
        <v>0</v>
      </c>
      <c r="AN118" s="38">
        <f t="shared" si="22"/>
        <v>1</v>
      </c>
      <c r="AO118" s="66" t="s">
        <v>171</v>
      </c>
      <c r="AP118" s="38">
        <v>45</v>
      </c>
      <c r="AQ118" s="39">
        <f t="shared" si="23"/>
        <v>0.0222222222222222</v>
      </c>
    </row>
    <row r="119" ht="15.25" spans="1:43">
      <c r="A119" s="59" t="s">
        <v>627</v>
      </c>
      <c r="B119" s="63" t="s">
        <v>165</v>
      </c>
      <c r="C119" s="59" t="s">
        <v>180</v>
      </c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113"/>
      <c r="AJ119" s="36">
        <f t="shared" si="18"/>
        <v>0</v>
      </c>
      <c r="AK119" s="36">
        <f t="shared" si="19"/>
        <v>0</v>
      </c>
      <c r="AL119" s="36">
        <f t="shared" si="20"/>
        <v>0</v>
      </c>
      <c r="AM119" s="36">
        <f t="shared" si="21"/>
        <v>0</v>
      </c>
      <c r="AN119" s="38">
        <f t="shared" si="22"/>
        <v>0</v>
      </c>
      <c r="AO119" s="69" t="s">
        <v>275</v>
      </c>
      <c r="AP119" s="38">
        <v>47</v>
      </c>
      <c r="AQ119" s="39">
        <f t="shared" si="23"/>
        <v>0</v>
      </c>
    </row>
    <row r="120" ht="15.25" spans="1:43">
      <c r="A120" s="59" t="s">
        <v>674</v>
      </c>
      <c r="B120" s="63" t="s">
        <v>165</v>
      </c>
      <c r="C120" s="59" t="s">
        <v>180</v>
      </c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113"/>
      <c r="AJ120" s="36">
        <f t="shared" si="18"/>
        <v>0</v>
      </c>
      <c r="AK120" s="36">
        <f t="shared" si="19"/>
        <v>0</v>
      </c>
      <c r="AL120" s="36">
        <f t="shared" si="20"/>
        <v>0</v>
      </c>
      <c r="AM120" s="36">
        <f t="shared" si="21"/>
        <v>0</v>
      </c>
      <c r="AN120" s="38">
        <f t="shared" si="22"/>
        <v>0</v>
      </c>
      <c r="AO120" s="38" t="s">
        <v>214</v>
      </c>
      <c r="AP120" s="38">
        <v>48</v>
      </c>
      <c r="AQ120" s="39">
        <f t="shared" si="23"/>
        <v>0</v>
      </c>
    </row>
    <row r="121" ht="15.25" spans="1:43">
      <c r="A121" s="59" t="s">
        <v>675</v>
      </c>
      <c r="B121" s="63" t="s">
        <v>676</v>
      </c>
      <c r="C121" s="59" t="s">
        <v>180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113"/>
      <c r="AJ121" s="36">
        <f t="shared" si="18"/>
        <v>0</v>
      </c>
      <c r="AK121" s="36">
        <f t="shared" si="19"/>
        <v>0</v>
      </c>
      <c r="AL121" s="36">
        <f t="shared" si="20"/>
        <v>0</v>
      </c>
      <c r="AM121" s="36">
        <f t="shared" si="21"/>
        <v>0</v>
      </c>
      <c r="AN121" s="38">
        <f t="shared" si="22"/>
        <v>0</v>
      </c>
      <c r="AO121" s="66" t="s">
        <v>193</v>
      </c>
      <c r="AP121" s="38">
        <v>50</v>
      </c>
      <c r="AQ121" s="39">
        <f t="shared" si="23"/>
        <v>0</v>
      </c>
    </row>
    <row r="122" ht="15.25" spans="1:43">
      <c r="A122" s="59" t="s">
        <v>677</v>
      </c>
      <c r="B122" s="63" t="s">
        <v>16</v>
      </c>
      <c r="C122" s="59" t="s">
        <v>180</v>
      </c>
      <c r="D122" s="62"/>
      <c r="E122" s="62"/>
      <c r="F122" s="62"/>
      <c r="G122" s="62"/>
      <c r="H122" s="62"/>
      <c r="I122" s="62"/>
      <c r="J122" s="62"/>
      <c r="K122" s="62"/>
      <c r="L122" s="62"/>
      <c r="M122" s="62" t="s">
        <v>11</v>
      </c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 t="s">
        <v>11</v>
      </c>
      <c r="Z122" s="62"/>
      <c r="AA122" s="62"/>
      <c r="AB122" s="62"/>
      <c r="AC122" s="62"/>
      <c r="AD122" s="62"/>
      <c r="AE122" s="62"/>
      <c r="AF122" s="62"/>
      <c r="AG122" s="62"/>
      <c r="AH122" s="62"/>
      <c r="AI122" s="113"/>
      <c r="AJ122" s="36">
        <f t="shared" si="18"/>
        <v>2</v>
      </c>
      <c r="AK122" s="36">
        <f t="shared" si="19"/>
        <v>0</v>
      </c>
      <c r="AL122" s="36">
        <f t="shared" si="20"/>
        <v>0</v>
      </c>
      <c r="AM122" s="36">
        <f t="shared" si="21"/>
        <v>0</v>
      </c>
      <c r="AN122" s="38">
        <f t="shared" si="22"/>
        <v>2</v>
      </c>
      <c r="AO122" s="38"/>
      <c r="AP122" s="38">
        <v>51</v>
      </c>
      <c r="AQ122" s="39">
        <f t="shared" si="23"/>
        <v>0.0392156862745098</v>
      </c>
    </row>
    <row r="123" ht="15.25" spans="1:43">
      <c r="A123" s="59" t="s">
        <v>678</v>
      </c>
      <c r="B123" s="63" t="s">
        <v>16</v>
      </c>
      <c r="C123" s="59" t="s">
        <v>180</v>
      </c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113"/>
      <c r="AJ123" s="36">
        <f t="shared" si="18"/>
        <v>0</v>
      </c>
      <c r="AK123" s="36">
        <f t="shared" si="19"/>
        <v>0</v>
      </c>
      <c r="AL123" s="36">
        <f t="shared" si="20"/>
        <v>0</v>
      </c>
      <c r="AM123" s="36">
        <f t="shared" si="21"/>
        <v>0</v>
      </c>
      <c r="AN123" s="38">
        <f t="shared" si="22"/>
        <v>0</v>
      </c>
      <c r="AO123" s="38"/>
      <c r="AP123" s="38">
        <v>52</v>
      </c>
      <c r="AQ123" s="39">
        <f t="shared" si="23"/>
        <v>0</v>
      </c>
    </row>
    <row r="124" ht="15.25" spans="1:43">
      <c r="A124" s="59" t="s">
        <v>679</v>
      </c>
      <c r="B124" s="63" t="s">
        <v>165</v>
      </c>
      <c r="C124" s="59" t="s">
        <v>180</v>
      </c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113"/>
      <c r="AJ124" s="36">
        <f t="shared" si="18"/>
        <v>0</v>
      </c>
      <c r="AK124" s="36">
        <f t="shared" si="19"/>
        <v>0</v>
      </c>
      <c r="AL124" s="36">
        <f t="shared" si="20"/>
        <v>0</v>
      </c>
      <c r="AM124" s="36">
        <f t="shared" si="21"/>
        <v>0</v>
      </c>
      <c r="AN124" s="38">
        <f t="shared" si="22"/>
        <v>0</v>
      </c>
      <c r="AO124" s="66"/>
      <c r="AP124" s="38">
        <v>53</v>
      </c>
      <c r="AQ124" s="39">
        <f t="shared" si="23"/>
        <v>0</v>
      </c>
    </row>
    <row r="125" ht="15.25" spans="1:43">
      <c r="A125" s="59" t="s">
        <v>680</v>
      </c>
      <c r="B125" s="63" t="s">
        <v>59</v>
      </c>
      <c r="C125" s="59" t="s">
        <v>180</v>
      </c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113"/>
      <c r="AJ125" s="36">
        <f t="shared" si="18"/>
        <v>0</v>
      </c>
      <c r="AK125" s="36">
        <f t="shared" si="19"/>
        <v>0</v>
      </c>
      <c r="AL125" s="36">
        <f t="shared" si="20"/>
        <v>0</v>
      </c>
      <c r="AM125" s="36">
        <f t="shared" si="21"/>
        <v>0</v>
      </c>
      <c r="AN125" s="38">
        <f t="shared" si="22"/>
        <v>0</v>
      </c>
      <c r="AO125" s="38"/>
      <c r="AP125" s="38">
        <v>54</v>
      </c>
      <c r="AQ125" s="39">
        <f t="shared" si="23"/>
        <v>0</v>
      </c>
    </row>
    <row r="126" ht="15.25" spans="1:43">
      <c r="A126" s="59" t="s">
        <v>681</v>
      </c>
      <c r="B126" s="63" t="s">
        <v>16</v>
      </c>
      <c r="C126" s="59" t="s">
        <v>180</v>
      </c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113"/>
      <c r="AJ126" s="36">
        <f t="shared" si="18"/>
        <v>0</v>
      </c>
      <c r="AK126" s="36">
        <f t="shared" si="19"/>
        <v>0</v>
      </c>
      <c r="AL126" s="36">
        <f t="shared" si="20"/>
        <v>0</v>
      </c>
      <c r="AM126" s="36">
        <f t="shared" si="21"/>
        <v>0</v>
      </c>
      <c r="AN126" s="38">
        <f t="shared" si="22"/>
        <v>0</v>
      </c>
      <c r="AO126" s="38"/>
      <c r="AP126" s="38">
        <v>55</v>
      </c>
      <c r="AQ126" s="39">
        <f t="shared" si="23"/>
        <v>0</v>
      </c>
    </row>
    <row r="127" ht="15.25" spans="1:43">
      <c r="A127" s="59" t="s">
        <v>682</v>
      </c>
      <c r="B127" s="63" t="s">
        <v>59</v>
      </c>
      <c r="C127" s="59" t="s">
        <v>180</v>
      </c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113"/>
      <c r="AJ127" s="36">
        <f t="shared" si="18"/>
        <v>0</v>
      </c>
      <c r="AK127" s="36">
        <f t="shared" si="19"/>
        <v>0</v>
      </c>
      <c r="AL127" s="36">
        <f t="shared" si="20"/>
        <v>0</v>
      </c>
      <c r="AM127" s="36">
        <f t="shared" si="21"/>
        <v>0</v>
      </c>
      <c r="AN127" s="38">
        <f t="shared" si="22"/>
        <v>0</v>
      </c>
      <c r="AO127" s="38"/>
      <c r="AP127" s="38">
        <v>56</v>
      </c>
      <c r="AQ127" s="39">
        <f t="shared" si="23"/>
        <v>0</v>
      </c>
    </row>
    <row r="128" ht="28.75" spans="1:43">
      <c r="A128" s="59" t="s">
        <v>683</v>
      </c>
      <c r="B128" s="63" t="s">
        <v>165</v>
      </c>
      <c r="C128" s="59" t="s">
        <v>180</v>
      </c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113"/>
      <c r="AJ128" s="36">
        <f t="shared" si="18"/>
        <v>0</v>
      </c>
      <c r="AK128" s="36">
        <f t="shared" si="19"/>
        <v>0</v>
      </c>
      <c r="AL128" s="36">
        <f t="shared" si="20"/>
        <v>0</v>
      </c>
      <c r="AM128" s="36">
        <f t="shared" si="21"/>
        <v>0</v>
      </c>
      <c r="AN128" s="38">
        <f t="shared" si="22"/>
        <v>0</v>
      </c>
      <c r="AO128" s="38"/>
      <c r="AP128" s="38">
        <v>57</v>
      </c>
      <c r="AQ128" s="39">
        <f t="shared" si="23"/>
        <v>0</v>
      </c>
    </row>
    <row r="129" ht="15.25" spans="1:43">
      <c r="A129" s="59" t="s">
        <v>684</v>
      </c>
      <c r="B129" s="63" t="s">
        <v>16</v>
      </c>
      <c r="C129" s="59" t="s">
        <v>180</v>
      </c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113"/>
      <c r="AJ129" s="36">
        <f t="shared" si="18"/>
        <v>0</v>
      </c>
      <c r="AK129" s="36">
        <f t="shared" si="19"/>
        <v>0</v>
      </c>
      <c r="AL129" s="36">
        <f t="shared" si="20"/>
        <v>0</v>
      </c>
      <c r="AM129" s="36">
        <f t="shared" si="21"/>
        <v>0</v>
      </c>
      <c r="AN129" s="38">
        <f t="shared" si="22"/>
        <v>0</v>
      </c>
      <c r="AO129" s="38"/>
      <c r="AP129" s="38">
        <v>58</v>
      </c>
      <c r="AQ129" s="39">
        <f t="shared" si="23"/>
        <v>0</v>
      </c>
    </row>
    <row r="130" ht="15.25" spans="1:43">
      <c r="A130" s="59" t="s">
        <v>685</v>
      </c>
      <c r="B130" s="63" t="s">
        <v>16</v>
      </c>
      <c r="C130" s="59" t="s">
        <v>112</v>
      </c>
      <c r="D130" s="62"/>
      <c r="E130" s="62" t="s">
        <v>11</v>
      </c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 t="s">
        <v>11</v>
      </c>
      <c r="R130" s="62"/>
      <c r="S130" s="62"/>
      <c r="T130" s="62"/>
      <c r="U130" s="62"/>
      <c r="V130" s="62" t="s">
        <v>103</v>
      </c>
      <c r="W130" s="62"/>
      <c r="X130" s="62" t="s">
        <v>11</v>
      </c>
      <c r="Y130" s="62"/>
      <c r="Z130" s="62"/>
      <c r="AA130" s="62"/>
      <c r="AB130" s="62"/>
      <c r="AC130" s="62"/>
      <c r="AD130" s="62"/>
      <c r="AE130" s="62"/>
      <c r="AF130" s="62" t="s">
        <v>11</v>
      </c>
      <c r="AG130" s="62" t="s">
        <v>11</v>
      </c>
      <c r="AH130" s="62" t="s">
        <v>11</v>
      </c>
      <c r="AI130" s="113"/>
      <c r="AJ130" s="36">
        <f t="shared" si="18"/>
        <v>6</v>
      </c>
      <c r="AK130" s="36">
        <f t="shared" si="19"/>
        <v>1</v>
      </c>
      <c r="AL130" s="36">
        <f t="shared" si="20"/>
        <v>0</v>
      </c>
      <c r="AM130" s="36">
        <f t="shared" si="21"/>
        <v>0</v>
      </c>
      <c r="AN130" s="38">
        <f t="shared" si="22"/>
        <v>7</v>
      </c>
      <c r="AO130" s="38"/>
      <c r="AP130" s="38">
        <v>59</v>
      </c>
      <c r="AQ130" s="39">
        <f t="shared" si="23"/>
        <v>0.11864406779661</v>
      </c>
    </row>
    <row r="131" ht="15.25" spans="1:43">
      <c r="A131" s="59" t="s">
        <v>686</v>
      </c>
      <c r="B131" s="63" t="s">
        <v>20</v>
      </c>
      <c r="C131" s="59" t="s">
        <v>112</v>
      </c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113"/>
      <c r="AJ131" s="36">
        <f t="shared" si="18"/>
        <v>0</v>
      </c>
      <c r="AK131" s="36">
        <f t="shared" si="19"/>
        <v>0</v>
      </c>
      <c r="AL131" s="36">
        <f t="shared" si="20"/>
        <v>0</v>
      </c>
      <c r="AM131" s="36">
        <f t="shared" si="21"/>
        <v>0</v>
      </c>
      <c r="AN131" s="38">
        <f t="shared" si="22"/>
        <v>0</v>
      </c>
      <c r="AO131" s="38"/>
      <c r="AP131" s="38">
        <v>60</v>
      </c>
      <c r="AQ131" s="39">
        <f t="shared" si="23"/>
        <v>0</v>
      </c>
    </row>
    <row r="132" s="132" customFormat="1" ht="15.25" spans="1:43">
      <c r="A132" s="143" t="s">
        <v>687</v>
      </c>
      <c r="B132" s="144" t="s">
        <v>16</v>
      </c>
      <c r="C132" s="143" t="s">
        <v>112</v>
      </c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 t="s">
        <v>11</v>
      </c>
      <c r="P132" s="145"/>
      <c r="Q132" s="145"/>
      <c r="R132" s="145"/>
      <c r="S132" s="145"/>
      <c r="T132" s="145"/>
      <c r="U132" s="145"/>
      <c r="V132" s="145"/>
      <c r="W132" s="145"/>
      <c r="X132" s="145"/>
      <c r="Y132" s="145"/>
      <c r="Z132" s="145"/>
      <c r="AA132" s="145"/>
      <c r="AB132" s="145"/>
      <c r="AC132" s="145"/>
      <c r="AD132" s="145"/>
      <c r="AE132" s="145"/>
      <c r="AF132" s="145"/>
      <c r="AG132" s="145"/>
      <c r="AH132" s="145"/>
      <c r="AI132" s="146"/>
      <c r="AJ132" s="36">
        <f t="shared" si="18"/>
        <v>1</v>
      </c>
      <c r="AK132" s="36">
        <f t="shared" si="19"/>
        <v>0</v>
      </c>
      <c r="AL132" s="36">
        <f t="shared" si="20"/>
        <v>0</v>
      </c>
      <c r="AM132" s="36">
        <f t="shared" si="21"/>
        <v>0</v>
      </c>
      <c r="AN132" s="38">
        <f t="shared" si="22"/>
        <v>1</v>
      </c>
      <c r="AO132" s="43"/>
      <c r="AP132" s="37">
        <v>62</v>
      </c>
      <c r="AQ132" s="39">
        <f t="shared" si="23"/>
        <v>0.0161290322580645</v>
      </c>
    </row>
    <row r="133" ht="15.25" spans="1:43">
      <c r="A133" s="59" t="s">
        <v>688</v>
      </c>
      <c r="B133" s="63" t="s">
        <v>16</v>
      </c>
      <c r="C133" s="59" t="s">
        <v>112</v>
      </c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 t="s">
        <v>103</v>
      </c>
      <c r="U133" s="62" t="s">
        <v>13</v>
      </c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113"/>
      <c r="AJ133" s="36">
        <f t="shared" si="18"/>
        <v>0</v>
      </c>
      <c r="AK133" s="36">
        <f t="shared" si="19"/>
        <v>1</v>
      </c>
      <c r="AL133" s="36">
        <f t="shared" si="20"/>
        <v>1</v>
      </c>
      <c r="AM133" s="36">
        <f t="shared" si="21"/>
        <v>0</v>
      </c>
      <c r="AN133" s="38">
        <f t="shared" si="22"/>
        <v>2</v>
      </c>
      <c r="AO133" s="128"/>
      <c r="AP133" s="38">
        <v>63</v>
      </c>
      <c r="AQ133" s="39">
        <f t="shared" si="23"/>
        <v>0.0317460317460317</v>
      </c>
    </row>
    <row r="134" ht="15.25" spans="1:43">
      <c r="A134" s="59" t="s">
        <v>689</v>
      </c>
      <c r="B134" s="63" t="s">
        <v>16</v>
      </c>
      <c r="C134" s="59" t="s">
        <v>112</v>
      </c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113"/>
      <c r="AJ134" s="36">
        <f t="shared" si="18"/>
        <v>0</v>
      </c>
      <c r="AK134" s="36">
        <f t="shared" si="19"/>
        <v>0</v>
      </c>
      <c r="AL134" s="36">
        <f t="shared" si="20"/>
        <v>0</v>
      </c>
      <c r="AM134" s="36">
        <f t="shared" si="21"/>
        <v>0</v>
      </c>
      <c r="AN134" s="38">
        <f t="shared" si="22"/>
        <v>0</v>
      </c>
      <c r="AO134" s="43"/>
      <c r="AP134" s="38">
        <v>64</v>
      </c>
      <c r="AQ134" s="39">
        <f t="shared" si="23"/>
        <v>0</v>
      </c>
    </row>
    <row r="135" ht="15.25" spans="1:43">
      <c r="A135" s="59" t="s">
        <v>690</v>
      </c>
      <c r="B135" s="63" t="s">
        <v>16</v>
      </c>
      <c r="C135" s="63" t="s">
        <v>112</v>
      </c>
      <c r="D135" s="62"/>
      <c r="E135" s="62"/>
      <c r="F135" s="62" t="s">
        <v>11</v>
      </c>
      <c r="G135" s="62"/>
      <c r="H135" s="62"/>
      <c r="I135" s="62"/>
      <c r="J135" s="62"/>
      <c r="K135" s="62"/>
      <c r="L135" s="62"/>
      <c r="M135" s="62" t="s">
        <v>13</v>
      </c>
      <c r="N135" s="62"/>
      <c r="O135" s="62"/>
      <c r="P135" s="62"/>
      <c r="Q135" s="62"/>
      <c r="R135" s="62" t="s">
        <v>13</v>
      </c>
      <c r="S135" s="62"/>
      <c r="T135" s="62"/>
      <c r="U135" s="62"/>
      <c r="V135" s="62" t="s">
        <v>13</v>
      </c>
      <c r="W135" s="62"/>
      <c r="X135" s="62"/>
      <c r="Y135" s="62" t="s">
        <v>13</v>
      </c>
      <c r="Z135" s="62"/>
      <c r="AA135" s="62"/>
      <c r="AB135" s="62"/>
      <c r="AC135" s="62"/>
      <c r="AD135" s="62"/>
      <c r="AE135" s="62"/>
      <c r="AF135" s="62"/>
      <c r="AG135" s="62"/>
      <c r="AH135" s="62"/>
      <c r="AI135" s="113"/>
      <c r="AJ135" s="36">
        <f t="shared" si="18"/>
        <v>1</v>
      </c>
      <c r="AK135" s="36">
        <f t="shared" si="19"/>
        <v>0</v>
      </c>
      <c r="AL135" s="36">
        <f t="shared" si="20"/>
        <v>4</v>
      </c>
      <c r="AM135" s="36">
        <f t="shared" si="21"/>
        <v>0</v>
      </c>
      <c r="AN135" s="38">
        <f t="shared" si="22"/>
        <v>5</v>
      </c>
      <c r="AO135" s="35"/>
      <c r="AP135" s="38">
        <v>65</v>
      </c>
      <c r="AQ135" s="39">
        <f t="shared" si="23"/>
        <v>0.0769230769230769</v>
      </c>
    </row>
    <row r="136" ht="15.25" spans="1:43">
      <c r="A136" s="59" t="s">
        <v>691</v>
      </c>
      <c r="B136" s="63" t="s">
        <v>527</v>
      </c>
      <c r="C136" s="63" t="s">
        <v>112</v>
      </c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113"/>
      <c r="AJ136" s="36">
        <f t="shared" si="18"/>
        <v>0</v>
      </c>
      <c r="AK136" s="36">
        <f t="shared" si="19"/>
        <v>0</v>
      </c>
      <c r="AL136" s="36">
        <f t="shared" si="20"/>
        <v>0</v>
      </c>
      <c r="AM136" s="36">
        <f t="shared" si="21"/>
        <v>0</v>
      </c>
      <c r="AN136" s="38">
        <f t="shared" si="22"/>
        <v>0</v>
      </c>
      <c r="AO136" s="43"/>
      <c r="AP136" s="38">
        <v>66</v>
      </c>
      <c r="AQ136" s="39">
        <f t="shared" si="23"/>
        <v>0</v>
      </c>
    </row>
    <row r="137" ht="15.25" spans="1:43">
      <c r="A137" s="59" t="s">
        <v>692</v>
      </c>
      <c r="B137" s="63" t="s">
        <v>534</v>
      </c>
      <c r="C137" s="63" t="s">
        <v>112</v>
      </c>
      <c r="D137" s="62"/>
      <c r="E137" s="62"/>
      <c r="F137" s="62"/>
      <c r="G137" s="62"/>
      <c r="H137" s="62" t="s">
        <v>13</v>
      </c>
      <c r="I137" s="62"/>
      <c r="J137" s="62" t="s">
        <v>11</v>
      </c>
      <c r="K137" s="62"/>
      <c r="L137" s="62"/>
      <c r="M137" s="62"/>
      <c r="N137" s="62"/>
      <c r="O137" s="62" t="s">
        <v>13</v>
      </c>
      <c r="P137" s="62" t="s">
        <v>13</v>
      </c>
      <c r="Q137" s="62"/>
      <c r="R137" s="62"/>
      <c r="S137" s="62"/>
      <c r="T137" s="62"/>
      <c r="U137" s="62"/>
      <c r="V137" s="62"/>
      <c r="W137" s="62"/>
      <c r="X137" s="62" t="s">
        <v>11</v>
      </c>
      <c r="Y137" s="62" t="s">
        <v>11</v>
      </c>
      <c r="Z137" s="62" t="s">
        <v>13</v>
      </c>
      <c r="AA137" s="62"/>
      <c r="AB137" s="62"/>
      <c r="AC137" s="62"/>
      <c r="AD137" s="62"/>
      <c r="AE137" s="62"/>
      <c r="AF137" s="62"/>
      <c r="AG137" s="62"/>
      <c r="AH137" s="62" t="s">
        <v>13</v>
      </c>
      <c r="AI137" s="113"/>
      <c r="AJ137" s="36">
        <f t="shared" si="18"/>
        <v>3</v>
      </c>
      <c r="AK137" s="36">
        <f t="shared" si="19"/>
        <v>0</v>
      </c>
      <c r="AL137" s="36">
        <f t="shared" si="20"/>
        <v>5</v>
      </c>
      <c r="AM137" s="36">
        <f t="shared" si="21"/>
        <v>0</v>
      </c>
      <c r="AN137" s="38">
        <f t="shared" si="22"/>
        <v>8</v>
      </c>
      <c r="AO137" s="37"/>
      <c r="AP137" s="38">
        <v>67</v>
      </c>
      <c r="AQ137" s="39">
        <f t="shared" si="23"/>
        <v>0.119402985074627</v>
      </c>
    </row>
    <row r="138" ht="15.25" spans="1:43">
      <c r="A138" s="59" t="s">
        <v>693</v>
      </c>
      <c r="B138" s="63" t="s">
        <v>165</v>
      </c>
      <c r="C138" s="63" t="s">
        <v>112</v>
      </c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113"/>
      <c r="AJ138" s="36">
        <f t="shared" si="18"/>
        <v>0</v>
      </c>
      <c r="AK138" s="36">
        <f t="shared" si="19"/>
        <v>0</v>
      </c>
      <c r="AL138" s="36">
        <f t="shared" si="20"/>
        <v>0</v>
      </c>
      <c r="AM138" s="36">
        <f t="shared" si="21"/>
        <v>0</v>
      </c>
      <c r="AN138" s="38">
        <f t="shared" si="22"/>
        <v>0</v>
      </c>
      <c r="AO138" s="43"/>
      <c r="AP138" s="38">
        <v>68</v>
      </c>
      <c r="AQ138" s="39">
        <f t="shared" si="23"/>
        <v>0</v>
      </c>
    </row>
    <row r="139" ht="15.25" spans="1:43">
      <c r="A139" s="59" t="s">
        <v>694</v>
      </c>
      <c r="B139" s="63" t="s">
        <v>16</v>
      </c>
      <c r="C139" s="63" t="s">
        <v>112</v>
      </c>
      <c r="D139" s="62"/>
      <c r="E139" s="62"/>
      <c r="F139" s="62"/>
      <c r="G139" s="62"/>
      <c r="H139" s="62" t="s">
        <v>11</v>
      </c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113"/>
      <c r="AJ139" s="36">
        <f t="shared" si="18"/>
        <v>1</v>
      </c>
      <c r="AK139" s="36">
        <f t="shared" si="19"/>
        <v>0</v>
      </c>
      <c r="AL139" s="36">
        <f t="shared" si="20"/>
        <v>0</v>
      </c>
      <c r="AM139" s="36">
        <f t="shared" si="21"/>
        <v>0</v>
      </c>
      <c r="AN139" s="38">
        <f t="shared" si="22"/>
        <v>1</v>
      </c>
      <c r="AO139" s="37"/>
      <c r="AP139" s="38">
        <v>69</v>
      </c>
      <c r="AQ139" s="39">
        <f t="shared" si="23"/>
        <v>0.0144927536231884</v>
      </c>
    </row>
    <row r="140" ht="15.25" spans="1:43">
      <c r="A140" s="59" t="s">
        <v>695</v>
      </c>
      <c r="B140" s="63" t="s">
        <v>16</v>
      </c>
      <c r="C140" s="63" t="s">
        <v>112</v>
      </c>
      <c r="D140" s="62"/>
      <c r="E140" s="62"/>
      <c r="F140" s="62"/>
      <c r="G140" s="62"/>
      <c r="H140" s="62"/>
      <c r="I140" s="62" t="s">
        <v>11</v>
      </c>
      <c r="J140" s="62" t="s">
        <v>11</v>
      </c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113"/>
      <c r="AJ140" s="36">
        <f t="shared" si="18"/>
        <v>2</v>
      </c>
      <c r="AK140" s="36">
        <f t="shared" si="19"/>
        <v>0</v>
      </c>
      <c r="AL140" s="36">
        <f t="shared" si="20"/>
        <v>0</v>
      </c>
      <c r="AM140" s="36">
        <f t="shared" si="21"/>
        <v>0</v>
      </c>
      <c r="AN140" s="38">
        <f t="shared" si="22"/>
        <v>2</v>
      </c>
      <c r="AO140" s="37"/>
      <c r="AP140" s="38">
        <v>70</v>
      </c>
      <c r="AQ140" s="39">
        <f t="shared" si="23"/>
        <v>0.0285714285714286</v>
      </c>
    </row>
    <row r="141" ht="15.25" spans="1:43">
      <c r="A141" s="59" t="s">
        <v>696</v>
      </c>
      <c r="B141" s="63" t="s">
        <v>16</v>
      </c>
      <c r="C141" s="63" t="s">
        <v>112</v>
      </c>
      <c r="D141" s="62"/>
      <c r="E141" s="62"/>
      <c r="F141" s="62"/>
      <c r="G141" s="62" t="s">
        <v>11</v>
      </c>
      <c r="H141" s="62"/>
      <c r="I141" s="62" t="s">
        <v>11</v>
      </c>
      <c r="J141" s="62"/>
      <c r="K141" s="62"/>
      <c r="L141" s="62"/>
      <c r="M141" s="62"/>
      <c r="N141" s="62"/>
      <c r="O141" s="62"/>
      <c r="P141" s="62"/>
      <c r="Q141" s="62" t="s">
        <v>13</v>
      </c>
      <c r="R141" s="62"/>
      <c r="S141" s="62"/>
      <c r="T141" s="62"/>
      <c r="U141" s="62"/>
      <c r="V141" s="62"/>
      <c r="W141" s="62"/>
      <c r="X141" s="62"/>
      <c r="Y141" s="62" t="s">
        <v>11</v>
      </c>
      <c r="Z141" s="62"/>
      <c r="AA141" s="62"/>
      <c r="AB141" s="62"/>
      <c r="AC141" s="62" t="s">
        <v>11</v>
      </c>
      <c r="AD141" s="62"/>
      <c r="AE141" s="62"/>
      <c r="AF141" s="62"/>
      <c r="AG141" s="62" t="s">
        <v>11</v>
      </c>
      <c r="AH141" s="62" t="s">
        <v>11</v>
      </c>
      <c r="AI141" s="113"/>
      <c r="AJ141" s="36">
        <f t="shared" si="18"/>
        <v>6</v>
      </c>
      <c r="AK141" s="36">
        <f t="shared" si="19"/>
        <v>0</v>
      </c>
      <c r="AL141" s="36">
        <f t="shared" si="20"/>
        <v>1</v>
      </c>
      <c r="AM141" s="36">
        <f t="shared" si="21"/>
        <v>0</v>
      </c>
      <c r="AN141" s="38">
        <f t="shared" si="22"/>
        <v>7</v>
      </c>
      <c r="AO141" s="37"/>
      <c r="AP141" s="38">
        <v>71</v>
      </c>
      <c r="AQ141" s="39">
        <f t="shared" si="23"/>
        <v>0.0985915492957746</v>
      </c>
    </row>
    <row r="142" ht="15.25" spans="1:43">
      <c r="A142" s="59" t="s">
        <v>697</v>
      </c>
      <c r="B142" s="63" t="s">
        <v>534</v>
      </c>
      <c r="C142" s="63" t="s">
        <v>112</v>
      </c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 t="s">
        <v>13</v>
      </c>
      <c r="AC142" s="62"/>
      <c r="AD142" s="62"/>
      <c r="AE142" s="62"/>
      <c r="AF142" s="62"/>
      <c r="AG142" s="62"/>
      <c r="AH142" s="62"/>
      <c r="AI142" s="113"/>
      <c r="AJ142" s="36">
        <f t="shared" ref="AJ142:AJ173" si="24">COUNTIF(D142:AH142,"S")</f>
        <v>0</v>
      </c>
      <c r="AK142" s="36">
        <f t="shared" ref="AK142:AK173" si="25">COUNTIF(D142:AH142,"I")</f>
        <v>0</v>
      </c>
      <c r="AL142" s="36">
        <f t="shared" ref="AL142:AL173" si="26">COUNTIF(D142:AH142,"A")</f>
        <v>1</v>
      </c>
      <c r="AM142" s="36">
        <f t="shared" ref="AM142:AM173" si="27">COUNTIF(D142:AI142,"PA")</f>
        <v>0</v>
      </c>
      <c r="AN142" s="38">
        <f t="shared" ref="AN142:AN173" si="28">SUM(AJ142:AL142)</f>
        <v>1</v>
      </c>
      <c r="AO142" s="37"/>
      <c r="AP142" s="38">
        <v>72</v>
      </c>
      <c r="AQ142" s="39">
        <f t="shared" ref="AQ142:AQ173" si="29">AN142/AP142</f>
        <v>0.0138888888888889</v>
      </c>
    </row>
    <row r="143" ht="15.25" spans="1:43">
      <c r="A143" s="59" t="s">
        <v>698</v>
      </c>
      <c r="B143" s="59" t="s">
        <v>16</v>
      </c>
      <c r="C143" s="59" t="s">
        <v>112</v>
      </c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 t="s">
        <v>103</v>
      </c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 t="s">
        <v>13</v>
      </c>
      <c r="AI143" s="113"/>
      <c r="AJ143" s="36">
        <f t="shared" si="24"/>
        <v>0</v>
      </c>
      <c r="AK143" s="36">
        <f t="shared" si="25"/>
        <v>1</v>
      </c>
      <c r="AL143" s="36">
        <f t="shared" si="26"/>
        <v>1</v>
      </c>
      <c r="AM143" s="36">
        <f t="shared" si="27"/>
        <v>0</v>
      </c>
      <c r="AN143" s="38">
        <f t="shared" si="28"/>
        <v>2</v>
      </c>
      <c r="AO143" s="43"/>
      <c r="AP143" s="38">
        <v>73</v>
      </c>
      <c r="AQ143" s="39">
        <f t="shared" si="29"/>
        <v>0.0273972602739726</v>
      </c>
    </row>
    <row r="144" ht="15.25" spans="1:43">
      <c r="A144" s="59" t="s">
        <v>699</v>
      </c>
      <c r="B144" s="59" t="s">
        <v>700</v>
      </c>
      <c r="C144" s="59" t="s">
        <v>112</v>
      </c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113"/>
      <c r="AJ144" s="36">
        <f t="shared" si="24"/>
        <v>0</v>
      </c>
      <c r="AK144" s="36">
        <f t="shared" si="25"/>
        <v>0</v>
      </c>
      <c r="AL144" s="36">
        <f t="shared" si="26"/>
        <v>0</v>
      </c>
      <c r="AM144" s="36">
        <f t="shared" si="27"/>
        <v>0</v>
      </c>
      <c r="AN144" s="38">
        <f t="shared" si="28"/>
        <v>0</v>
      </c>
      <c r="AO144" s="37"/>
      <c r="AP144" s="38">
        <v>74</v>
      </c>
      <c r="AQ144" s="39">
        <f t="shared" si="29"/>
        <v>0</v>
      </c>
    </row>
    <row r="145" ht="15.25" spans="1:43">
      <c r="A145" s="92" t="s">
        <v>701</v>
      </c>
      <c r="B145" s="92" t="s">
        <v>165</v>
      </c>
      <c r="C145" s="92" t="s">
        <v>112</v>
      </c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113"/>
      <c r="AJ145" s="36">
        <f t="shared" si="24"/>
        <v>0</v>
      </c>
      <c r="AK145" s="36">
        <f t="shared" si="25"/>
        <v>0</v>
      </c>
      <c r="AL145" s="36">
        <f t="shared" si="26"/>
        <v>0</v>
      </c>
      <c r="AM145" s="36">
        <f t="shared" si="27"/>
        <v>0</v>
      </c>
      <c r="AN145" s="38">
        <f t="shared" si="28"/>
        <v>0</v>
      </c>
      <c r="AO145" s="37"/>
      <c r="AP145" s="38">
        <v>75</v>
      </c>
      <c r="AQ145" s="39">
        <f t="shared" si="29"/>
        <v>0</v>
      </c>
    </row>
    <row r="146" ht="15.25" spans="1:43">
      <c r="A146" s="59" t="s">
        <v>524</v>
      </c>
      <c r="B146" s="94" t="s">
        <v>702</v>
      </c>
      <c r="C146" s="59" t="s">
        <v>112</v>
      </c>
      <c r="D146" s="62"/>
      <c r="E146" s="62"/>
      <c r="F146" s="62"/>
      <c r="G146" s="62"/>
      <c r="H146" s="62"/>
      <c r="I146" s="62"/>
      <c r="J146" s="62"/>
      <c r="K146" s="62"/>
      <c r="L146" s="62" t="s">
        <v>11</v>
      </c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 t="s">
        <v>11</v>
      </c>
      <c r="Y146" s="62"/>
      <c r="Z146" s="62"/>
      <c r="AA146" s="62"/>
      <c r="AB146" s="62"/>
      <c r="AC146" s="62"/>
      <c r="AD146" s="62"/>
      <c r="AE146" s="62"/>
      <c r="AF146" s="62" t="s">
        <v>103</v>
      </c>
      <c r="AG146" s="62" t="s">
        <v>103</v>
      </c>
      <c r="AH146" s="62"/>
      <c r="AI146" s="113"/>
      <c r="AJ146" s="36">
        <f t="shared" si="24"/>
        <v>2</v>
      </c>
      <c r="AK146" s="36">
        <f t="shared" si="25"/>
        <v>2</v>
      </c>
      <c r="AL146" s="36">
        <f t="shared" si="26"/>
        <v>0</v>
      </c>
      <c r="AM146" s="36">
        <f t="shared" si="27"/>
        <v>0</v>
      </c>
      <c r="AN146" s="38">
        <f t="shared" si="28"/>
        <v>4</v>
      </c>
      <c r="AO146" s="129"/>
      <c r="AP146" s="38">
        <v>76</v>
      </c>
      <c r="AQ146" s="39">
        <f t="shared" si="29"/>
        <v>0.0526315789473684</v>
      </c>
    </row>
    <row r="147" ht="15.25" spans="1:43">
      <c r="A147" s="59" t="s">
        <v>703</v>
      </c>
      <c r="B147" s="59" t="s">
        <v>534</v>
      </c>
      <c r="C147" s="59" t="s">
        <v>112</v>
      </c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113"/>
      <c r="AJ147" s="36">
        <f t="shared" si="24"/>
        <v>0</v>
      </c>
      <c r="AK147" s="36">
        <f t="shared" si="25"/>
        <v>0</v>
      </c>
      <c r="AL147" s="36">
        <f t="shared" si="26"/>
        <v>0</v>
      </c>
      <c r="AM147" s="36">
        <f t="shared" si="27"/>
        <v>0</v>
      </c>
      <c r="AN147" s="38">
        <f t="shared" si="28"/>
        <v>0</v>
      </c>
      <c r="AO147" s="43"/>
      <c r="AP147" s="38">
        <v>77</v>
      </c>
      <c r="AQ147" s="39">
        <f t="shared" si="29"/>
        <v>0</v>
      </c>
    </row>
    <row r="148" ht="15.25" spans="1:43">
      <c r="A148" s="59" t="s">
        <v>704</v>
      </c>
      <c r="B148" s="59" t="s">
        <v>534</v>
      </c>
      <c r="C148" s="59" t="s">
        <v>112</v>
      </c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113"/>
      <c r="AJ148" s="36">
        <f t="shared" si="24"/>
        <v>0</v>
      </c>
      <c r="AK148" s="36">
        <f t="shared" si="25"/>
        <v>0</v>
      </c>
      <c r="AL148" s="36">
        <f t="shared" si="26"/>
        <v>0</v>
      </c>
      <c r="AM148" s="36">
        <f t="shared" si="27"/>
        <v>0</v>
      </c>
      <c r="AN148" s="38">
        <f t="shared" si="28"/>
        <v>0</v>
      </c>
      <c r="AO148" s="38"/>
      <c r="AP148" s="38">
        <v>78</v>
      </c>
      <c r="AQ148" s="39">
        <f t="shared" si="29"/>
        <v>0</v>
      </c>
    </row>
    <row r="149" ht="15.25" spans="1:43">
      <c r="A149" s="59" t="s">
        <v>705</v>
      </c>
      <c r="B149" s="59" t="s">
        <v>16</v>
      </c>
      <c r="C149" s="59" t="s">
        <v>112</v>
      </c>
      <c r="D149" s="62"/>
      <c r="E149" s="62"/>
      <c r="F149" s="62"/>
      <c r="G149" s="62"/>
      <c r="H149" s="62"/>
      <c r="I149" s="62"/>
      <c r="J149" s="62"/>
      <c r="K149" s="62" t="s">
        <v>103</v>
      </c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 t="s">
        <v>103</v>
      </c>
      <c r="X149" s="62" t="s">
        <v>103</v>
      </c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113"/>
      <c r="AJ149" s="36">
        <f t="shared" si="24"/>
        <v>0</v>
      </c>
      <c r="AK149" s="36">
        <f t="shared" si="25"/>
        <v>3</v>
      </c>
      <c r="AL149" s="36">
        <f t="shared" si="26"/>
        <v>0</v>
      </c>
      <c r="AM149" s="36">
        <f t="shared" si="27"/>
        <v>0</v>
      </c>
      <c r="AN149" s="38">
        <f t="shared" si="28"/>
        <v>3</v>
      </c>
      <c r="AO149" s="43"/>
      <c r="AP149" s="38">
        <v>79</v>
      </c>
      <c r="AQ149" s="39">
        <f t="shared" si="29"/>
        <v>0.0379746835443038</v>
      </c>
    </row>
    <row r="150" ht="15.25" spans="1:43">
      <c r="A150" s="59" t="s">
        <v>706</v>
      </c>
      <c r="B150" s="59" t="s">
        <v>16</v>
      </c>
      <c r="C150" s="59" t="s">
        <v>178</v>
      </c>
      <c r="D150" s="62"/>
      <c r="E150" s="62"/>
      <c r="F150" s="62"/>
      <c r="G150" s="62"/>
      <c r="H150" s="62" t="s">
        <v>11</v>
      </c>
      <c r="I150" s="62"/>
      <c r="J150" s="62"/>
      <c r="K150" s="62"/>
      <c r="L150" s="62"/>
      <c r="M150" s="62"/>
      <c r="N150" s="62" t="s">
        <v>11</v>
      </c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113"/>
      <c r="AJ150" s="36">
        <f t="shared" si="24"/>
        <v>2</v>
      </c>
      <c r="AK150" s="36">
        <f t="shared" si="25"/>
        <v>0</v>
      </c>
      <c r="AL150" s="36">
        <f t="shared" si="26"/>
        <v>0</v>
      </c>
      <c r="AM150" s="36">
        <f t="shared" si="27"/>
        <v>0</v>
      </c>
      <c r="AN150" s="38">
        <f t="shared" si="28"/>
        <v>2</v>
      </c>
      <c r="AO150" s="37"/>
      <c r="AP150" s="38">
        <v>80</v>
      </c>
      <c r="AQ150" s="39">
        <f t="shared" si="29"/>
        <v>0.025</v>
      </c>
    </row>
    <row r="151" ht="16" customHeight="1" spans="1:43">
      <c r="A151" s="59" t="s">
        <v>707</v>
      </c>
      <c r="B151" s="59" t="s">
        <v>16</v>
      </c>
      <c r="C151" s="59" t="s">
        <v>178</v>
      </c>
      <c r="D151" s="62"/>
      <c r="E151" s="62"/>
      <c r="F151" s="62"/>
      <c r="G151" s="62"/>
      <c r="H151" s="62"/>
      <c r="I151" s="62"/>
      <c r="J151" s="62" t="s">
        <v>11</v>
      </c>
      <c r="K151" s="62"/>
      <c r="L151" s="62"/>
      <c r="M151" s="62"/>
      <c r="N151" s="62"/>
      <c r="O151" s="62" t="s">
        <v>13</v>
      </c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113"/>
      <c r="AJ151" s="36">
        <f t="shared" si="24"/>
        <v>1</v>
      </c>
      <c r="AK151" s="36">
        <f t="shared" si="25"/>
        <v>0</v>
      </c>
      <c r="AL151" s="36">
        <f t="shared" si="26"/>
        <v>1</v>
      </c>
      <c r="AM151" s="36">
        <f t="shared" si="27"/>
        <v>0</v>
      </c>
      <c r="AN151" s="38">
        <f t="shared" si="28"/>
        <v>2</v>
      </c>
      <c r="AO151" s="38"/>
      <c r="AP151" s="38">
        <v>81</v>
      </c>
      <c r="AQ151" s="39">
        <f t="shared" si="29"/>
        <v>0.0246913580246914</v>
      </c>
    </row>
    <row r="152" ht="15.25" spans="1:43">
      <c r="A152" s="59" t="s">
        <v>708</v>
      </c>
      <c r="B152" s="59" t="s">
        <v>16</v>
      </c>
      <c r="C152" s="59" t="s">
        <v>178</v>
      </c>
      <c r="D152" s="62"/>
      <c r="E152" s="62"/>
      <c r="F152" s="62"/>
      <c r="G152" s="62"/>
      <c r="H152" s="62" t="s">
        <v>13</v>
      </c>
      <c r="I152" s="62"/>
      <c r="J152" s="62" t="s">
        <v>12</v>
      </c>
      <c r="K152" s="62"/>
      <c r="L152" s="62"/>
      <c r="M152" s="62"/>
      <c r="N152" s="62"/>
      <c r="O152" s="62" t="s">
        <v>12</v>
      </c>
      <c r="P152" s="62" t="s">
        <v>12</v>
      </c>
      <c r="Q152" s="62"/>
      <c r="R152" s="62"/>
      <c r="S152" s="62"/>
      <c r="T152" s="62"/>
      <c r="U152" s="62"/>
      <c r="V152" s="62"/>
      <c r="W152" s="62" t="s">
        <v>13</v>
      </c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113"/>
      <c r="AJ152" s="36">
        <f t="shared" si="24"/>
        <v>0</v>
      </c>
      <c r="AK152" s="36">
        <f t="shared" si="25"/>
        <v>3</v>
      </c>
      <c r="AL152" s="36">
        <f t="shared" si="26"/>
        <v>2</v>
      </c>
      <c r="AM152" s="36">
        <f t="shared" si="27"/>
        <v>0</v>
      </c>
      <c r="AN152" s="38">
        <f t="shared" si="28"/>
        <v>5</v>
      </c>
      <c r="AO152" s="38"/>
      <c r="AP152" s="38">
        <v>82</v>
      </c>
      <c r="AQ152" s="39">
        <f t="shared" si="29"/>
        <v>0.0609756097560976</v>
      </c>
    </row>
    <row r="153" ht="15.25" spans="1:43">
      <c r="A153" s="59" t="s">
        <v>525</v>
      </c>
      <c r="B153" s="59" t="s">
        <v>211</v>
      </c>
      <c r="C153" s="59" t="s">
        <v>178</v>
      </c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113"/>
      <c r="AJ153" s="36">
        <f t="shared" si="24"/>
        <v>0</v>
      </c>
      <c r="AK153" s="36">
        <f t="shared" si="25"/>
        <v>0</v>
      </c>
      <c r="AL153" s="36">
        <f t="shared" si="26"/>
        <v>0</v>
      </c>
      <c r="AM153" s="36">
        <f t="shared" si="27"/>
        <v>0</v>
      </c>
      <c r="AN153" s="38">
        <f t="shared" si="28"/>
        <v>0</v>
      </c>
      <c r="AO153" s="130"/>
      <c r="AP153" s="38">
        <v>83</v>
      </c>
      <c r="AQ153" s="39">
        <f t="shared" si="29"/>
        <v>0</v>
      </c>
    </row>
    <row r="154" ht="15.25" spans="1:43">
      <c r="A154" s="59" t="s">
        <v>528</v>
      </c>
      <c r="B154" s="59" t="s">
        <v>16</v>
      </c>
      <c r="C154" s="59" t="s">
        <v>178</v>
      </c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113"/>
      <c r="AJ154" s="36">
        <f t="shared" si="24"/>
        <v>0</v>
      </c>
      <c r="AK154" s="36">
        <f t="shared" si="25"/>
        <v>0</v>
      </c>
      <c r="AL154" s="36">
        <f t="shared" si="26"/>
        <v>0</v>
      </c>
      <c r="AM154" s="36">
        <f t="shared" si="27"/>
        <v>0</v>
      </c>
      <c r="AN154" s="38">
        <f t="shared" si="28"/>
        <v>0</v>
      </c>
      <c r="AO154" s="43"/>
      <c r="AP154" s="38">
        <v>84</v>
      </c>
      <c r="AQ154" s="39">
        <f t="shared" si="29"/>
        <v>0</v>
      </c>
    </row>
    <row r="155" ht="15.25" spans="1:43">
      <c r="A155" s="76" t="s">
        <v>529</v>
      </c>
      <c r="B155" s="76" t="s">
        <v>165</v>
      </c>
      <c r="C155" s="76" t="s">
        <v>178</v>
      </c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113"/>
      <c r="AJ155" s="36">
        <f t="shared" si="24"/>
        <v>0</v>
      </c>
      <c r="AK155" s="36">
        <f t="shared" si="25"/>
        <v>0</v>
      </c>
      <c r="AL155" s="36">
        <f t="shared" si="26"/>
        <v>0</v>
      </c>
      <c r="AM155" s="36">
        <f t="shared" si="27"/>
        <v>0</v>
      </c>
      <c r="AN155" s="38">
        <f t="shared" si="28"/>
        <v>0</v>
      </c>
      <c r="AO155" s="43"/>
      <c r="AP155" s="38">
        <v>85</v>
      </c>
      <c r="AQ155" s="39">
        <f t="shared" si="29"/>
        <v>0</v>
      </c>
    </row>
    <row r="156" ht="15.25" spans="1:43">
      <c r="A156" s="76" t="s">
        <v>530</v>
      </c>
      <c r="B156" s="76" t="s">
        <v>165</v>
      </c>
      <c r="C156" s="76" t="s">
        <v>178</v>
      </c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113"/>
      <c r="AJ156" s="36">
        <f t="shared" si="24"/>
        <v>0</v>
      </c>
      <c r="AK156" s="36">
        <f t="shared" si="25"/>
        <v>0</v>
      </c>
      <c r="AL156" s="36">
        <f t="shared" si="26"/>
        <v>0</v>
      </c>
      <c r="AM156" s="36">
        <f t="shared" si="27"/>
        <v>0</v>
      </c>
      <c r="AN156" s="38">
        <f t="shared" si="28"/>
        <v>0</v>
      </c>
      <c r="AO156" s="43"/>
      <c r="AP156" s="38">
        <v>86</v>
      </c>
      <c r="AQ156" s="39">
        <f t="shared" si="29"/>
        <v>0</v>
      </c>
    </row>
    <row r="157" ht="15.25" spans="1:43">
      <c r="A157" s="59" t="s">
        <v>531</v>
      </c>
      <c r="B157" s="59" t="s">
        <v>16</v>
      </c>
      <c r="C157" s="59" t="s">
        <v>178</v>
      </c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113"/>
      <c r="AJ157" s="36">
        <f t="shared" si="24"/>
        <v>0</v>
      </c>
      <c r="AK157" s="36">
        <f t="shared" si="25"/>
        <v>0</v>
      </c>
      <c r="AL157" s="36">
        <f t="shared" si="26"/>
        <v>0</v>
      </c>
      <c r="AM157" s="36">
        <f t="shared" si="27"/>
        <v>0</v>
      </c>
      <c r="AN157" s="38">
        <f t="shared" si="28"/>
        <v>0</v>
      </c>
      <c r="AO157" s="43"/>
      <c r="AP157" s="38">
        <v>87</v>
      </c>
      <c r="AQ157" s="39">
        <f t="shared" si="29"/>
        <v>0</v>
      </c>
    </row>
    <row r="158" ht="15.25" spans="1:43">
      <c r="A158" s="63" t="s">
        <v>532</v>
      </c>
      <c r="B158" s="63" t="s">
        <v>16</v>
      </c>
      <c r="C158" s="63" t="s">
        <v>178</v>
      </c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113"/>
      <c r="AJ158" s="36">
        <f t="shared" si="24"/>
        <v>0</v>
      </c>
      <c r="AK158" s="36">
        <f t="shared" si="25"/>
        <v>0</v>
      </c>
      <c r="AL158" s="36">
        <f t="shared" si="26"/>
        <v>0</v>
      </c>
      <c r="AM158" s="36">
        <f t="shared" si="27"/>
        <v>0</v>
      </c>
      <c r="AN158" s="38">
        <f t="shared" si="28"/>
        <v>0</v>
      </c>
      <c r="AO158" s="43"/>
      <c r="AP158" s="38">
        <v>88</v>
      </c>
      <c r="AQ158" s="39">
        <f t="shared" si="29"/>
        <v>0</v>
      </c>
    </row>
    <row r="159" ht="15.25" spans="1:43">
      <c r="A159" s="63" t="s">
        <v>533</v>
      </c>
      <c r="B159" s="63" t="s">
        <v>534</v>
      </c>
      <c r="C159" s="63" t="s">
        <v>178</v>
      </c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 t="s">
        <v>11</v>
      </c>
      <c r="AB159" s="62"/>
      <c r="AC159" s="62"/>
      <c r="AD159" s="62"/>
      <c r="AE159" s="62"/>
      <c r="AF159" s="62"/>
      <c r="AG159" s="62"/>
      <c r="AH159" s="62" t="s">
        <v>11</v>
      </c>
      <c r="AI159" s="113"/>
      <c r="AJ159" s="36">
        <f t="shared" si="24"/>
        <v>2</v>
      </c>
      <c r="AK159" s="36">
        <f t="shared" si="25"/>
        <v>0</v>
      </c>
      <c r="AL159" s="36">
        <f t="shared" si="26"/>
        <v>0</v>
      </c>
      <c r="AM159" s="36">
        <f t="shared" si="27"/>
        <v>0</v>
      </c>
      <c r="AN159" s="38">
        <f t="shared" si="28"/>
        <v>2</v>
      </c>
      <c r="AO159" s="128"/>
      <c r="AP159" s="38">
        <v>89</v>
      </c>
      <c r="AQ159" s="39">
        <f t="shared" si="29"/>
        <v>0.0224719101123595</v>
      </c>
    </row>
    <row r="160" ht="15.25" spans="1:43">
      <c r="A160" s="63" t="s">
        <v>535</v>
      </c>
      <c r="B160" s="85" t="s">
        <v>16</v>
      </c>
      <c r="C160" s="63" t="s">
        <v>178</v>
      </c>
      <c r="D160" s="62"/>
      <c r="E160" s="62"/>
      <c r="F160" s="62"/>
      <c r="G160" s="62"/>
      <c r="H160" s="62" t="s">
        <v>11</v>
      </c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 t="s">
        <v>11</v>
      </c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113"/>
      <c r="AJ160" s="36">
        <f t="shared" si="24"/>
        <v>2</v>
      </c>
      <c r="AK160" s="36">
        <f t="shared" si="25"/>
        <v>0</v>
      </c>
      <c r="AL160" s="36">
        <f t="shared" si="26"/>
        <v>0</v>
      </c>
      <c r="AM160" s="36">
        <f t="shared" si="27"/>
        <v>0</v>
      </c>
      <c r="AN160" s="38">
        <f t="shared" si="28"/>
        <v>2</v>
      </c>
      <c r="AO160" s="43"/>
      <c r="AP160" s="38">
        <v>90</v>
      </c>
      <c r="AQ160" s="39">
        <f t="shared" si="29"/>
        <v>0.0222222222222222</v>
      </c>
    </row>
    <row r="161" ht="15.25" spans="1:43">
      <c r="A161" s="63" t="s">
        <v>536</v>
      </c>
      <c r="B161" s="63" t="s">
        <v>16</v>
      </c>
      <c r="C161" s="63" t="s">
        <v>178</v>
      </c>
      <c r="D161" s="62"/>
      <c r="E161" s="62"/>
      <c r="F161" s="62"/>
      <c r="G161" s="62"/>
      <c r="H161" s="62"/>
      <c r="I161" s="62"/>
      <c r="J161" s="62"/>
      <c r="K161" s="62"/>
      <c r="L161" s="62" t="s">
        <v>11</v>
      </c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113"/>
      <c r="AJ161" s="36">
        <f t="shared" si="24"/>
        <v>1</v>
      </c>
      <c r="AK161" s="36">
        <f t="shared" si="25"/>
        <v>0</v>
      </c>
      <c r="AL161" s="36">
        <f t="shared" si="26"/>
        <v>0</v>
      </c>
      <c r="AM161" s="36">
        <f t="shared" si="27"/>
        <v>0</v>
      </c>
      <c r="AN161" s="38">
        <f t="shared" si="28"/>
        <v>1</v>
      </c>
      <c r="AO161" s="43"/>
      <c r="AP161" s="38">
        <v>91</v>
      </c>
      <c r="AQ161" s="39">
        <f t="shared" si="29"/>
        <v>0.010989010989011</v>
      </c>
    </row>
    <row r="162" ht="15.25" spans="1:43">
      <c r="A162" s="63" t="s">
        <v>537</v>
      </c>
      <c r="B162" s="63" t="s">
        <v>16</v>
      </c>
      <c r="C162" s="63" t="s">
        <v>178</v>
      </c>
      <c r="D162" s="62"/>
      <c r="E162" s="62"/>
      <c r="F162" s="62"/>
      <c r="G162" s="62"/>
      <c r="H162" s="62"/>
      <c r="I162" s="62"/>
      <c r="J162" s="62"/>
      <c r="K162" s="62"/>
      <c r="L162" s="62" t="s">
        <v>12</v>
      </c>
      <c r="M162" s="62"/>
      <c r="N162" s="62"/>
      <c r="O162" s="62"/>
      <c r="P162" s="62"/>
      <c r="Q162" s="62"/>
      <c r="R162" s="62"/>
      <c r="S162" s="62"/>
      <c r="T162" s="62" t="s">
        <v>103</v>
      </c>
      <c r="U162" s="62"/>
      <c r="V162" s="62"/>
      <c r="W162" s="62" t="s">
        <v>103</v>
      </c>
      <c r="X162" s="62"/>
      <c r="Y162" s="62"/>
      <c r="Z162" s="62"/>
      <c r="AA162" s="62"/>
      <c r="AB162" s="62"/>
      <c r="AC162" s="62"/>
      <c r="AD162" s="62"/>
      <c r="AE162" s="62"/>
      <c r="AF162" s="62"/>
      <c r="AG162" s="62" t="s">
        <v>11</v>
      </c>
      <c r="AH162" s="62" t="s">
        <v>11</v>
      </c>
      <c r="AI162" s="113"/>
      <c r="AJ162" s="36">
        <f t="shared" si="24"/>
        <v>2</v>
      </c>
      <c r="AK162" s="36">
        <f t="shared" si="25"/>
        <v>3</v>
      </c>
      <c r="AL162" s="36">
        <f t="shared" si="26"/>
        <v>0</v>
      </c>
      <c r="AM162" s="36">
        <f t="shared" si="27"/>
        <v>0</v>
      </c>
      <c r="AN162" s="38">
        <f t="shared" si="28"/>
        <v>5</v>
      </c>
      <c r="AO162" s="43"/>
      <c r="AP162" s="38">
        <v>92</v>
      </c>
      <c r="AQ162" s="39">
        <f t="shared" si="29"/>
        <v>0.0543478260869565</v>
      </c>
    </row>
    <row r="163" ht="15.25" spans="1:43">
      <c r="A163" s="63" t="s">
        <v>538</v>
      </c>
      <c r="B163" s="85" t="s">
        <v>16</v>
      </c>
      <c r="C163" s="63" t="s">
        <v>178</v>
      </c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113"/>
      <c r="AJ163" s="36">
        <f t="shared" si="24"/>
        <v>0</v>
      </c>
      <c r="AK163" s="36">
        <f t="shared" si="25"/>
        <v>0</v>
      </c>
      <c r="AL163" s="36">
        <f t="shared" si="26"/>
        <v>0</v>
      </c>
      <c r="AM163" s="36">
        <f t="shared" si="27"/>
        <v>0</v>
      </c>
      <c r="AN163" s="38">
        <f t="shared" si="28"/>
        <v>0</v>
      </c>
      <c r="AO163" s="37"/>
      <c r="AP163" s="38">
        <v>93</v>
      </c>
      <c r="AQ163" s="39">
        <f t="shared" si="29"/>
        <v>0</v>
      </c>
    </row>
    <row r="164" ht="15.25" spans="1:43">
      <c r="A164" s="63" t="s">
        <v>539</v>
      </c>
      <c r="B164" s="85" t="s">
        <v>16</v>
      </c>
      <c r="C164" s="63" t="s">
        <v>178</v>
      </c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113"/>
      <c r="AJ164" s="36">
        <f t="shared" si="24"/>
        <v>0</v>
      </c>
      <c r="AK164" s="36">
        <f t="shared" si="25"/>
        <v>0</v>
      </c>
      <c r="AL164" s="36">
        <f t="shared" si="26"/>
        <v>0</v>
      </c>
      <c r="AM164" s="36">
        <f t="shared" si="27"/>
        <v>0</v>
      </c>
      <c r="AN164" s="38">
        <f t="shared" si="28"/>
        <v>0</v>
      </c>
      <c r="AO164" s="37"/>
      <c r="AP164" s="38">
        <v>94</v>
      </c>
      <c r="AQ164" s="39">
        <f t="shared" si="29"/>
        <v>0</v>
      </c>
    </row>
    <row r="165" ht="15.25" spans="1:43">
      <c r="A165" s="63" t="s">
        <v>540</v>
      </c>
      <c r="B165" s="85" t="s">
        <v>16</v>
      </c>
      <c r="C165" s="63" t="s">
        <v>178</v>
      </c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113"/>
      <c r="AJ165" s="36">
        <f t="shared" si="24"/>
        <v>0</v>
      </c>
      <c r="AK165" s="36">
        <f t="shared" si="25"/>
        <v>0</v>
      </c>
      <c r="AL165" s="36">
        <f t="shared" si="26"/>
        <v>0</v>
      </c>
      <c r="AM165" s="36">
        <f t="shared" si="27"/>
        <v>0</v>
      </c>
      <c r="AN165" s="38">
        <f t="shared" si="28"/>
        <v>0</v>
      </c>
      <c r="AO165" s="43"/>
      <c r="AP165" s="38">
        <v>95</v>
      </c>
      <c r="AQ165" s="39">
        <f t="shared" si="29"/>
        <v>0</v>
      </c>
    </row>
    <row r="166" ht="15.25" spans="1:43">
      <c r="A166" s="63" t="s">
        <v>541</v>
      </c>
      <c r="B166" s="85" t="s">
        <v>16</v>
      </c>
      <c r="C166" s="63" t="s">
        <v>178</v>
      </c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 t="s">
        <v>11</v>
      </c>
      <c r="P166" s="62"/>
      <c r="Q166" s="62"/>
      <c r="R166" s="62"/>
      <c r="S166" s="62"/>
      <c r="T166" s="62"/>
      <c r="U166" s="62"/>
      <c r="V166" s="62"/>
      <c r="W166" s="62"/>
      <c r="X166" s="62" t="s">
        <v>11</v>
      </c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113"/>
      <c r="AJ166" s="36">
        <f t="shared" si="24"/>
        <v>2</v>
      </c>
      <c r="AK166" s="36">
        <f t="shared" si="25"/>
        <v>0</v>
      </c>
      <c r="AL166" s="36">
        <f t="shared" si="26"/>
        <v>0</v>
      </c>
      <c r="AM166" s="36">
        <f t="shared" si="27"/>
        <v>0</v>
      </c>
      <c r="AN166" s="38">
        <f t="shared" si="28"/>
        <v>2</v>
      </c>
      <c r="AO166" s="147"/>
      <c r="AP166" s="38">
        <v>96</v>
      </c>
      <c r="AQ166" s="39">
        <f t="shared" si="29"/>
        <v>0.0208333333333333</v>
      </c>
    </row>
    <row r="167" ht="15.25" spans="1:43">
      <c r="A167" s="63" t="s">
        <v>542</v>
      </c>
      <c r="B167" s="85" t="s">
        <v>165</v>
      </c>
      <c r="C167" s="63" t="s">
        <v>178</v>
      </c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113"/>
      <c r="AJ167" s="36">
        <f t="shared" si="24"/>
        <v>0</v>
      </c>
      <c r="AK167" s="36">
        <f t="shared" si="25"/>
        <v>0</v>
      </c>
      <c r="AL167" s="36">
        <f t="shared" si="26"/>
        <v>0</v>
      </c>
      <c r="AM167" s="36">
        <f t="shared" si="27"/>
        <v>0</v>
      </c>
      <c r="AN167" s="38">
        <f t="shared" si="28"/>
        <v>0</v>
      </c>
      <c r="AO167" s="43"/>
      <c r="AP167" s="38">
        <v>97</v>
      </c>
      <c r="AQ167" s="39">
        <f t="shared" si="29"/>
        <v>0</v>
      </c>
    </row>
    <row r="168" ht="15.25" spans="1:43">
      <c r="A168" s="63" t="s">
        <v>543</v>
      </c>
      <c r="B168" s="85" t="s">
        <v>16</v>
      </c>
      <c r="C168" s="63" t="s">
        <v>178</v>
      </c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113"/>
      <c r="AJ168" s="36">
        <f t="shared" si="24"/>
        <v>0</v>
      </c>
      <c r="AK168" s="36">
        <f t="shared" si="25"/>
        <v>0</v>
      </c>
      <c r="AL168" s="36">
        <f t="shared" si="26"/>
        <v>0</v>
      </c>
      <c r="AM168" s="36">
        <f t="shared" si="27"/>
        <v>0</v>
      </c>
      <c r="AN168" s="38">
        <f t="shared" si="28"/>
        <v>0</v>
      </c>
      <c r="AO168" s="43"/>
      <c r="AP168" s="38">
        <v>98</v>
      </c>
      <c r="AQ168" s="39">
        <f t="shared" si="29"/>
        <v>0</v>
      </c>
    </row>
    <row r="169" ht="15.25" spans="1:43">
      <c r="A169" s="63" t="s">
        <v>544</v>
      </c>
      <c r="B169" s="85" t="s">
        <v>16</v>
      </c>
      <c r="C169" s="63" t="s">
        <v>178</v>
      </c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113"/>
      <c r="AJ169" s="36">
        <f t="shared" si="24"/>
        <v>0</v>
      </c>
      <c r="AK169" s="36">
        <f t="shared" si="25"/>
        <v>0</v>
      </c>
      <c r="AL169" s="36">
        <f t="shared" si="26"/>
        <v>0</v>
      </c>
      <c r="AM169" s="36">
        <f t="shared" si="27"/>
        <v>0</v>
      </c>
      <c r="AN169" s="38">
        <f t="shared" si="28"/>
        <v>0</v>
      </c>
      <c r="AO169" s="131"/>
      <c r="AP169" s="38">
        <v>99</v>
      </c>
      <c r="AQ169" s="39">
        <f t="shared" si="29"/>
        <v>0</v>
      </c>
    </row>
    <row r="170" ht="15.25" spans="1:43">
      <c r="A170" s="63" t="s">
        <v>545</v>
      </c>
      <c r="B170" s="85" t="s">
        <v>16</v>
      </c>
      <c r="C170" s="63" t="s">
        <v>178</v>
      </c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113"/>
      <c r="AJ170" s="36">
        <f t="shared" si="24"/>
        <v>0</v>
      </c>
      <c r="AK170" s="36">
        <f t="shared" si="25"/>
        <v>0</v>
      </c>
      <c r="AL170" s="36">
        <f t="shared" si="26"/>
        <v>0</v>
      </c>
      <c r="AM170" s="36">
        <f t="shared" si="27"/>
        <v>0</v>
      </c>
      <c r="AN170" s="38">
        <f t="shared" si="28"/>
        <v>0</v>
      </c>
      <c r="AO170" s="131"/>
      <c r="AP170" s="38">
        <v>100</v>
      </c>
      <c r="AQ170" s="39">
        <f t="shared" si="29"/>
        <v>0</v>
      </c>
    </row>
    <row r="171" ht="15.25" spans="1:43">
      <c r="A171" s="63" t="s">
        <v>546</v>
      </c>
      <c r="B171" s="85" t="s">
        <v>165</v>
      </c>
      <c r="C171" s="63" t="s">
        <v>178</v>
      </c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 t="s">
        <v>11</v>
      </c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113"/>
      <c r="AJ171" s="36">
        <f t="shared" si="24"/>
        <v>1</v>
      </c>
      <c r="AK171" s="36">
        <f t="shared" si="25"/>
        <v>0</v>
      </c>
      <c r="AL171" s="36">
        <f t="shared" si="26"/>
        <v>0</v>
      </c>
      <c r="AM171" s="36">
        <f t="shared" si="27"/>
        <v>0</v>
      </c>
      <c r="AN171" s="38">
        <f t="shared" si="28"/>
        <v>1</v>
      </c>
      <c r="AO171" s="131"/>
      <c r="AP171" s="38">
        <v>101</v>
      </c>
      <c r="AQ171" s="39">
        <f t="shared" si="29"/>
        <v>0.0099009900990099</v>
      </c>
    </row>
    <row r="172" ht="15.25" spans="1:43">
      <c r="A172" s="63" t="s">
        <v>547</v>
      </c>
      <c r="B172" s="85" t="s">
        <v>16</v>
      </c>
      <c r="C172" s="63" t="s">
        <v>178</v>
      </c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113"/>
      <c r="AJ172" s="36">
        <f t="shared" si="24"/>
        <v>0</v>
      </c>
      <c r="AK172" s="36">
        <f t="shared" si="25"/>
        <v>0</v>
      </c>
      <c r="AL172" s="36">
        <f t="shared" si="26"/>
        <v>0</v>
      </c>
      <c r="AM172" s="36">
        <f t="shared" si="27"/>
        <v>0</v>
      </c>
      <c r="AN172" s="38">
        <f t="shared" si="28"/>
        <v>0</v>
      </c>
      <c r="AO172" s="43"/>
      <c r="AP172" s="38">
        <v>102</v>
      </c>
      <c r="AQ172" s="39">
        <f t="shared" si="29"/>
        <v>0</v>
      </c>
    </row>
    <row r="173" ht="15.25" spans="1:43">
      <c r="A173" s="63" t="s">
        <v>548</v>
      </c>
      <c r="B173" s="85" t="s">
        <v>534</v>
      </c>
      <c r="C173" s="63" t="s">
        <v>178</v>
      </c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113"/>
      <c r="AJ173" s="36">
        <f t="shared" si="24"/>
        <v>0</v>
      </c>
      <c r="AK173" s="36">
        <f t="shared" si="25"/>
        <v>0</v>
      </c>
      <c r="AL173" s="36">
        <f t="shared" si="26"/>
        <v>0</v>
      </c>
      <c r="AM173" s="36">
        <f t="shared" si="27"/>
        <v>0</v>
      </c>
      <c r="AN173" s="38">
        <f t="shared" si="28"/>
        <v>0</v>
      </c>
      <c r="AO173" s="43"/>
      <c r="AP173" s="38">
        <v>103</v>
      </c>
      <c r="AQ173" s="39">
        <f t="shared" si="29"/>
        <v>0</v>
      </c>
    </row>
    <row r="174" ht="15.25" spans="1:43">
      <c r="A174" s="63" t="s">
        <v>549</v>
      </c>
      <c r="B174" s="85" t="s">
        <v>16</v>
      </c>
      <c r="C174" s="63" t="s">
        <v>178</v>
      </c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113"/>
      <c r="AJ174" s="36">
        <f t="shared" ref="AJ174:AJ196" si="30">COUNTIF(D174:AH174,"S")</f>
        <v>0</v>
      </c>
      <c r="AK174" s="36">
        <f t="shared" ref="AK174:AK196" si="31">COUNTIF(D174:AH174,"I")</f>
        <v>0</v>
      </c>
      <c r="AL174" s="36">
        <f t="shared" ref="AL174:AL196" si="32">COUNTIF(D174:AH174,"A")</f>
        <v>0</v>
      </c>
      <c r="AM174" s="36">
        <f t="shared" ref="AM174:AM196" si="33">COUNTIF(D174:AI174,"PA")</f>
        <v>0</v>
      </c>
      <c r="AN174" s="38">
        <f t="shared" ref="AN174:AN196" si="34">SUM(AJ174:AL174)</f>
        <v>0</v>
      </c>
      <c r="AO174" s="43"/>
      <c r="AP174" s="38">
        <v>104</v>
      </c>
      <c r="AQ174" s="39">
        <f t="shared" ref="AQ174:AQ196" si="35">AN174/AP174</f>
        <v>0</v>
      </c>
    </row>
    <row r="175" ht="15.25" spans="1:43">
      <c r="A175" s="63" t="s">
        <v>550</v>
      </c>
      <c r="B175" s="85" t="s">
        <v>165</v>
      </c>
      <c r="C175" s="63" t="s">
        <v>178</v>
      </c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 t="s">
        <v>11</v>
      </c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113"/>
      <c r="AJ175" s="36">
        <f t="shared" si="30"/>
        <v>1</v>
      </c>
      <c r="AK175" s="36">
        <f t="shared" si="31"/>
        <v>0</v>
      </c>
      <c r="AL175" s="36">
        <f t="shared" si="32"/>
        <v>0</v>
      </c>
      <c r="AM175" s="36">
        <f t="shared" si="33"/>
        <v>0</v>
      </c>
      <c r="AN175" s="38">
        <f t="shared" si="34"/>
        <v>1</v>
      </c>
      <c r="AO175" s="43"/>
      <c r="AP175" s="38">
        <v>105</v>
      </c>
      <c r="AQ175" s="39">
        <f t="shared" si="35"/>
        <v>0.00952380952380952</v>
      </c>
    </row>
    <row r="176" ht="15.25" spans="1:43">
      <c r="A176" s="63" t="s">
        <v>551</v>
      </c>
      <c r="B176" s="85" t="s">
        <v>165</v>
      </c>
      <c r="C176" s="63" t="s">
        <v>178</v>
      </c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113"/>
      <c r="AJ176" s="36">
        <f t="shared" si="30"/>
        <v>0</v>
      </c>
      <c r="AK176" s="36">
        <f t="shared" si="31"/>
        <v>0</v>
      </c>
      <c r="AL176" s="36">
        <f t="shared" si="32"/>
        <v>0</v>
      </c>
      <c r="AM176" s="36">
        <f t="shared" si="33"/>
        <v>0</v>
      </c>
      <c r="AN176" s="38">
        <f t="shared" si="34"/>
        <v>0</v>
      </c>
      <c r="AO176" s="43"/>
      <c r="AP176" s="38">
        <v>106</v>
      </c>
      <c r="AQ176" s="39">
        <f t="shared" si="35"/>
        <v>0</v>
      </c>
    </row>
    <row r="177" ht="15.25" spans="1:43">
      <c r="A177" s="63" t="s">
        <v>552</v>
      </c>
      <c r="B177" s="85" t="s">
        <v>16</v>
      </c>
      <c r="C177" s="63" t="s">
        <v>178</v>
      </c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113"/>
      <c r="AJ177" s="36">
        <f t="shared" si="30"/>
        <v>0</v>
      </c>
      <c r="AK177" s="36">
        <f t="shared" si="31"/>
        <v>0</v>
      </c>
      <c r="AL177" s="36">
        <f t="shared" si="32"/>
        <v>0</v>
      </c>
      <c r="AM177" s="36">
        <f t="shared" si="33"/>
        <v>0</v>
      </c>
      <c r="AN177" s="38">
        <f t="shared" si="34"/>
        <v>0</v>
      </c>
      <c r="AO177" s="43"/>
      <c r="AP177" s="38">
        <v>107</v>
      </c>
      <c r="AQ177" s="39">
        <f t="shared" si="35"/>
        <v>0</v>
      </c>
    </row>
    <row r="178" ht="15.25" spans="1:43">
      <c r="A178" s="63" t="s">
        <v>553</v>
      </c>
      <c r="B178" s="85" t="s">
        <v>16</v>
      </c>
      <c r="C178" s="63" t="s">
        <v>178</v>
      </c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113"/>
      <c r="AJ178" s="36">
        <f t="shared" si="30"/>
        <v>0</v>
      </c>
      <c r="AK178" s="36">
        <f t="shared" si="31"/>
        <v>0</v>
      </c>
      <c r="AL178" s="36">
        <f t="shared" si="32"/>
        <v>0</v>
      </c>
      <c r="AM178" s="36">
        <f t="shared" si="33"/>
        <v>0</v>
      </c>
      <c r="AN178" s="38">
        <f t="shared" si="34"/>
        <v>0</v>
      </c>
      <c r="AO178" s="43"/>
      <c r="AP178" s="38">
        <v>108</v>
      </c>
      <c r="AQ178" s="39">
        <f t="shared" si="35"/>
        <v>0</v>
      </c>
    </row>
    <row r="179" ht="15.25" spans="1:43">
      <c r="A179" s="63" t="s">
        <v>554</v>
      </c>
      <c r="B179" s="85" t="s">
        <v>16</v>
      </c>
      <c r="C179" s="63" t="s">
        <v>178</v>
      </c>
      <c r="D179" s="62"/>
      <c r="E179" s="62"/>
      <c r="F179" s="62"/>
      <c r="G179" s="62" t="s">
        <v>11</v>
      </c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113"/>
      <c r="AJ179" s="36">
        <f t="shared" si="30"/>
        <v>1</v>
      </c>
      <c r="AK179" s="36">
        <f t="shared" si="31"/>
        <v>0</v>
      </c>
      <c r="AL179" s="36">
        <f t="shared" si="32"/>
        <v>0</v>
      </c>
      <c r="AM179" s="36">
        <f t="shared" si="33"/>
        <v>0</v>
      </c>
      <c r="AN179" s="38">
        <f t="shared" si="34"/>
        <v>1</v>
      </c>
      <c r="AO179" s="43"/>
      <c r="AP179" s="38">
        <v>109</v>
      </c>
      <c r="AQ179" s="39">
        <f t="shared" si="35"/>
        <v>0.00917431192660551</v>
      </c>
    </row>
    <row r="180" ht="15.25" spans="1:43">
      <c r="A180" s="107" t="s">
        <v>709</v>
      </c>
      <c r="B180" s="108" t="s">
        <v>16</v>
      </c>
      <c r="C180" s="107" t="s">
        <v>178</v>
      </c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113"/>
      <c r="AJ180" s="36">
        <f t="shared" si="30"/>
        <v>0</v>
      </c>
      <c r="AK180" s="36">
        <f t="shared" si="31"/>
        <v>0</v>
      </c>
      <c r="AL180" s="36">
        <f t="shared" si="32"/>
        <v>0</v>
      </c>
      <c r="AM180" s="36">
        <f t="shared" si="33"/>
        <v>0</v>
      </c>
      <c r="AN180" s="38">
        <f t="shared" si="34"/>
        <v>0</v>
      </c>
      <c r="AO180" s="43"/>
      <c r="AP180" s="38">
        <v>110</v>
      </c>
      <c r="AQ180" s="39">
        <f t="shared" si="35"/>
        <v>0</v>
      </c>
    </row>
    <row r="181" ht="15.25" spans="1:43">
      <c r="A181" s="63" t="s">
        <v>710</v>
      </c>
      <c r="B181" s="85" t="s">
        <v>16</v>
      </c>
      <c r="C181" s="63" t="s">
        <v>178</v>
      </c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 t="s">
        <v>11</v>
      </c>
      <c r="Z181" s="62"/>
      <c r="AA181" s="62"/>
      <c r="AB181" s="62"/>
      <c r="AC181" s="62"/>
      <c r="AD181" s="62"/>
      <c r="AE181" s="62"/>
      <c r="AF181" s="62"/>
      <c r="AG181" s="62"/>
      <c r="AH181" s="62"/>
      <c r="AI181" s="113"/>
      <c r="AJ181" s="36">
        <f t="shared" si="30"/>
        <v>1</v>
      </c>
      <c r="AK181" s="36">
        <f t="shared" si="31"/>
        <v>0</v>
      </c>
      <c r="AL181" s="36">
        <f t="shared" si="32"/>
        <v>0</v>
      </c>
      <c r="AM181" s="36">
        <f t="shared" si="33"/>
        <v>0</v>
      </c>
      <c r="AN181" s="38">
        <f t="shared" si="34"/>
        <v>1</v>
      </c>
      <c r="AO181" s="43"/>
      <c r="AP181" s="38">
        <v>111</v>
      </c>
      <c r="AQ181" s="39">
        <f t="shared" si="35"/>
        <v>0.00900900900900901</v>
      </c>
    </row>
    <row r="182" ht="15.25" spans="1:43">
      <c r="A182" s="63" t="s">
        <v>711</v>
      </c>
      <c r="B182" s="85" t="s">
        <v>16</v>
      </c>
      <c r="C182" s="63" t="s">
        <v>178</v>
      </c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113"/>
      <c r="AJ182" s="36">
        <f t="shared" si="30"/>
        <v>0</v>
      </c>
      <c r="AK182" s="36">
        <f t="shared" si="31"/>
        <v>0</v>
      </c>
      <c r="AL182" s="36">
        <f t="shared" si="32"/>
        <v>0</v>
      </c>
      <c r="AM182" s="36">
        <f t="shared" si="33"/>
        <v>0</v>
      </c>
      <c r="AN182" s="38">
        <f t="shared" si="34"/>
        <v>0</v>
      </c>
      <c r="AO182" s="43"/>
      <c r="AP182" s="38">
        <v>112</v>
      </c>
      <c r="AQ182" s="39">
        <f t="shared" si="35"/>
        <v>0</v>
      </c>
    </row>
    <row r="183" ht="15.25" spans="1:43">
      <c r="A183" s="63" t="s">
        <v>712</v>
      </c>
      <c r="B183" s="85" t="s">
        <v>16</v>
      </c>
      <c r="C183" s="63" t="s">
        <v>178</v>
      </c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 t="s">
        <v>11</v>
      </c>
      <c r="AD183" s="62"/>
      <c r="AE183" s="62"/>
      <c r="AF183" s="62" t="s">
        <v>557</v>
      </c>
      <c r="AG183" s="62"/>
      <c r="AH183" s="62"/>
      <c r="AI183" s="113"/>
      <c r="AJ183" s="36">
        <f t="shared" si="30"/>
        <v>1</v>
      </c>
      <c r="AK183" s="36">
        <f t="shared" si="31"/>
        <v>0</v>
      </c>
      <c r="AL183" s="36">
        <f t="shared" si="32"/>
        <v>0</v>
      </c>
      <c r="AM183" s="36">
        <f t="shared" si="33"/>
        <v>1</v>
      </c>
      <c r="AN183" s="38">
        <f t="shared" si="34"/>
        <v>1</v>
      </c>
      <c r="AO183" s="43"/>
      <c r="AP183" s="38">
        <v>113</v>
      </c>
      <c r="AQ183" s="39">
        <f t="shared" si="35"/>
        <v>0.00884955752212389</v>
      </c>
    </row>
    <row r="184" ht="15.25" spans="1:43">
      <c r="A184" s="63" t="s">
        <v>713</v>
      </c>
      <c r="B184" s="85" t="s">
        <v>165</v>
      </c>
      <c r="C184" s="63" t="s">
        <v>178</v>
      </c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113"/>
      <c r="AJ184" s="36">
        <f t="shared" si="30"/>
        <v>0</v>
      </c>
      <c r="AK184" s="36">
        <f t="shared" si="31"/>
        <v>0</v>
      </c>
      <c r="AL184" s="36">
        <f t="shared" si="32"/>
        <v>0</v>
      </c>
      <c r="AM184" s="36">
        <f t="shared" si="33"/>
        <v>0</v>
      </c>
      <c r="AN184" s="38">
        <f t="shared" si="34"/>
        <v>0</v>
      </c>
      <c r="AO184" s="43"/>
      <c r="AP184" s="38">
        <v>114</v>
      </c>
      <c r="AQ184" s="39">
        <f t="shared" si="35"/>
        <v>0</v>
      </c>
    </row>
    <row r="185" ht="15.25" spans="1:43">
      <c r="A185" s="63" t="s">
        <v>714</v>
      </c>
      <c r="B185" s="85" t="s">
        <v>534</v>
      </c>
      <c r="C185" s="63" t="s">
        <v>178</v>
      </c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113"/>
      <c r="AJ185" s="36">
        <f t="shared" si="30"/>
        <v>0</v>
      </c>
      <c r="AK185" s="36">
        <f t="shared" si="31"/>
        <v>0</v>
      </c>
      <c r="AL185" s="36">
        <f t="shared" si="32"/>
        <v>0</v>
      </c>
      <c r="AM185" s="36">
        <f t="shared" si="33"/>
        <v>0</v>
      </c>
      <c r="AN185" s="38">
        <f t="shared" si="34"/>
        <v>0</v>
      </c>
      <c r="AO185" s="43"/>
      <c r="AP185" s="38">
        <v>116</v>
      </c>
      <c r="AQ185" s="39">
        <f t="shared" si="35"/>
        <v>0</v>
      </c>
    </row>
    <row r="186" ht="15.25" spans="1:43">
      <c r="A186" s="63" t="s">
        <v>715</v>
      </c>
      <c r="B186" s="85" t="s">
        <v>16</v>
      </c>
      <c r="C186" s="63" t="s">
        <v>178</v>
      </c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113"/>
      <c r="AJ186" s="36">
        <f t="shared" si="30"/>
        <v>0</v>
      </c>
      <c r="AK186" s="36">
        <f t="shared" si="31"/>
        <v>0</v>
      </c>
      <c r="AL186" s="36">
        <f t="shared" si="32"/>
        <v>0</v>
      </c>
      <c r="AM186" s="36">
        <f t="shared" si="33"/>
        <v>0</v>
      </c>
      <c r="AN186" s="38">
        <f t="shared" si="34"/>
        <v>0</v>
      </c>
      <c r="AO186" s="43"/>
      <c r="AP186" s="38">
        <v>119</v>
      </c>
      <c r="AQ186" s="39">
        <f t="shared" si="35"/>
        <v>0</v>
      </c>
    </row>
    <row r="187" ht="15.25" spans="1:43">
      <c r="A187" s="63" t="s">
        <v>716</v>
      </c>
      <c r="B187" s="85" t="s">
        <v>16</v>
      </c>
      <c r="C187" s="63" t="s">
        <v>178</v>
      </c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113"/>
      <c r="AJ187" s="36">
        <f t="shared" si="30"/>
        <v>0</v>
      </c>
      <c r="AK187" s="36">
        <f t="shared" si="31"/>
        <v>0</v>
      </c>
      <c r="AL187" s="36">
        <f t="shared" si="32"/>
        <v>0</v>
      </c>
      <c r="AM187" s="36">
        <f t="shared" si="33"/>
        <v>0</v>
      </c>
      <c r="AN187" s="38">
        <f t="shared" si="34"/>
        <v>0</v>
      </c>
      <c r="AO187" s="43"/>
      <c r="AP187" s="38">
        <v>120</v>
      </c>
      <c r="AQ187" s="39">
        <f t="shared" si="35"/>
        <v>0</v>
      </c>
    </row>
    <row r="188" ht="15.25" spans="1:43">
      <c r="A188" s="63" t="s">
        <v>717</v>
      </c>
      <c r="B188" s="85" t="s">
        <v>16</v>
      </c>
      <c r="C188" s="63" t="s">
        <v>178</v>
      </c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113"/>
      <c r="AJ188" s="36">
        <f t="shared" si="30"/>
        <v>0</v>
      </c>
      <c r="AK188" s="36">
        <f t="shared" si="31"/>
        <v>0</v>
      </c>
      <c r="AL188" s="36">
        <f t="shared" si="32"/>
        <v>0</v>
      </c>
      <c r="AM188" s="36">
        <f t="shared" si="33"/>
        <v>0</v>
      </c>
      <c r="AN188" s="38">
        <f t="shared" si="34"/>
        <v>0</v>
      </c>
      <c r="AO188" s="43"/>
      <c r="AP188" s="38">
        <v>122</v>
      </c>
      <c r="AQ188" s="39">
        <f t="shared" si="35"/>
        <v>0</v>
      </c>
    </row>
    <row r="189" ht="15.25" spans="1:43">
      <c r="A189" s="63" t="s">
        <v>718</v>
      </c>
      <c r="B189" s="85" t="s">
        <v>16</v>
      </c>
      <c r="C189" s="63" t="s">
        <v>178</v>
      </c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113"/>
      <c r="AJ189" s="36">
        <f t="shared" si="30"/>
        <v>0</v>
      </c>
      <c r="AK189" s="36">
        <f t="shared" si="31"/>
        <v>0</v>
      </c>
      <c r="AL189" s="36">
        <f t="shared" si="32"/>
        <v>0</v>
      </c>
      <c r="AM189" s="36">
        <f t="shared" si="33"/>
        <v>0</v>
      </c>
      <c r="AN189" s="38">
        <f t="shared" si="34"/>
        <v>0</v>
      </c>
      <c r="AO189" s="43"/>
      <c r="AP189" s="38">
        <v>123</v>
      </c>
      <c r="AQ189" s="39">
        <f t="shared" si="35"/>
        <v>0</v>
      </c>
    </row>
    <row r="190" ht="15.25" spans="1:43">
      <c r="A190" s="63" t="s">
        <v>719</v>
      </c>
      <c r="B190" s="85" t="s">
        <v>16</v>
      </c>
      <c r="C190" s="63" t="s">
        <v>178</v>
      </c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113"/>
      <c r="AJ190" s="36">
        <f t="shared" si="30"/>
        <v>0</v>
      </c>
      <c r="AK190" s="36">
        <f t="shared" si="31"/>
        <v>0</v>
      </c>
      <c r="AL190" s="36">
        <f t="shared" si="32"/>
        <v>0</v>
      </c>
      <c r="AM190" s="36">
        <f t="shared" si="33"/>
        <v>0</v>
      </c>
      <c r="AN190" s="38">
        <f t="shared" si="34"/>
        <v>0</v>
      </c>
      <c r="AO190" s="43"/>
      <c r="AP190" s="38">
        <v>126</v>
      </c>
      <c r="AQ190" s="39">
        <f t="shared" si="35"/>
        <v>0</v>
      </c>
    </row>
    <row r="191" ht="15.25" spans="1:43">
      <c r="A191" s="63" t="s">
        <v>720</v>
      </c>
      <c r="B191" s="85" t="s">
        <v>534</v>
      </c>
      <c r="C191" s="63" t="s">
        <v>178</v>
      </c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113"/>
      <c r="AJ191" s="36">
        <f t="shared" si="30"/>
        <v>0</v>
      </c>
      <c r="AK191" s="36">
        <f t="shared" si="31"/>
        <v>0</v>
      </c>
      <c r="AL191" s="36">
        <f t="shared" si="32"/>
        <v>0</v>
      </c>
      <c r="AM191" s="36">
        <f t="shared" si="33"/>
        <v>0</v>
      </c>
      <c r="AN191" s="38">
        <f t="shared" si="34"/>
        <v>0</v>
      </c>
      <c r="AO191" s="43"/>
      <c r="AP191" s="38">
        <v>127</v>
      </c>
      <c r="AQ191" s="39">
        <f t="shared" si="35"/>
        <v>0</v>
      </c>
    </row>
    <row r="192" ht="15.25" spans="1:43">
      <c r="A192" s="63" t="s">
        <v>721</v>
      </c>
      <c r="B192" s="85" t="s">
        <v>534</v>
      </c>
      <c r="C192" s="63" t="s">
        <v>178</v>
      </c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113"/>
      <c r="AJ192" s="36">
        <f t="shared" si="30"/>
        <v>0</v>
      </c>
      <c r="AK192" s="36">
        <f t="shared" si="31"/>
        <v>0</v>
      </c>
      <c r="AL192" s="36">
        <f t="shared" si="32"/>
        <v>0</v>
      </c>
      <c r="AM192" s="36">
        <f t="shared" si="33"/>
        <v>0</v>
      </c>
      <c r="AN192" s="38">
        <f t="shared" si="34"/>
        <v>0</v>
      </c>
      <c r="AO192" s="43"/>
      <c r="AP192" s="38">
        <v>129</v>
      </c>
      <c r="AQ192" s="39">
        <f t="shared" si="35"/>
        <v>0</v>
      </c>
    </row>
    <row r="193" ht="15.25" spans="1:43">
      <c r="A193" s="63" t="s">
        <v>722</v>
      </c>
      <c r="B193" s="85" t="s">
        <v>534</v>
      </c>
      <c r="C193" s="63" t="s">
        <v>178</v>
      </c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113"/>
      <c r="AJ193" s="36">
        <f t="shared" si="30"/>
        <v>0</v>
      </c>
      <c r="AK193" s="36">
        <f t="shared" si="31"/>
        <v>0</v>
      </c>
      <c r="AL193" s="36">
        <f t="shared" si="32"/>
        <v>0</v>
      </c>
      <c r="AM193" s="36">
        <f t="shared" si="33"/>
        <v>0</v>
      </c>
      <c r="AN193" s="38">
        <f t="shared" si="34"/>
        <v>0</v>
      </c>
      <c r="AO193" s="43"/>
      <c r="AP193" s="38">
        <v>130</v>
      </c>
      <c r="AQ193" s="39">
        <f t="shared" si="35"/>
        <v>0</v>
      </c>
    </row>
    <row r="194" ht="15.25" spans="1:43">
      <c r="A194" s="63" t="s">
        <v>723</v>
      </c>
      <c r="B194" s="85" t="s">
        <v>211</v>
      </c>
      <c r="C194" s="63" t="s">
        <v>178</v>
      </c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113"/>
      <c r="AJ194" s="36">
        <f t="shared" si="30"/>
        <v>0</v>
      </c>
      <c r="AK194" s="36">
        <f t="shared" si="31"/>
        <v>0</v>
      </c>
      <c r="AL194" s="36">
        <f t="shared" si="32"/>
        <v>0</v>
      </c>
      <c r="AM194" s="36">
        <f t="shared" si="33"/>
        <v>0</v>
      </c>
      <c r="AN194" s="38">
        <f t="shared" si="34"/>
        <v>0</v>
      </c>
      <c r="AO194" s="43"/>
      <c r="AP194" s="38">
        <v>131</v>
      </c>
      <c r="AQ194" s="39">
        <f t="shared" si="35"/>
        <v>0</v>
      </c>
    </row>
    <row r="195" ht="15.25" spans="1:43">
      <c r="A195" s="63" t="s">
        <v>724</v>
      </c>
      <c r="B195" s="85" t="s">
        <v>16</v>
      </c>
      <c r="C195" s="63" t="s">
        <v>178</v>
      </c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113"/>
      <c r="AJ195" s="36">
        <f t="shared" si="30"/>
        <v>0</v>
      </c>
      <c r="AK195" s="36">
        <f t="shared" si="31"/>
        <v>0</v>
      </c>
      <c r="AL195" s="36">
        <f t="shared" si="32"/>
        <v>0</v>
      </c>
      <c r="AM195" s="36">
        <f t="shared" si="33"/>
        <v>0</v>
      </c>
      <c r="AN195" s="38">
        <f t="shared" si="34"/>
        <v>0</v>
      </c>
      <c r="AO195" s="43"/>
      <c r="AP195" s="38">
        <v>132</v>
      </c>
      <c r="AQ195" s="39">
        <f t="shared" si="35"/>
        <v>0</v>
      </c>
    </row>
    <row r="196" ht="15.25" spans="1:43">
      <c r="A196" s="63" t="s">
        <v>725</v>
      </c>
      <c r="B196" s="85" t="s">
        <v>16</v>
      </c>
      <c r="C196" s="63" t="s">
        <v>178</v>
      </c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113"/>
      <c r="AJ196" s="36">
        <f t="shared" si="30"/>
        <v>0</v>
      </c>
      <c r="AK196" s="36">
        <f t="shared" si="31"/>
        <v>0</v>
      </c>
      <c r="AL196" s="36">
        <f t="shared" si="32"/>
        <v>0</v>
      </c>
      <c r="AM196" s="36">
        <f t="shared" si="33"/>
        <v>0</v>
      </c>
      <c r="AN196" s="38">
        <f t="shared" si="34"/>
        <v>0</v>
      </c>
      <c r="AO196" s="43"/>
      <c r="AP196" s="38">
        <v>133</v>
      </c>
      <c r="AQ196" s="39">
        <f t="shared" si="35"/>
        <v>0</v>
      </c>
    </row>
  </sheetData>
  <mergeCells count="12">
    <mergeCell ref="D10:N10"/>
    <mergeCell ref="O10:AH10"/>
    <mergeCell ref="AJ10:AM10"/>
    <mergeCell ref="A10:A11"/>
    <mergeCell ref="B10:B11"/>
    <mergeCell ref="C10:C11"/>
    <mergeCell ref="AN10:AN11"/>
    <mergeCell ref="AO10:AO11"/>
    <mergeCell ref="AP10:AP11"/>
    <mergeCell ref="AQ10:AQ11"/>
    <mergeCell ref="D4:AH6"/>
    <mergeCell ref="D7:AH8"/>
  </mergeCells>
  <conditionalFormatting sqref="E76:F76">
    <cfRule type="containsText" dxfId="3" priority="1" operator="between" text="OFF">
      <formula>NOT(ISERROR(SEARCH("OFF",E76)))</formula>
    </cfRule>
    <cfRule type="containsText" dxfId="4" priority="2" operator="between" text="OFF">
      <formula>NOT(ISERROR(SEARCH("OFF",E76)))</formula>
    </cfRule>
    <cfRule type="containsText" dxfId="5" priority="3" operator="between" text="S">
      <formula>NOT(ISERROR(SEARCH("S",E76)))</formula>
    </cfRule>
    <cfRule type="containsText" dxfId="6" priority="4" operator="between" text="I">
      <formula>NOT(ISERROR(SEARCH("I",E76)))</formula>
    </cfRule>
    <cfRule type="containsText" dxfId="7" priority="5" operator="between" text="A">
      <formula>NOT(ISERROR(SEARCH("A",E76)))</formula>
    </cfRule>
    <cfRule type="containsText" dxfId="8" priority="6" operator="between" text="L">
      <formula>NOT(ISERROR(SEARCH("L",E76)))</formula>
    </cfRule>
    <cfRule type="containsText" dxfId="6" priority="7" operator="between" text="A">
      <formula>NOT(ISERROR(SEARCH("A",E76)))</formula>
    </cfRule>
    <cfRule type="containsText" dxfId="7" priority="8" operator="between" text="S">
      <formula>NOT(ISERROR(SEARCH("S",E76)))</formula>
    </cfRule>
    <cfRule type="containsText" dxfId="5" priority="9" operator="between" text="OFF">
      <formula>NOT(ISERROR(SEARCH("OFF",E76)))</formula>
    </cfRule>
    <cfRule type="containsText" dxfId="7" priority="10" operator="between" text="OFF">
      <formula>NOT(ISERROR(SEARCH("OFF",E76)))</formula>
    </cfRule>
  </conditionalFormatting>
  <conditionalFormatting sqref="G13:G196">
    <cfRule type="containsText" dxfId="3" priority="351" operator="between" text="OFF">
      <formula>NOT(ISERROR(SEARCH("OFF",G13)))</formula>
    </cfRule>
    <cfRule type="containsText" dxfId="4" priority="352" operator="between" text="OFF">
      <formula>NOT(ISERROR(SEARCH("OFF",G13)))</formula>
    </cfRule>
    <cfRule type="containsText" dxfId="5" priority="353" operator="between" text="S">
      <formula>NOT(ISERROR(SEARCH("S",G13)))</formula>
    </cfRule>
    <cfRule type="containsText" dxfId="6" priority="354" operator="between" text="I">
      <formula>NOT(ISERROR(SEARCH("I",G13)))</formula>
    </cfRule>
    <cfRule type="containsText" dxfId="7" priority="355" operator="between" text="A">
      <formula>NOT(ISERROR(SEARCH("A",G13)))</formula>
    </cfRule>
    <cfRule type="containsText" dxfId="8" priority="356" operator="between" text="L">
      <formula>NOT(ISERROR(SEARCH("L",G13)))</formula>
    </cfRule>
    <cfRule type="containsText" dxfId="6" priority="357" operator="between" text="A">
      <formula>NOT(ISERROR(SEARCH("A",G13)))</formula>
    </cfRule>
    <cfRule type="containsText" dxfId="7" priority="358" operator="between" text="S">
      <formula>NOT(ISERROR(SEARCH("S",G13)))</formula>
    </cfRule>
    <cfRule type="containsText" dxfId="5" priority="359" operator="between" text="OFF">
      <formula>NOT(ISERROR(SEARCH("OFF",G13)))</formula>
    </cfRule>
    <cfRule type="containsText" dxfId="7" priority="360" operator="between" text="OFF">
      <formula>NOT(ISERROR(SEARCH("OFF",G13)))</formula>
    </cfRule>
  </conditionalFormatting>
  <conditionalFormatting sqref="H13:H196">
    <cfRule type="containsText" dxfId="3" priority="261" operator="between" text="OFF">
      <formula>NOT(ISERROR(SEARCH("OFF",H13)))</formula>
    </cfRule>
    <cfRule type="containsText" dxfId="4" priority="262" operator="between" text="OFF">
      <formula>NOT(ISERROR(SEARCH("OFF",H13)))</formula>
    </cfRule>
    <cfRule type="containsText" dxfId="5" priority="263" operator="between" text="S">
      <formula>NOT(ISERROR(SEARCH("S",H13)))</formula>
    </cfRule>
    <cfRule type="containsText" dxfId="6" priority="264" operator="between" text="I">
      <formula>NOT(ISERROR(SEARCH("I",H13)))</formula>
    </cfRule>
    <cfRule type="containsText" dxfId="7" priority="265" operator="between" text="A">
      <formula>NOT(ISERROR(SEARCH("A",H13)))</formula>
    </cfRule>
    <cfRule type="containsText" dxfId="8" priority="266" operator="between" text="L">
      <formula>NOT(ISERROR(SEARCH("L",H13)))</formula>
    </cfRule>
    <cfRule type="containsText" dxfId="6" priority="267" operator="between" text="A">
      <formula>NOT(ISERROR(SEARCH("A",H13)))</formula>
    </cfRule>
    <cfRule type="containsText" dxfId="7" priority="268" operator="between" text="S">
      <formula>NOT(ISERROR(SEARCH("S",H13)))</formula>
    </cfRule>
    <cfRule type="containsText" dxfId="5" priority="269" operator="between" text="OFF">
      <formula>NOT(ISERROR(SEARCH("OFF",H13)))</formula>
    </cfRule>
    <cfRule type="containsText" dxfId="7" priority="270" operator="between" text="OFF">
      <formula>NOT(ISERROR(SEARCH("OFF",H13)))</formula>
    </cfRule>
  </conditionalFormatting>
  <conditionalFormatting sqref="AI44:AI196">
    <cfRule type="containsText" dxfId="3" priority="571" operator="between" text="OFF">
      <formula>NOT(ISERROR(SEARCH("OFF",AI44)))</formula>
    </cfRule>
    <cfRule type="containsText" dxfId="4" priority="572" operator="between" text="OFF">
      <formula>NOT(ISERROR(SEARCH("OFF",AI44)))</formula>
    </cfRule>
    <cfRule type="containsText" dxfId="5" priority="573" operator="between" text="S">
      <formula>NOT(ISERROR(SEARCH("S",AI44)))</formula>
    </cfRule>
    <cfRule type="containsText" dxfId="6" priority="574" operator="between" text="I">
      <formula>NOT(ISERROR(SEARCH("I",AI44)))</formula>
    </cfRule>
    <cfRule type="containsText" dxfId="7" priority="575" operator="between" text="A">
      <formula>NOT(ISERROR(SEARCH("A",AI44)))</formula>
    </cfRule>
    <cfRule type="containsText" dxfId="8" priority="576" operator="between" text="L">
      <formula>NOT(ISERROR(SEARCH("L",AI44)))</formula>
    </cfRule>
    <cfRule type="containsText" dxfId="6" priority="577" operator="between" text="A">
      <formula>NOT(ISERROR(SEARCH("A",AI44)))</formula>
    </cfRule>
    <cfRule type="containsText" dxfId="7" priority="578" operator="between" text="S">
      <formula>NOT(ISERROR(SEARCH("S",AI44)))</formula>
    </cfRule>
    <cfRule type="containsText" dxfId="5" priority="579" operator="between" text="OFF">
      <formula>NOT(ISERROR(SEARCH("OFF",AI44)))</formula>
    </cfRule>
    <cfRule type="containsText" dxfId="7" priority="580" operator="between" text="OFF">
      <formula>NOT(ISERROR(SEARCH("OFF",AI44)))</formula>
    </cfRule>
  </conditionalFormatting>
  <conditionalFormatting sqref="I13:N196">
    <cfRule type="containsText" dxfId="3" priority="121" operator="between" text="OFF">
      <formula>NOT(ISERROR(SEARCH("OFF",I13)))</formula>
    </cfRule>
    <cfRule type="containsText" dxfId="4" priority="122" operator="between" text="OFF">
      <formula>NOT(ISERROR(SEARCH("OFF",I13)))</formula>
    </cfRule>
    <cfRule type="containsText" dxfId="5" priority="123" operator="between" text="S">
      <formula>NOT(ISERROR(SEARCH("S",I13)))</formula>
    </cfRule>
    <cfRule type="containsText" dxfId="6" priority="124" operator="between" text="I">
      <formula>NOT(ISERROR(SEARCH("I",I13)))</formula>
    </cfRule>
    <cfRule type="containsText" dxfId="7" priority="125" operator="between" text="A">
      <formula>NOT(ISERROR(SEARCH("A",I13)))</formula>
    </cfRule>
    <cfRule type="containsText" dxfId="8" priority="126" operator="between" text="L">
      <formula>NOT(ISERROR(SEARCH("L",I13)))</formula>
    </cfRule>
    <cfRule type="containsText" dxfId="6" priority="127" operator="between" text="A">
      <formula>NOT(ISERROR(SEARCH("A",I13)))</formula>
    </cfRule>
    <cfRule type="containsText" dxfId="7" priority="128" operator="between" text="S">
      <formula>NOT(ISERROR(SEARCH("S",I13)))</formula>
    </cfRule>
    <cfRule type="containsText" dxfId="5" priority="129" operator="between" text="OFF">
      <formula>NOT(ISERROR(SEARCH("OFF",I13)))</formula>
    </cfRule>
    <cfRule type="containsText" dxfId="7" priority="130" operator="between" text="OFF">
      <formula>NOT(ISERROR(SEARCH("OFF",I13)))</formula>
    </cfRule>
  </conditionalFormatting>
  <conditionalFormatting sqref="O13:AH196">
    <cfRule type="containsText" dxfId="3" priority="81" operator="between" text="OFF">
      <formula>NOT(ISERROR(SEARCH("OFF",O13)))</formula>
    </cfRule>
    <cfRule type="containsText" dxfId="4" priority="82" operator="between" text="OFF">
      <formula>NOT(ISERROR(SEARCH("OFF",O13)))</formula>
    </cfRule>
    <cfRule type="containsText" dxfId="5" priority="83" operator="between" text="S">
      <formula>NOT(ISERROR(SEARCH("S",O13)))</formula>
    </cfRule>
    <cfRule type="containsText" dxfId="6" priority="84" operator="between" text="I">
      <formula>NOT(ISERROR(SEARCH("I",O13)))</formula>
    </cfRule>
    <cfRule type="containsText" dxfId="7" priority="85" operator="between" text="A">
      <formula>NOT(ISERROR(SEARCH("A",O13)))</formula>
    </cfRule>
    <cfRule type="containsText" dxfId="8" priority="86" operator="between" text="L">
      <formula>NOT(ISERROR(SEARCH("L",O13)))</formula>
    </cfRule>
    <cfRule type="containsText" dxfId="6" priority="87" operator="between" text="A">
      <formula>NOT(ISERROR(SEARCH("A",O13)))</formula>
    </cfRule>
    <cfRule type="containsText" dxfId="7" priority="88" operator="between" text="S">
      <formula>NOT(ISERROR(SEARCH("S",O13)))</formula>
    </cfRule>
    <cfRule type="containsText" dxfId="5" priority="89" operator="between" text="OFF">
      <formula>NOT(ISERROR(SEARCH("OFF",O13)))</formula>
    </cfRule>
    <cfRule type="containsText" dxfId="7" priority="90" operator="between" text="OFF">
      <formula>NOT(ISERROR(SEARCH("OFF",O13)))</formula>
    </cfRule>
  </conditionalFormatting>
  <pageMargins left="0.75" right="0.75" top="1" bottom="1" header="0.5" footer="0.5"/>
  <pageSetup paperSize="1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97"/>
  <sheetViews>
    <sheetView zoomScale="90" zoomScaleNormal="90" topLeftCell="A10" workbookViewId="0">
      <pane xSplit="6" ySplit="6" topLeftCell="G106" activePane="bottomRight" state="frozen"/>
      <selection/>
      <selection pane="topRight"/>
      <selection pane="bottomLeft"/>
      <selection pane="bottomRight" activeCell="AJ10" sqref="AJ10:AN11"/>
    </sheetView>
  </sheetViews>
  <sheetFormatPr defaultColWidth="9.09090909090909" defaultRowHeight="14.5"/>
  <cols>
    <col min="1" max="1" width="34.8181818181818" customWidth="1"/>
    <col min="2" max="2" width="18.5454545454545" customWidth="1"/>
    <col min="3" max="3" width="15.0909090909091" customWidth="1"/>
    <col min="4" max="14" width="7.90909090909091" style="22" customWidth="1"/>
    <col min="15" max="28" width="7.90909090909091" customWidth="1"/>
    <col min="29" max="34" width="7.90909090909091" style="22" customWidth="1"/>
    <col min="35" max="35" width="5.63636363636364" customWidth="1"/>
    <col min="36" max="36" width="6.90909090909091" customWidth="1"/>
    <col min="37" max="39" width="6.36363636363636" customWidth="1"/>
    <col min="40" max="40" width="7.36363636363636" customWidth="1"/>
    <col min="41" max="41" width="24.0909090909091" customWidth="1"/>
    <col min="42" max="43" width="15.6363636363636" customWidth="1"/>
  </cols>
  <sheetData>
    <row r="1" hidden="1"/>
    <row r="2" hidden="1" spans="1:43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1"/>
      <c r="AD2" s="31"/>
      <c r="AE2" s="31"/>
      <c r="AF2" s="31"/>
      <c r="AG2" s="31"/>
      <c r="AH2" s="31"/>
    </row>
    <row r="3" ht="15.25" hidden="1" spans="1:43">
      <c r="A3" s="30"/>
      <c r="B3" s="30"/>
      <c r="C3" s="30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1"/>
      <c r="AD3" s="31"/>
      <c r="AE3" s="31"/>
      <c r="AF3" s="31"/>
      <c r="AG3" s="31"/>
      <c r="AH3" s="31"/>
    </row>
    <row r="4" ht="34.5" hidden="1" spans="1:43">
      <c r="A4" s="41"/>
      <c r="B4" s="41"/>
      <c r="C4" s="4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</row>
    <row r="5" ht="34.5" hidden="1" spans="1:43">
      <c r="A5" s="45"/>
      <c r="B5" s="45"/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ht="35.25" hidden="1" spans="1:43">
      <c r="A6" s="45"/>
      <c r="B6" s="45"/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</row>
    <row r="7" ht="22.5" hidden="1" spans="1:43">
      <c r="A7" s="45"/>
      <c r="B7" s="45"/>
      <c r="C7" s="45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</row>
    <row r="8" ht="23.25" hidden="1" spans="1:43">
      <c r="A8" s="54"/>
      <c r="B8" s="54"/>
      <c r="C8" s="54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</row>
    <row r="9" ht="15.25" hidden="1" spans="1:43">
      <c r="A9" s="30"/>
      <c r="B9" s="30"/>
      <c r="C9" s="30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1"/>
      <c r="AD9" s="31"/>
      <c r="AE9" s="31"/>
      <c r="AF9" s="31"/>
      <c r="AG9" s="31"/>
      <c r="AH9" s="31"/>
    </row>
    <row r="10" ht="24" customHeight="1" spans="1:43">
      <c r="A10" s="1" t="s">
        <v>1</v>
      </c>
      <c r="B10" s="2" t="s">
        <v>2</v>
      </c>
      <c r="C10" s="2" t="s">
        <v>3</v>
      </c>
      <c r="D10" s="312" t="s">
        <v>726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J10" s="23" t="s">
        <v>5</v>
      </c>
      <c r="AK10" s="24"/>
      <c r="AL10" s="24"/>
      <c r="AM10" s="24"/>
      <c r="AN10" s="2" t="s">
        <v>6</v>
      </c>
      <c r="AO10" s="2" t="s">
        <v>5</v>
      </c>
      <c r="AP10" s="26" t="s">
        <v>8</v>
      </c>
      <c r="AQ10" s="27" t="s">
        <v>9</v>
      </c>
    </row>
    <row r="11" ht="27" customHeight="1" spans="1:43">
      <c r="A11" s="1"/>
      <c r="B11" s="32"/>
      <c r="C11" s="32"/>
      <c r="D11" s="126">
        <v>21</v>
      </c>
      <c r="E11" s="126">
        <v>22</v>
      </c>
      <c r="F11" s="126">
        <v>23</v>
      </c>
      <c r="G11" s="126">
        <v>24</v>
      </c>
      <c r="H11" s="126">
        <v>25</v>
      </c>
      <c r="I11" s="126">
        <v>26</v>
      </c>
      <c r="J11" s="126">
        <v>27</v>
      </c>
      <c r="K11" s="126">
        <v>28</v>
      </c>
      <c r="L11" s="126">
        <v>29</v>
      </c>
      <c r="M11" s="126">
        <v>30</v>
      </c>
      <c r="N11" s="126">
        <v>31</v>
      </c>
      <c r="O11" s="126">
        <v>1</v>
      </c>
      <c r="P11" s="126">
        <v>2</v>
      </c>
      <c r="Q11" s="126">
        <v>3</v>
      </c>
      <c r="R11" s="126">
        <v>4</v>
      </c>
      <c r="S11" s="126">
        <v>5</v>
      </c>
      <c r="T11" s="126">
        <v>6</v>
      </c>
      <c r="U11" s="126">
        <v>7</v>
      </c>
      <c r="V11" s="126">
        <v>8</v>
      </c>
      <c r="W11" s="126">
        <v>9</v>
      </c>
      <c r="X11" s="126">
        <v>10</v>
      </c>
      <c r="Y11" s="126">
        <v>11</v>
      </c>
      <c r="Z11" s="126">
        <v>12</v>
      </c>
      <c r="AA11" s="126">
        <v>13</v>
      </c>
      <c r="AB11" s="126">
        <v>14</v>
      </c>
      <c r="AC11" s="126">
        <v>15</v>
      </c>
      <c r="AD11" s="126">
        <v>16</v>
      </c>
      <c r="AE11" s="126">
        <v>17</v>
      </c>
      <c r="AF11" s="126">
        <v>18</v>
      </c>
      <c r="AG11" s="126">
        <v>19</v>
      </c>
      <c r="AH11" s="126">
        <v>20</v>
      </c>
      <c r="AJ11" s="11" t="s">
        <v>11</v>
      </c>
      <c r="AK11" s="11" t="s">
        <v>12</v>
      </c>
      <c r="AL11" s="11" t="s">
        <v>13</v>
      </c>
      <c r="AM11" s="11" t="s">
        <v>557</v>
      </c>
      <c r="AN11" s="32"/>
      <c r="AO11" s="32"/>
      <c r="AP11" s="33"/>
      <c r="AQ11" s="34"/>
    </row>
    <row r="12" ht="17.25" hidden="1" spans="1:43">
      <c r="A12" s="127"/>
      <c r="B12" s="127"/>
      <c r="C12" s="127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26"/>
      <c r="AJ12" s="9"/>
      <c r="AK12" s="9"/>
      <c r="AL12" s="9"/>
      <c r="AM12" s="9"/>
      <c r="AN12" s="32"/>
      <c r="AO12" s="32"/>
      <c r="AP12" s="33"/>
      <c r="AQ12" s="34"/>
    </row>
    <row r="13" ht="15.25" spans="1:43">
      <c r="A13" s="59" t="s">
        <v>558</v>
      </c>
      <c r="B13" s="63" t="s">
        <v>165</v>
      </c>
      <c r="C13" s="65" t="s">
        <v>559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J13" s="36">
        <f t="shared" ref="AJ13:AJ39" si="0">COUNTIF(D13:AH13,"S")</f>
        <v>0</v>
      </c>
      <c r="AK13" s="36">
        <f t="shared" ref="AK13:AK39" si="1">COUNTIF(D13:AH13,"I")</f>
        <v>0</v>
      </c>
      <c r="AL13" s="36">
        <f t="shared" ref="AL13:AL39" si="2">COUNTIF(D13:AH13,"A")</f>
        <v>0</v>
      </c>
      <c r="AM13" s="36">
        <f t="shared" ref="AM13:AM39" si="3">COUNTIF(D13:AI13,"PA")</f>
        <v>0</v>
      </c>
      <c r="AN13" s="38">
        <f t="shared" ref="AN13:AN39" si="4">SUM(AJ13:AL13)</f>
        <v>0</v>
      </c>
      <c r="AO13" s="66" t="s">
        <v>382</v>
      </c>
      <c r="AP13" s="38">
        <v>16</v>
      </c>
      <c r="AQ13" s="39">
        <f t="shared" ref="AQ13:AQ39" si="5">AN13/AP13</f>
        <v>0</v>
      </c>
    </row>
    <row r="14" ht="15.25" spans="1:43">
      <c r="A14" s="59" t="s">
        <v>560</v>
      </c>
      <c r="B14" s="63" t="s">
        <v>16</v>
      </c>
      <c r="C14" s="65" t="s">
        <v>561</v>
      </c>
      <c r="D14" s="62"/>
      <c r="E14" s="62"/>
      <c r="F14" s="62"/>
      <c r="G14" s="62" t="s">
        <v>11</v>
      </c>
      <c r="H14" s="62"/>
      <c r="I14" s="62"/>
      <c r="J14" s="62"/>
      <c r="K14" s="62"/>
      <c r="L14" s="62"/>
      <c r="M14" s="62" t="s">
        <v>11</v>
      </c>
      <c r="N14" s="62" t="s">
        <v>11</v>
      </c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J14" s="36">
        <f t="shared" si="0"/>
        <v>3</v>
      </c>
      <c r="AK14" s="36">
        <f t="shared" si="1"/>
        <v>0</v>
      </c>
      <c r="AL14" s="36">
        <f t="shared" si="2"/>
        <v>0</v>
      </c>
      <c r="AM14" s="36">
        <f t="shared" si="3"/>
        <v>0</v>
      </c>
      <c r="AN14" s="38">
        <f t="shared" si="4"/>
        <v>3</v>
      </c>
      <c r="AO14" s="81"/>
      <c r="AP14" s="38">
        <v>16</v>
      </c>
      <c r="AQ14" s="39">
        <f t="shared" si="5"/>
        <v>0.1875</v>
      </c>
    </row>
    <row r="15" ht="15.25" spans="1:43">
      <c r="A15" s="59" t="s">
        <v>562</v>
      </c>
      <c r="B15" s="63" t="s">
        <v>16</v>
      </c>
      <c r="C15" s="65" t="s">
        <v>506</v>
      </c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 t="s">
        <v>11</v>
      </c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J15" s="36">
        <f t="shared" si="0"/>
        <v>1</v>
      </c>
      <c r="AK15" s="36">
        <f t="shared" si="1"/>
        <v>0</v>
      </c>
      <c r="AL15" s="36">
        <f t="shared" si="2"/>
        <v>0</v>
      </c>
      <c r="AM15" s="36">
        <f t="shared" si="3"/>
        <v>0</v>
      </c>
      <c r="AN15" s="38">
        <f t="shared" si="4"/>
        <v>1</v>
      </c>
      <c r="AO15" s="38"/>
      <c r="AP15" s="38">
        <v>16</v>
      </c>
      <c r="AQ15" s="39">
        <f t="shared" si="5"/>
        <v>0.0625</v>
      </c>
    </row>
    <row r="16" ht="15.25" spans="1:43">
      <c r="A16" s="59" t="s">
        <v>563</v>
      </c>
      <c r="B16" s="63" t="s">
        <v>564</v>
      </c>
      <c r="C16" s="65" t="s">
        <v>506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J16" s="36">
        <f t="shared" si="0"/>
        <v>0</v>
      </c>
      <c r="AK16" s="36">
        <f t="shared" si="1"/>
        <v>0</v>
      </c>
      <c r="AL16" s="36">
        <f t="shared" si="2"/>
        <v>0</v>
      </c>
      <c r="AM16" s="36">
        <f t="shared" si="3"/>
        <v>0</v>
      </c>
      <c r="AN16" s="38">
        <f t="shared" si="4"/>
        <v>0</v>
      </c>
      <c r="AO16" s="52"/>
      <c r="AP16" s="38">
        <v>16</v>
      </c>
      <c r="AQ16" s="39">
        <f t="shared" si="5"/>
        <v>0</v>
      </c>
    </row>
    <row r="17" ht="15.25" spans="1:43">
      <c r="A17" s="59" t="s">
        <v>565</v>
      </c>
      <c r="B17" s="63" t="s">
        <v>165</v>
      </c>
      <c r="C17" s="65" t="s">
        <v>508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J17" s="36">
        <f t="shared" si="0"/>
        <v>0</v>
      </c>
      <c r="AK17" s="36">
        <f t="shared" si="1"/>
        <v>0</v>
      </c>
      <c r="AL17" s="36">
        <f t="shared" si="2"/>
        <v>0</v>
      </c>
      <c r="AM17" s="36">
        <f t="shared" si="3"/>
        <v>0</v>
      </c>
      <c r="AN17" s="38">
        <f t="shared" si="4"/>
        <v>0</v>
      </c>
      <c r="AO17" s="66" t="s">
        <v>459</v>
      </c>
      <c r="AP17" s="38">
        <v>16</v>
      </c>
      <c r="AQ17" s="39">
        <f t="shared" si="5"/>
        <v>0</v>
      </c>
    </row>
    <row r="18" ht="15.25" spans="1:43">
      <c r="A18" s="59" t="s">
        <v>566</v>
      </c>
      <c r="B18" s="63" t="s">
        <v>16</v>
      </c>
      <c r="C18" s="65" t="s">
        <v>567</v>
      </c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 t="s">
        <v>11</v>
      </c>
      <c r="AD18" s="62"/>
      <c r="AE18" s="62"/>
      <c r="AF18" s="62"/>
      <c r="AG18" s="62"/>
      <c r="AH18" s="62"/>
      <c r="AJ18" s="36">
        <f t="shared" si="0"/>
        <v>1</v>
      </c>
      <c r="AK18" s="36">
        <f t="shared" si="1"/>
        <v>0</v>
      </c>
      <c r="AL18" s="36">
        <f t="shared" si="2"/>
        <v>0</v>
      </c>
      <c r="AM18" s="36">
        <f t="shared" si="3"/>
        <v>0</v>
      </c>
      <c r="AN18" s="38">
        <f t="shared" si="4"/>
        <v>1</v>
      </c>
      <c r="AO18" s="38"/>
      <c r="AP18" s="38">
        <v>16</v>
      </c>
      <c r="AQ18" s="39">
        <f t="shared" si="5"/>
        <v>0.0625</v>
      </c>
    </row>
    <row r="19" ht="15.25" spans="1:43">
      <c r="A19" s="59" t="s">
        <v>568</v>
      </c>
      <c r="B19" s="63" t="s">
        <v>16</v>
      </c>
      <c r="C19" s="65" t="s">
        <v>567</v>
      </c>
      <c r="D19" s="62" t="s">
        <v>12</v>
      </c>
      <c r="E19" s="62"/>
      <c r="F19" s="62"/>
      <c r="G19" s="62"/>
      <c r="H19" s="62"/>
      <c r="I19" s="62"/>
      <c r="J19" s="62"/>
      <c r="K19" s="62"/>
      <c r="L19" s="62"/>
      <c r="M19" s="62"/>
      <c r="N19" s="62" t="s">
        <v>11</v>
      </c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J19" s="36">
        <f t="shared" si="0"/>
        <v>1</v>
      </c>
      <c r="AK19" s="36">
        <f t="shared" si="1"/>
        <v>1</v>
      </c>
      <c r="AL19" s="36">
        <f t="shared" si="2"/>
        <v>0</v>
      </c>
      <c r="AM19" s="36">
        <f t="shared" si="3"/>
        <v>0</v>
      </c>
      <c r="AN19" s="38">
        <f t="shared" si="4"/>
        <v>2</v>
      </c>
      <c r="AO19" s="66" t="s">
        <v>336</v>
      </c>
      <c r="AP19" s="38">
        <v>16</v>
      </c>
      <c r="AQ19" s="39">
        <f t="shared" si="5"/>
        <v>0.125</v>
      </c>
    </row>
    <row r="20" ht="15.25" spans="1:43">
      <c r="A20" s="59" t="s">
        <v>569</v>
      </c>
      <c r="B20" s="63" t="s">
        <v>564</v>
      </c>
      <c r="C20" s="65" t="s">
        <v>567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J20" s="36">
        <f t="shared" si="0"/>
        <v>0</v>
      </c>
      <c r="AK20" s="36">
        <f t="shared" si="1"/>
        <v>0</v>
      </c>
      <c r="AL20" s="36">
        <f t="shared" si="2"/>
        <v>0</v>
      </c>
      <c r="AM20" s="36">
        <f t="shared" si="3"/>
        <v>0</v>
      </c>
      <c r="AN20" s="38">
        <f t="shared" si="4"/>
        <v>0</v>
      </c>
      <c r="AO20" s="52" t="s">
        <v>193</v>
      </c>
      <c r="AP20" s="38">
        <v>16</v>
      </c>
      <c r="AQ20" s="39">
        <f t="shared" si="5"/>
        <v>0</v>
      </c>
    </row>
    <row r="21" ht="15.25" spans="1:43">
      <c r="A21" s="59" t="s">
        <v>570</v>
      </c>
      <c r="B21" s="63" t="s">
        <v>16</v>
      </c>
      <c r="C21" s="65" t="s">
        <v>571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 t="s">
        <v>557</v>
      </c>
      <c r="Q21" s="62" t="s">
        <v>12</v>
      </c>
      <c r="R21" s="62" t="s">
        <v>12</v>
      </c>
      <c r="S21" s="62" t="s">
        <v>12</v>
      </c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 t="s">
        <v>13</v>
      </c>
      <c r="AJ21" s="36">
        <f t="shared" si="0"/>
        <v>0</v>
      </c>
      <c r="AK21" s="36">
        <f t="shared" si="1"/>
        <v>3</v>
      </c>
      <c r="AL21" s="36">
        <f t="shared" si="2"/>
        <v>1</v>
      </c>
      <c r="AM21" s="36">
        <f t="shared" si="3"/>
        <v>1</v>
      </c>
      <c r="AN21" s="38">
        <f t="shared" si="4"/>
        <v>4</v>
      </c>
      <c r="AO21" s="66" t="s">
        <v>336</v>
      </c>
      <c r="AP21" s="38">
        <v>16</v>
      </c>
      <c r="AQ21" s="39">
        <f t="shared" si="5"/>
        <v>0.25</v>
      </c>
    </row>
    <row r="22" ht="15.25" spans="1:43">
      <c r="A22" s="59" t="s">
        <v>572</v>
      </c>
      <c r="B22" s="63" t="s">
        <v>564</v>
      </c>
      <c r="C22" s="65" t="s">
        <v>573</v>
      </c>
      <c r="D22" s="62" t="s">
        <v>11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 t="s">
        <v>12</v>
      </c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 t="s">
        <v>11</v>
      </c>
      <c r="AH22" s="62"/>
      <c r="AJ22" s="36">
        <f t="shared" si="0"/>
        <v>2</v>
      </c>
      <c r="AK22" s="36">
        <f t="shared" si="1"/>
        <v>1</v>
      </c>
      <c r="AL22" s="36">
        <f t="shared" si="2"/>
        <v>0</v>
      </c>
      <c r="AM22" s="36">
        <f t="shared" si="3"/>
        <v>0</v>
      </c>
      <c r="AN22" s="38">
        <f t="shared" si="4"/>
        <v>3</v>
      </c>
      <c r="AO22" s="38" t="s">
        <v>303</v>
      </c>
      <c r="AP22" s="38">
        <v>16</v>
      </c>
      <c r="AQ22" s="39">
        <f t="shared" si="5"/>
        <v>0.1875</v>
      </c>
    </row>
    <row r="23" ht="15.25" spans="1:43">
      <c r="A23" s="59" t="s">
        <v>574</v>
      </c>
      <c r="B23" s="63" t="s">
        <v>16</v>
      </c>
      <c r="C23" s="65" t="s">
        <v>322</v>
      </c>
      <c r="D23" s="62"/>
      <c r="E23" s="62"/>
      <c r="F23" s="62"/>
      <c r="G23" s="62"/>
      <c r="H23" s="62"/>
      <c r="I23" s="62" t="s">
        <v>11</v>
      </c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J23" s="36">
        <f t="shared" si="0"/>
        <v>1</v>
      </c>
      <c r="AK23" s="36">
        <f t="shared" si="1"/>
        <v>0</v>
      </c>
      <c r="AL23" s="36">
        <f t="shared" si="2"/>
        <v>0</v>
      </c>
      <c r="AM23" s="36">
        <f t="shared" si="3"/>
        <v>0</v>
      </c>
      <c r="AN23" s="38">
        <f t="shared" si="4"/>
        <v>1</v>
      </c>
      <c r="AO23" s="38" t="s">
        <v>25</v>
      </c>
      <c r="AP23" s="38">
        <v>16</v>
      </c>
      <c r="AQ23" s="39">
        <f t="shared" si="5"/>
        <v>0.0625</v>
      </c>
    </row>
    <row r="24" ht="15.25" spans="1:43">
      <c r="A24" s="59" t="s">
        <v>575</v>
      </c>
      <c r="B24" s="63" t="s">
        <v>16</v>
      </c>
      <c r="C24" s="65" t="s">
        <v>276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J24" s="36">
        <f t="shared" si="0"/>
        <v>0</v>
      </c>
      <c r="AK24" s="36">
        <f t="shared" si="1"/>
        <v>0</v>
      </c>
      <c r="AL24" s="36">
        <f t="shared" si="2"/>
        <v>0</v>
      </c>
      <c r="AM24" s="36">
        <f t="shared" si="3"/>
        <v>0</v>
      </c>
      <c r="AN24" s="38">
        <f t="shared" si="4"/>
        <v>0</v>
      </c>
      <c r="AO24" s="66" t="s">
        <v>423</v>
      </c>
      <c r="AP24" s="38">
        <v>16</v>
      </c>
      <c r="AQ24" s="39">
        <f t="shared" si="5"/>
        <v>0</v>
      </c>
    </row>
    <row r="25" ht="15.25" spans="1:43">
      <c r="A25" s="59" t="s">
        <v>577</v>
      </c>
      <c r="B25" s="63" t="s">
        <v>165</v>
      </c>
      <c r="C25" s="65" t="s">
        <v>276</v>
      </c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J25" s="36">
        <f t="shared" si="0"/>
        <v>0</v>
      </c>
      <c r="AK25" s="36">
        <f t="shared" si="1"/>
        <v>0</v>
      </c>
      <c r="AL25" s="36">
        <f t="shared" si="2"/>
        <v>0</v>
      </c>
      <c r="AM25" s="36">
        <f t="shared" si="3"/>
        <v>0</v>
      </c>
      <c r="AN25" s="38">
        <f t="shared" si="4"/>
        <v>0</v>
      </c>
      <c r="AO25" s="38" t="s">
        <v>337</v>
      </c>
      <c r="AP25" s="38">
        <v>16</v>
      </c>
      <c r="AQ25" s="39">
        <f t="shared" si="5"/>
        <v>0</v>
      </c>
    </row>
    <row r="26" ht="15.25" spans="1:43">
      <c r="A26" s="59" t="s">
        <v>578</v>
      </c>
      <c r="B26" s="63" t="s">
        <v>527</v>
      </c>
      <c r="C26" s="65" t="s">
        <v>276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J26" s="36">
        <f t="shared" si="0"/>
        <v>0</v>
      </c>
      <c r="AK26" s="36">
        <f t="shared" si="1"/>
        <v>0</v>
      </c>
      <c r="AL26" s="36">
        <f t="shared" si="2"/>
        <v>0</v>
      </c>
      <c r="AM26" s="36">
        <f t="shared" si="3"/>
        <v>0</v>
      </c>
      <c r="AN26" s="38">
        <f t="shared" si="4"/>
        <v>0</v>
      </c>
      <c r="AO26" s="66" t="s">
        <v>382</v>
      </c>
      <c r="AP26" s="38">
        <v>16</v>
      </c>
      <c r="AQ26" s="39">
        <f t="shared" si="5"/>
        <v>0</v>
      </c>
    </row>
    <row r="27" ht="15.25" spans="1:43">
      <c r="A27" s="59" t="s">
        <v>579</v>
      </c>
      <c r="B27" s="63" t="s">
        <v>564</v>
      </c>
      <c r="C27" s="65" t="s">
        <v>227</v>
      </c>
      <c r="D27" s="62" t="s">
        <v>11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J27" s="36">
        <f t="shared" si="0"/>
        <v>1</v>
      </c>
      <c r="AK27" s="36">
        <f t="shared" si="1"/>
        <v>0</v>
      </c>
      <c r="AL27" s="36">
        <f t="shared" si="2"/>
        <v>0</v>
      </c>
      <c r="AM27" s="36">
        <f t="shared" si="3"/>
        <v>0</v>
      </c>
      <c r="AN27" s="38">
        <f t="shared" si="4"/>
        <v>1</v>
      </c>
      <c r="AO27" s="66" t="s">
        <v>460</v>
      </c>
      <c r="AP27" s="68">
        <v>16</v>
      </c>
      <c r="AQ27" s="39">
        <f t="shared" si="5"/>
        <v>0.0625</v>
      </c>
    </row>
    <row r="28" ht="15.25" spans="1:43">
      <c r="A28" s="59" t="s">
        <v>580</v>
      </c>
      <c r="B28" s="63" t="s">
        <v>564</v>
      </c>
      <c r="C28" s="65" t="s">
        <v>227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J28" s="36">
        <f t="shared" si="0"/>
        <v>0</v>
      </c>
      <c r="AK28" s="36">
        <f t="shared" si="1"/>
        <v>0</v>
      </c>
      <c r="AL28" s="36">
        <f t="shared" si="2"/>
        <v>0</v>
      </c>
      <c r="AM28" s="36">
        <f t="shared" si="3"/>
        <v>0</v>
      </c>
      <c r="AN28" s="38">
        <f t="shared" si="4"/>
        <v>0</v>
      </c>
      <c r="AO28" s="36" t="s">
        <v>305</v>
      </c>
      <c r="AP28" s="38">
        <v>16</v>
      </c>
      <c r="AQ28" s="39">
        <f t="shared" si="5"/>
        <v>0</v>
      </c>
    </row>
    <row r="29" ht="15.25" spans="1:43">
      <c r="A29" s="59" t="s">
        <v>581</v>
      </c>
      <c r="B29" s="63" t="s">
        <v>16</v>
      </c>
      <c r="C29" s="65" t="s">
        <v>394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J29" s="36">
        <f t="shared" si="0"/>
        <v>0</v>
      </c>
      <c r="AK29" s="36">
        <f t="shared" si="1"/>
        <v>0</v>
      </c>
      <c r="AL29" s="36">
        <f t="shared" si="2"/>
        <v>0</v>
      </c>
      <c r="AM29" s="36">
        <f t="shared" si="3"/>
        <v>0</v>
      </c>
      <c r="AN29" s="38">
        <f t="shared" si="4"/>
        <v>0</v>
      </c>
      <c r="AO29" s="52" t="s">
        <v>582</v>
      </c>
      <c r="AP29" s="38">
        <v>16</v>
      </c>
      <c r="AQ29" s="39">
        <f t="shared" si="5"/>
        <v>0</v>
      </c>
    </row>
    <row r="30" ht="15.25" spans="1:43">
      <c r="A30" s="59" t="s">
        <v>583</v>
      </c>
      <c r="B30" s="63" t="s">
        <v>16</v>
      </c>
      <c r="C30" s="65" t="s">
        <v>394</v>
      </c>
      <c r="D30" s="62" t="s">
        <v>11</v>
      </c>
      <c r="E30" s="62"/>
      <c r="F30" s="62"/>
      <c r="G30" s="62"/>
      <c r="H30" s="62" t="s">
        <v>11</v>
      </c>
      <c r="I30" s="62"/>
      <c r="J30" s="62" t="s">
        <v>13</v>
      </c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J30" s="36">
        <f t="shared" si="0"/>
        <v>2</v>
      </c>
      <c r="AK30" s="36">
        <f t="shared" si="1"/>
        <v>0</v>
      </c>
      <c r="AL30" s="36">
        <f t="shared" si="2"/>
        <v>1</v>
      </c>
      <c r="AM30" s="36">
        <f t="shared" si="3"/>
        <v>0</v>
      </c>
      <c r="AN30" s="38">
        <f t="shared" si="4"/>
        <v>3</v>
      </c>
      <c r="AO30" s="69" t="s">
        <v>239</v>
      </c>
      <c r="AP30" s="38">
        <v>16</v>
      </c>
      <c r="AQ30" s="39">
        <f t="shared" si="5"/>
        <v>0.1875</v>
      </c>
    </row>
    <row r="31" ht="15.25" spans="1:43">
      <c r="A31" s="59" t="s">
        <v>584</v>
      </c>
      <c r="B31" s="63" t="s">
        <v>16</v>
      </c>
      <c r="C31" s="65" t="s">
        <v>394</v>
      </c>
      <c r="D31" s="62" t="s">
        <v>11</v>
      </c>
      <c r="E31" s="62"/>
      <c r="F31" s="62"/>
      <c r="G31" s="62"/>
      <c r="H31" s="62"/>
      <c r="I31" s="62"/>
      <c r="J31" s="62"/>
      <c r="K31" s="62"/>
      <c r="L31" s="62"/>
      <c r="M31" s="62" t="s">
        <v>13</v>
      </c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 t="s">
        <v>557</v>
      </c>
      <c r="AD31" s="62"/>
      <c r="AE31" s="62"/>
      <c r="AF31" s="62"/>
      <c r="AG31" s="62"/>
      <c r="AH31" s="62"/>
      <c r="AJ31" s="36">
        <f t="shared" si="0"/>
        <v>1</v>
      </c>
      <c r="AK31" s="36">
        <f t="shared" si="1"/>
        <v>0</v>
      </c>
      <c r="AL31" s="36">
        <f t="shared" si="2"/>
        <v>1</v>
      </c>
      <c r="AM31" s="36">
        <f t="shared" si="3"/>
        <v>1</v>
      </c>
      <c r="AN31" s="38">
        <f t="shared" si="4"/>
        <v>2</v>
      </c>
      <c r="AO31" s="66" t="s">
        <v>382</v>
      </c>
      <c r="AP31" s="38">
        <v>16</v>
      </c>
      <c r="AQ31" s="39">
        <f t="shared" si="5"/>
        <v>0.125</v>
      </c>
    </row>
    <row r="32" ht="15.25" spans="1:43">
      <c r="A32" s="59" t="s">
        <v>585</v>
      </c>
      <c r="B32" s="63" t="s">
        <v>16</v>
      </c>
      <c r="C32" s="65" t="s">
        <v>394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J32" s="36">
        <f t="shared" si="0"/>
        <v>0</v>
      </c>
      <c r="AK32" s="36">
        <f t="shared" si="1"/>
        <v>0</v>
      </c>
      <c r="AL32" s="36">
        <f t="shared" si="2"/>
        <v>0</v>
      </c>
      <c r="AM32" s="36">
        <f t="shared" si="3"/>
        <v>0</v>
      </c>
      <c r="AN32" s="38">
        <f t="shared" si="4"/>
        <v>0</v>
      </c>
      <c r="AO32" s="66"/>
      <c r="AP32" s="38">
        <v>16</v>
      </c>
      <c r="AQ32" s="39">
        <f t="shared" si="5"/>
        <v>0</v>
      </c>
    </row>
    <row r="33" ht="15.25" spans="1:43">
      <c r="A33" s="59" t="s">
        <v>586</v>
      </c>
      <c r="B33" s="63" t="s">
        <v>16</v>
      </c>
      <c r="C33" s="65" t="s">
        <v>394</v>
      </c>
      <c r="D33" s="62"/>
      <c r="E33" s="62"/>
      <c r="F33" s="62" t="s">
        <v>11</v>
      </c>
      <c r="G33" s="62"/>
      <c r="H33" s="62"/>
      <c r="I33" s="62"/>
      <c r="J33" s="62"/>
      <c r="K33" s="62"/>
      <c r="L33" s="62" t="s">
        <v>11</v>
      </c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 t="s">
        <v>11</v>
      </c>
      <c r="AC33" s="62"/>
      <c r="AD33" s="62"/>
      <c r="AE33" s="62"/>
      <c r="AF33" s="62"/>
      <c r="AG33" s="62"/>
      <c r="AH33" s="62"/>
      <c r="AJ33" s="36">
        <f t="shared" si="0"/>
        <v>3</v>
      </c>
      <c r="AK33" s="36">
        <f t="shared" si="1"/>
        <v>0</v>
      </c>
      <c r="AL33" s="36">
        <f t="shared" si="2"/>
        <v>0</v>
      </c>
      <c r="AM33" s="36">
        <f t="shared" si="3"/>
        <v>0</v>
      </c>
      <c r="AN33" s="38">
        <f t="shared" si="4"/>
        <v>3</v>
      </c>
      <c r="AO33" s="66" t="s">
        <v>193</v>
      </c>
      <c r="AP33" s="38">
        <v>16</v>
      </c>
      <c r="AQ33" s="39">
        <f t="shared" si="5"/>
        <v>0.1875</v>
      </c>
    </row>
    <row r="34" ht="15.25" spans="1:43">
      <c r="A34" s="59" t="s">
        <v>587</v>
      </c>
      <c r="B34" s="63" t="s">
        <v>564</v>
      </c>
      <c r="C34" s="65" t="s">
        <v>394</v>
      </c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J34" s="36">
        <f t="shared" si="0"/>
        <v>0</v>
      </c>
      <c r="AK34" s="36">
        <f t="shared" si="1"/>
        <v>0</v>
      </c>
      <c r="AL34" s="36">
        <f t="shared" si="2"/>
        <v>0</v>
      </c>
      <c r="AM34" s="36">
        <f t="shared" si="3"/>
        <v>0</v>
      </c>
      <c r="AN34" s="38">
        <f t="shared" si="4"/>
        <v>0</v>
      </c>
      <c r="AO34" s="70" t="s">
        <v>382</v>
      </c>
      <c r="AP34" s="38">
        <v>16</v>
      </c>
      <c r="AQ34" s="39">
        <f t="shared" si="5"/>
        <v>0</v>
      </c>
    </row>
    <row r="35" ht="15.25" spans="1:43">
      <c r="A35" s="59" t="s">
        <v>588</v>
      </c>
      <c r="B35" s="63" t="s">
        <v>16</v>
      </c>
      <c r="C35" s="65" t="s">
        <v>355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J35" s="36">
        <f t="shared" si="0"/>
        <v>0</v>
      </c>
      <c r="AK35" s="36">
        <f t="shared" si="1"/>
        <v>0</v>
      </c>
      <c r="AL35" s="36">
        <f t="shared" si="2"/>
        <v>0</v>
      </c>
      <c r="AM35" s="36">
        <f t="shared" si="3"/>
        <v>0</v>
      </c>
      <c r="AN35" s="38">
        <f t="shared" si="4"/>
        <v>0</v>
      </c>
      <c r="AO35" s="69" t="s">
        <v>171</v>
      </c>
      <c r="AP35" s="38">
        <v>16</v>
      </c>
      <c r="AQ35" s="39">
        <f t="shared" si="5"/>
        <v>0</v>
      </c>
    </row>
    <row r="36" ht="15.25" spans="1:43">
      <c r="A36" s="59" t="s">
        <v>589</v>
      </c>
      <c r="B36" s="63" t="s">
        <v>16</v>
      </c>
      <c r="C36" s="65" t="s">
        <v>355</v>
      </c>
      <c r="D36" s="62"/>
      <c r="E36" s="62" t="s">
        <v>11</v>
      </c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J36" s="36">
        <f t="shared" si="0"/>
        <v>1</v>
      </c>
      <c r="AK36" s="36">
        <f t="shared" si="1"/>
        <v>0</v>
      </c>
      <c r="AL36" s="36">
        <f t="shared" si="2"/>
        <v>0</v>
      </c>
      <c r="AM36" s="36">
        <f t="shared" si="3"/>
        <v>0</v>
      </c>
      <c r="AN36" s="38">
        <f t="shared" si="4"/>
        <v>1</v>
      </c>
      <c r="AO36" s="38" t="s">
        <v>216</v>
      </c>
      <c r="AP36" s="38">
        <v>16</v>
      </c>
      <c r="AQ36" s="39">
        <f t="shared" si="5"/>
        <v>0.0625</v>
      </c>
    </row>
    <row r="37" ht="15.25" spans="1:43">
      <c r="A37" s="59" t="s">
        <v>590</v>
      </c>
      <c r="B37" s="63" t="s">
        <v>16</v>
      </c>
      <c r="C37" s="65" t="s">
        <v>340</v>
      </c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J37" s="36">
        <f t="shared" si="0"/>
        <v>0</v>
      </c>
      <c r="AK37" s="36">
        <f t="shared" si="1"/>
        <v>0</v>
      </c>
      <c r="AL37" s="36">
        <f t="shared" si="2"/>
        <v>0</v>
      </c>
      <c r="AM37" s="36">
        <f t="shared" si="3"/>
        <v>0</v>
      </c>
      <c r="AN37" s="38">
        <f t="shared" si="4"/>
        <v>0</v>
      </c>
      <c r="AO37" s="66" t="s">
        <v>336</v>
      </c>
      <c r="AP37" s="38">
        <v>16</v>
      </c>
      <c r="AQ37" s="39">
        <f t="shared" si="5"/>
        <v>0</v>
      </c>
    </row>
    <row r="38" ht="15.25" spans="1:43">
      <c r="A38" s="59" t="s">
        <v>591</v>
      </c>
      <c r="B38" s="63" t="s">
        <v>16</v>
      </c>
      <c r="C38" s="65" t="s">
        <v>308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J38" s="36">
        <f t="shared" si="0"/>
        <v>0</v>
      </c>
      <c r="AK38" s="36">
        <f t="shared" si="1"/>
        <v>0</v>
      </c>
      <c r="AL38" s="36">
        <f t="shared" si="2"/>
        <v>0</v>
      </c>
      <c r="AM38" s="36">
        <f t="shared" si="3"/>
        <v>0</v>
      </c>
      <c r="AN38" s="38">
        <f t="shared" si="4"/>
        <v>0</v>
      </c>
      <c r="AO38" s="81" t="s">
        <v>118</v>
      </c>
      <c r="AP38" s="38">
        <v>16</v>
      </c>
      <c r="AQ38" s="39">
        <f t="shared" si="5"/>
        <v>0</v>
      </c>
    </row>
    <row r="39" ht="15.25" spans="1:43">
      <c r="A39" s="59" t="s">
        <v>592</v>
      </c>
      <c r="B39" s="63" t="s">
        <v>16</v>
      </c>
      <c r="C39" s="65" t="s">
        <v>308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J39" s="36">
        <f t="shared" si="0"/>
        <v>0</v>
      </c>
      <c r="AK39" s="36">
        <f t="shared" si="1"/>
        <v>0</v>
      </c>
      <c r="AL39" s="36">
        <f t="shared" si="2"/>
        <v>0</v>
      </c>
      <c r="AM39" s="36">
        <f t="shared" si="3"/>
        <v>0</v>
      </c>
      <c r="AN39" s="38">
        <f t="shared" si="4"/>
        <v>0</v>
      </c>
      <c r="AO39" s="67" t="s">
        <v>336</v>
      </c>
      <c r="AP39" s="38">
        <v>16</v>
      </c>
      <c r="AQ39" s="39">
        <f t="shared" si="5"/>
        <v>0</v>
      </c>
    </row>
    <row r="40" ht="15.25" spans="1:43">
      <c r="A40" s="59" t="s">
        <v>594</v>
      </c>
      <c r="B40" s="63" t="s">
        <v>16</v>
      </c>
      <c r="C40" s="65" t="s">
        <v>252</v>
      </c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J40" s="36">
        <f t="shared" ref="AJ40:AJ103" si="6">COUNTIF(D40:AH40,"S")</f>
        <v>0</v>
      </c>
      <c r="AK40" s="36">
        <f t="shared" ref="AK40:AK103" si="7">COUNTIF(D40:AH40,"I")</f>
        <v>0</v>
      </c>
      <c r="AL40" s="36">
        <f t="shared" ref="AL40:AL103" si="8">COUNTIF(D40:AH40,"A")</f>
        <v>0</v>
      </c>
      <c r="AM40" s="36">
        <f t="shared" ref="AM40:AM103" si="9">COUNTIF(D40:AI40,"PA")</f>
        <v>0</v>
      </c>
      <c r="AN40" s="38">
        <f t="shared" ref="AN40:AN103" si="10">SUM(AJ40:AL40)</f>
        <v>0</v>
      </c>
      <c r="AO40" s="66" t="s">
        <v>193</v>
      </c>
      <c r="AP40" s="38">
        <v>26</v>
      </c>
      <c r="AQ40" s="39">
        <f t="shared" ref="AQ40:AQ103" si="11">AN40/AP40</f>
        <v>0</v>
      </c>
    </row>
    <row r="41" ht="15.25" spans="1:43">
      <c r="A41" s="59" t="s">
        <v>595</v>
      </c>
      <c r="B41" s="63" t="s">
        <v>564</v>
      </c>
      <c r="C41" s="65" t="s">
        <v>596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 t="s">
        <v>11</v>
      </c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J41" s="36">
        <f t="shared" si="6"/>
        <v>1</v>
      </c>
      <c r="AK41" s="36">
        <f t="shared" si="7"/>
        <v>0</v>
      </c>
      <c r="AL41" s="36">
        <f t="shared" si="8"/>
        <v>0</v>
      </c>
      <c r="AM41" s="36">
        <f t="shared" si="9"/>
        <v>0</v>
      </c>
      <c r="AN41" s="38">
        <f t="shared" si="10"/>
        <v>1</v>
      </c>
      <c r="AO41" s="38" t="s">
        <v>25</v>
      </c>
      <c r="AP41" s="38">
        <v>26</v>
      </c>
      <c r="AQ41" s="39">
        <f t="shared" si="11"/>
        <v>0.0384615384615385</v>
      </c>
    </row>
    <row r="42" ht="15.25" spans="1:43">
      <c r="A42" s="59" t="s">
        <v>597</v>
      </c>
      <c r="B42" s="63" t="s">
        <v>564</v>
      </c>
      <c r="C42" s="65" t="s">
        <v>395</v>
      </c>
      <c r="D42" s="62" t="s">
        <v>11</v>
      </c>
      <c r="E42" s="62"/>
      <c r="F42" s="62" t="s">
        <v>11</v>
      </c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J42" s="36">
        <f t="shared" si="6"/>
        <v>2</v>
      </c>
      <c r="AK42" s="36">
        <f t="shared" si="7"/>
        <v>0</v>
      </c>
      <c r="AL42" s="36">
        <f t="shared" si="8"/>
        <v>0</v>
      </c>
      <c r="AM42" s="36">
        <f t="shared" si="9"/>
        <v>0</v>
      </c>
      <c r="AN42" s="38">
        <f t="shared" si="10"/>
        <v>2</v>
      </c>
      <c r="AO42" s="38" t="s">
        <v>25</v>
      </c>
      <c r="AP42" s="38">
        <v>26</v>
      </c>
      <c r="AQ42" s="39">
        <f t="shared" si="11"/>
        <v>0.0769230769230769</v>
      </c>
    </row>
    <row r="43" ht="15.25" spans="1:43">
      <c r="A43" s="59" t="s">
        <v>598</v>
      </c>
      <c r="B43" s="63" t="s">
        <v>16</v>
      </c>
      <c r="C43" s="65" t="s">
        <v>515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 t="s">
        <v>11</v>
      </c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 t="s">
        <v>11</v>
      </c>
      <c r="AC43" s="62"/>
      <c r="AD43" s="62"/>
      <c r="AE43" s="62"/>
      <c r="AF43" s="62"/>
      <c r="AG43" s="62"/>
      <c r="AH43" s="62"/>
      <c r="AJ43" s="36">
        <f t="shared" si="6"/>
        <v>2</v>
      </c>
      <c r="AK43" s="36">
        <f t="shared" si="7"/>
        <v>0</v>
      </c>
      <c r="AL43" s="36">
        <f t="shared" si="8"/>
        <v>0</v>
      </c>
      <c r="AM43" s="36">
        <f t="shared" si="9"/>
        <v>0</v>
      </c>
      <c r="AN43" s="38">
        <f t="shared" si="10"/>
        <v>2</v>
      </c>
      <c r="AO43" s="66" t="s">
        <v>424</v>
      </c>
      <c r="AP43" s="38">
        <v>26</v>
      </c>
      <c r="AQ43" s="39">
        <f t="shared" si="11"/>
        <v>0.0769230769230769</v>
      </c>
    </row>
    <row r="44" ht="15.25" spans="1:43">
      <c r="A44" s="59" t="s">
        <v>599</v>
      </c>
      <c r="B44" s="63" t="s">
        <v>16</v>
      </c>
      <c r="C44" s="65" t="s">
        <v>515</v>
      </c>
      <c r="D44" s="62"/>
      <c r="E44" s="62" t="s">
        <v>557</v>
      </c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 t="s">
        <v>12</v>
      </c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J44" s="36">
        <f t="shared" si="6"/>
        <v>0</v>
      </c>
      <c r="AK44" s="36">
        <f t="shared" si="7"/>
        <v>1</v>
      </c>
      <c r="AL44" s="36">
        <f t="shared" si="8"/>
        <v>0</v>
      </c>
      <c r="AM44" s="36">
        <f t="shared" si="9"/>
        <v>1</v>
      </c>
      <c r="AN44" s="38">
        <f t="shared" si="10"/>
        <v>1</v>
      </c>
      <c r="AO44" s="74" t="s">
        <v>466</v>
      </c>
      <c r="AP44" s="38">
        <v>26</v>
      </c>
      <c r="AQ44" s="39">
        <f t="shared" si="11"/>
        <v>0.0384615384615385</v>
      </c>
    </row>
    <row r="45" ht="15.25" spans="1:43">
      <c r="A45" s="59" t="s">
        <v>600</v>
      </c>
      <c r="B45" s="63" t="s">
        <v>16</v>
      </c>
      <c r="C45" s="65" t="s">
        <v>515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J45" s="36">
        <f t="shared" si="6"/>
        <v>0</v>
      </c>
      <c r="AK45" s="36">
        <f t="shared" si="7"/>
        <v>0</v>
      </c>
      <c r="AL45" s="36">
        <f t="shared" si="8"/>
        <v>0</v>
      </c>
      <c r="AM45" s="36">
        <f t="shared" si="9"/>
        <v>0</v>
      </c>
      <c r="AN45" s="38">
        <f t="shared" si="10"/>
        <v>0</v>
      </c>
      <c r="AO45" s="66" t="s">
        <v>425</v>
      </c>
      <c r="AP45" s="38">
        <v>26</v>
      </c>
      <c r="AQ45" s="39">
        <f t="shared" si="11"/>
        <v>0</v>
      </c>
    </row>
    <row r="46" ht="15.25" spans="1:43">
      <c r="A46" s="59" t="s">
        <v>601</v>
      </c>
      <c r="B46" s="63" t="s">
        <v>16</v>
      </c>
      <c r="C46" s="76" t="s">
        <v>503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 t="s">
        <v>11</v>
      </c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J46" s="36">
        <f t="shared" si="6"/>
        <v>1</v>
      </c>
      <c r="AK46" s="36">
        <f t="shared" si="7"/>
        <v>0</v>
      </c>
      <c r="AL46" s="36">
        <f t="shared" si="8"/>
        <v>0</v>
      </c>
      <c r="AM46" s="36">
        <f t="shared" si="9"/>
        <v>0</v>
      </c>
      <c r="AN46" s="38">
        <f t="shared" si="10"/>
        <v>1</v>
      </c>
      <c r="AO46" s="75" t="s">
        <v>427</v>
      </c>
      <c r="AP46" s="38">
        <v>26</v>
      </c>
      <c r="AQ46" s="39">
        <f t="shared" si="11"/>
        <v>0.0384615384615385</v>
      </c>
    </row>
    <row r="47" ht="15.25" spans="1:43">
      <c r="A47" s="59" t="s">
        <v>602</v>
      </c>
      <c r="B47" s="63" t="s">
        <v>16</v>
      </c>
      <c r="C47" s="76" t="s">
        <v>503</v>
      </c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J47" s="36">
        <f t="shared" si="6"/>
        <v>0</v>
      </c>
      <c r="AK47" s="36">
        <f t="shared" si="7"/>
        <v>0</v>
      </c>
      <c r="AL47" s="36">
        <f t="shared" si="8"/>
        <v>0</v>
      </c>
      <c r="AM47" s="36">
        <f t="shared" si="9"/>
        <v>0</v>
      </c>
      <c r="AN47" s="38">
        <f t="shared" si="10"/>
        <v>0</v>
      </c>
      <c r="AO47" s="38"/>
      <c r="AP47" s="38">
        <v>26</v>
      </c>
      <c r="AQ47" s="39">
        <f t="shared" si="11"/>
        <v>0</v>
      </c>
    </row>
    <row r="48" ht="15.25" spans="1:43">
      <c r="A48" s="59" t="s">
        <v>603</v>
      </c>
      <c r="B48" s="63" t="s">
        <v>16</v>
      </c>
      <c r="C48" s="76" t="s">
        <v>505</v>
      </c>
      <c r="D48" s="62" t="s">
        <v>11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J48" s="36">
        <f t="shared" si="6"/>
        <v>1</v>
      </c>
      <c r="AK48" s="36">
        <f t="shared" si="7"/>
        <v>0</v>
      </c>
      <c r="AL48" s="36">
        <f t="shared" si="8"/>
        <v>0</v>
      </c>
      <c r="AM48" s="36">
        <f t="shared" si="9"/>
        <v>0</v>
      </c>
      <c r="AN48" s="38">
        <f t="shared" si="10"/>
        <v>1</v>
      </c>
      <c r="AO48" s="69" t="s">
        <v>275</v>
      </c>
      <c r="AP48" s="38">
        <v>26</v>
      </c>
      <c r="AQ48" s="39">
        <f t="shared" si="11"/>
        <v>0.0384615384615385</v>
      </c>
    </row>
    <row r="49" ht="15.25" spans="1:43">
      <c r="A49" s="59" t="s">
        <v>604</v>
      </c>
      <c r="B49" s="63" t="s">
        <v>16</v>
      </c>
      <c r="C49" s="76" t="s">
        <v>350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 t="s">
        <v>11</v>
      </c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J49" s="36">
        <f t="shared" si="6"/>
        <v>1</v>
      </c>
      <c r="AK49" s="36">
        <f t="shared" si="7"/>
        <v>0</v>
      </c>
      <c r="AL49" s="36">
        <f t="shared" si="8"/>
        <v>0</v>
      </c>
      <c r="AM49" s="36">
        <f t="shared" si="9"/>
        <v>0</v>
      </c>
      <c r="AN49" s="38">
        <f t="shared" si="10"/>
        <v>1</v>
      </c>
      <c r="AO49" s="38"/>
      <c r="AP49" s="38">
        <v>26</v>
      </c>
      <c r="AQ49" s="39">
        <f t="shared" si="11"/>
        <v>0.0384615384615385</v>
      </c>
    </row>
    <row r="50" ht="15.25" spans="1:43">
      <c r="A50" s="59" t="s">
        <v>605</v>
      </c>
      <c r="B50" s="63" t="s">
        <v>564</v>
      </c>
      <c r="C50" s="65" t="s">
        <v>395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J50" s="36">
        <f t="shared" si="6"/>
        <v>0</v>
      </c>
      <c r="AK50" s="36">
        <f t="shared" si="7"/>
        <v>0</v>
      </c>
      <c r="AL50" s="36">
        <f t="shared" si="8"/>
        <v>0</v>
      </c>
      <c r="AM50" s="36">
        <f t="shared" si="9"/>
        <v>0</v>
      </c>
      <c r="AN50" s="38">
        <f t="shared" si="10"/>
        <v>0</v>
      </c>
      <c r="AO50" s="38"/>
      <c r="AP50" s="38">
        <v>26</v>
      </c>
      <c r="AQ50" s="39">
        <f t="shared" si="11"/>
        <v>0</v>
      </c>
    </row>
    <row r="51" ht="15.25" spans="1:43">
      <c r="A51" s="59" t="s">
        <v>606</v>
      </c>
      <c r="B51" s="63" t="s">
        <v>564</v>
      </c>
      <c r="C51" s="65" t="s">
        <v>395</v>
      </c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J51" s="36">
        <f t="shared" si="6"/>
        <v>0</v>
      </c>
      <c r="AK51" s="36">
        <f t="shared" si="7"/>
        <v>0</v>
      </c>
      <c r="AL51" s="36">
        <f t="shared" si="8"/>
        <v>0</v>
      </c>
      <c r="AM51" s="36">
        <f t="shared" si="9"/>
        <v>0</v>
      </c>
      <c r="AN51" s="38">
        <f t="shared" si="10"/>
        <v>0</v>
      </c>
      <c r="AO51" s="38"/>
      <c r="AP51" s="38">
        <v>26</v>
      </c>
      <c r="AQ51" s="39">
        <f t="shared" si="11"/>
        <v>0</v>
      </c>
    </row>
    <row r="52" ht="15.25" spans="1:43">
      <c r="A52" s="59" t="s">
        <v>607</v>
      </c>
      <c r="B52" s="63" t="s">
        <v>165</v>
      </c>
      <c r="C52" s="76" t="s">
        <v>271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 t="s">
        <v>12</v>
      </c>
      <c r="AC52" s="62"/>
      <c r="AD52" s="62"/>
      <c r="AE52" s="62"/>
      <c r="AF52" s="62"/>
      <c r="AG52" s="62"/>
      <c r="AH52" s="62"/>
      <c r="AJ52" s="36">
        <f t="shared" si="6"/>
        <v>0</v>
      </c>
      <c r="AK52" s="36">
        <f t="shared" si="7"/>
        <v>1</v>
      </c>
      <c r="AL52" s="36">
        <f t="shared" si="8"/>
        <v>0</v>
      </c>
      <c r="AM52" s="36">
        <f t="shared" si="9"/>
        <v>0</v>
      </c>
      <c r="AN52" s="38">
        <f t="shared" si="10"/>
        <v>1</v>
      </c>
      <c r="AO52" s="66" t="s">
        <v>382</v>
      </c>
      <c r="AP52" s="38">
        <v>26</v>
      </c>
      <c r="AQ52" s="39">
        <f t="shared" si="11"/>
        <v>0.0384615384615385</v>
      </c>
    </row>
    <row r="53" ht="15.25" spans="1:43">
      <c r="A53" s="59" t="s">
        <v>608</v>
      </c>
      <c r="B53" s="63" t="s">
        <v>16</v>
      </c>
      <c r="C53" s="76" t="s">
        <v>271</v>
      </c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 t="s">
        <v>11</v>
      </c>
      <c r="AH53" s="62"/>
      <c r="AJ53" s="36">
        <f t="shared" si="6"/>
        <v>1</v>
      </c>
      <c r="AK53" s="36">
        <f t="shared" si="7"/>
        <v>0</v>
      </c>
      <c r="AL53" s="36">
        <f t="shared" si="8"/>
        <v>0</v>
      </c>
      <c r="AM53" s="36">
        <f t="shared" si="9"/>
        <v>0</v>
      </c>
      <c r="AN53" s="38">
        <f t="shared" si="10"/>
        <v>1</v>
      </c>
      <c r="AO53" s="66" t="s">
        <v>467</v>
      </c>
      <c r="AP53" s="38">
        <v>26</v>
      </c>
      <c r="AQ53" s="39">
        <f t="shared" si="11"/>
        <v>0.0384615384615385</v>
      </c>
    </row>
    <row r="54" ht="15.25" spans="1:43">
      <c r="A54" s="59" t="s">
        <v>609</v>
      </c>
      <c r="B54" s="63" t="s">
        <v>165</v>
      </c>
      <c r="C54" s="76" t="s">
        <v>271</v>
      </c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J54" s="36">
        <f t="shared" si="6"/>
        <v>0</v>
      </c>
      <c r="AK54" s="36">
        <f t="shared" si="7"/>
        <v>0</v>
      </c>
      <c r="AL54" s="36">
        <f t="shared" si="8"/>
        <v>0</v>
      </c>
      <c r="AM54" s="36">
        <f t="shared" si="9"/>
        <v>0</v>
      </c>
      <c r="AN54" s="38">
        <f t="shared" si="10"/>
        <v>0</v>
      </c>
      <c r="AO54" s="38" t="s">
        <v>272</v>
      </c>
      <c r="AP54" s="38">
        <v>26</v>
      </c>
      <c r="AQ54" s="39">
        <f t="shared" si="11"/>
        <v>0</v>
      </c>
    </row>
    <row r="55" ht="15.25" spans="1:43">
      <c r="A55" s="59" t="s">
        <v>610</v>
      </c>
      <c r="B55" s="63" t="s">
        <v>16</v>
      </c>
      <c r="C55" s="76" t="s">
        <v>271</v>
      </c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 t="s">
        <v>11</v>
      </c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 t="s">
        <v>13</v>
      </c>
      <c r="AJ55" s="36">
        <f t="shared" si="6"/>
        <v>1</v>
      </c>
      <c r="AK55" s="36">
        <f t="shared" si="7"/>
        <v>0</v>
      </c>
      <c r="AL55" s="36">
        <f t="shared" si="8"/>
        <v>1</v>
      </c>
      <c r="AM55" s="36">
        <f t="shared" si="9"/>
        <v>0</v>
      </c>
      <c r="AN55" s="38">
        <f t="shared" si="10"/>
        <v>2</v>
      </c>
      <c r="AO55" s="66" t="s">
        <v>193</v>
      </c>
      <c r="AP55" s="38">
        <v>26</v>
      </c>
      <c r="AQ55" s="39">
        <f t="shared" si="11"/>
        <v>0.0769230769230769</v>
      </c>
    </row>
    <row r="56" ht="15.25" spans="1:43">
      <c r="A56" s="59" t="s">
        <v>611</v>
      </c>
      <c r="B56" s="63" t="s">
        <v>16</v>
      </c>
      <c r="C56" s="76" t="s">
        <v>344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J56" s="36">
        <f t="shared" si="6"/>
        <v>0</v>
      </c>
      <c r="AK56" s="36">
        <f t="shared" si="7"/>
        <v>0</v>
      </c>
      <c r="AL56" s="36">
        <f t="shared" si="8"/>
        <v>0</v>
      </c>
      <c r="AM56" s="36">
        <f t="shared" si="9"/>
        <v>0</v>
      </c>
      <c r="AN56" s="38">
        <f t="shared" si="10"/>
        <v>0</v>
      </c>
      <c r="AO56" s="66" t="s">
        <v>336</v>
      </c>
      <c r="AP56" s="38">
        <v>26</v>
      </c>
      <c r="AQ56" s="39">
        <f t="shared" si="11"/>
        <v>0</v>
      </c>
    </row>
    <row r="57" ht="15.25" spans="1:43">
      <c r="A57" s="59" t="s">
        <v>612</v>
      </c>
      <c r="B57" s="59" t="s">
        <v>165</v>
      </c>
      <c r="C57" s="76" t="s">
        <v>344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J57" s="36">
        <f t="shared" si="6"/>
        <v>0</v>
      </c>
      <c r="AK57" s="36">
        <f t="shared" si="7"/>
        <v>0</v>
      </c>
      <c r="AL57" s="36">
        <f t="shared" si="8"/>
        <v>0</v>
      </c>
      <c r="AM57" s="36">
        <f t="shared" si="9"/>
        <v>0</v>
      </c>
      <c r="AN57" s="38">
        <f t="shared" si="10"/>
        <v>0</v>
      </c>
      <c r="AO57" s="38" t="s">
        <v>25</v>
      </c>
      <c r="AP57" s="38">
        <v>26</v>
      </c>
      <c r="AQ57" s="39">
        <f t="shared" si="11"/>
        <v>0</v>
      </c>
    </row>
    <row r="58" ht="15.25" spans="1:43">
      <c r="A58" s="59" t="s">
        <v>613</v>
      </c>
      <c r="B58" s="63" t="s">
        <v>16</v>
      </c>
      <c r="C58" s="76" t="s">
        <v>344</v>
      </c>
      <c r="D58" s="62"/>
      <c r="E58" s="62"/>
      <c r="F58" s="62"/>
      <c r="G58" s="62"/>
      <c r="H58" s="62"/>
      <c r="I58" s="62"/>
      <c r="J58" s="62"/>
      <c r="K58" s="62"/>
      <c r="L58" s="62"/>
      <c r="M58" s="62" t="s">
        <v>11</v>
      </c>
      <c r="N58" s="62"/>
      <c r="O58" s="62"/>
      <c r="P58" s="62"/>
      <c r="Q58" s="62"/>
      <c r="R58" s="62"/>
      <c r="S58" s="62"/>
      <c r="T58" s="62" t="s">
        <v>12</v>
      </c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J58" s="36">
        <f t="shared" si="6"/>
        <v>1</v>
      </c>
      <c r="AK58" s="36">
        <f t="shared" si="7"/>
        <v>1</v>
      </c>
      <c r="AL58" s="36">
        <f t="shared" si="8"/>
        <v>0</v>
      </c>
      <c r="AM58" s="36">
        <f t="shared" si="9"/>
        <v>0</v>
      </c>
      <c r="AN58" s="38">
        <f t="shared" si="10"/>
        <v>2</v>
      </c>
      <c r="AO58" s="66" t="s">
        <v>193</v>
      </c>
      <c r="AP58" s="38">
        <v>26</v>
      </c>
      <c r="AQ58" s="39">
        <f t="shared" si="11"/>
        <v>0.0769230769230769</v>
      </c>
    </row>
    <row r="59" ht="15.25" spans="1:43">
      <c r="A59" s="59" t="s">
        <v>614</v>
      </c>
      <c r="B59" s="63" t="s">
        <v>16</v>
      </c>
      <c r="C59" s="76" t="s">
        <v>344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 t="s">
        <v>13</v>
      </c>
      <c r="AF59" s="62"/>
      <c r="AG59" s="62"/>
      <c r="AH59" s="62"/>
      <c r="AJ59" s="36">
        <f t="shared" si="6"/>
        <v>0</v>
      </c>
      <c r="AK59" s="36">
        <f t="shared" si="7"/>
        <v>0</v>
      </c>
      <c r="AL59" s="36">
        <f t="shared" si="8"/>
        <v>1</v>
      </c>
      <c r="AM59" s="36">
        <f t="shared" si="9"/>
        <v>0</v>
      </c>
      <c r="AN59" s="38">
        <f t="shared" si="10"/>
        <v>1</v>
      </c>
      <c r="AO59" s="70" t="s">
        <v>428</v>
      </c>
      <c r="AP59" s="38">
        <v>26</v>
      </c>
      <c r="AQ59" s="39">
        <f t="shared" si="11"/>
        <v>0.0384615384615385</v>
      </c>
    </row>
    <row r="60" ht="15.25" spans="1:43">
      <c r="A60" s="59" t="s">
        <v>615</v>
      </c>
      <c r="B60" s="63" t="s">
        <v>165</v>
      </c>
      <c r="C60" s="76" t="s">
        <v>344</v>
      </c>
      <c r="D60" s="62"/>
      <c r="E60" s="62"/>
      <c r="F60" s="62"/>
      <c r="G60" s="62"/>
      <c r="H60" s="62"/>
      <c r="I60" s="62"/>
      <c r="J60" s="62"/>
      <c r="K60" s="62"/>
      <c r="L60" s="62"/>
      <c r="M60" s="62" t="s">
        <v>11</v>
      </c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J60" s="36">
        <f t="shared" si="6"/>
        <v>1</v>
      </c>
      <c r="AK60" s="36">
        <f t="shared" si="7"/>
        <v>0</v>
      </c>
      <c r="AL60" s="36">
        <f t="shared" si="8"/>
        <v>0</v>
      </c>
      <c r="AM60" s="36">
        <f t="shared" si="9"/>
        <v>0</v>
      </c>
      <c r="AN60" s="38">
        <f t="shared" si="10"/>
        <v>1</v>
      </c>
      <c r="AO60" s="66" t="s">
        <v>429</v>
      </c>
      <c r="AP60" s="68">
        <v>26</v>
      </c>
      <c r="AQ60" s="39">
        <f t="shared" si="11"/>
        <v>0.0384615384615385</v>
      </c>
    </row>
    <row r="61" ht="15.25" spans="1:43">
      <c r="A61" s="59" t="s">
        <v>616</v>
      </c>
      <c r="B61" s="63" t="s">
        <v>564</v>
      </c>
      <c r="C61" s="76" t="s">
        <v>231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J61" s="36">
        <f t="shared" si="6"/>
        <v>0</v>
      </c>
      <c r="AK61" s="36">
        <f t="shared" si="7"/>
        <v>0</v>
      </c>
      <c r="AL61" s="36">
        <f t="shared" si="8"/>
        <v>0</v>
      </c>
      <c r="AM61" s="36">
        <f t="shared" si="9"/>
        <v>0</v>
      </c>
      <c r="AN61" s="38">
        <f t="shared" si="10"/>
        <v>0</v>
      </c>
      <c r="AO61" s="66" t="s">
        <v>430</v>
      </c>
      <c r="AP61" s="38">
        <v>26</v>
      </c>
      <c r="AQ61" s="39">
        <f t="shared" si="11"/>
        <v>0</v>
      </c>
    </row>
    <row r="62" ht="15.25" spans="1:43">
      <c r="A62" s="59" t="s">
        <v>617</v>
      </c>
      <c r="B62" s="63" t="s">
        <v>564</v>
      </c>
      <c r="C62" s="76" t="s">
        <v>231</v>
      </c>
      <c r="D62" s="62" t="s">
        <v>103</v>
      </c>
      <c r="E62" s="62"/>
      <c r="F62" s="62"/>
      <c r="G62" s="62"/>
      <c r="H62" s="62"/>
      <c r="I62" s="62"/>
      <c r="J62" s="62"/>
      <c r="K62" s="62"/>
      <c r="L62" s="62" t="s">
        <v>103</v>
      </c>
      <c r="M62" s="62"/>
      <c r="N62" s="62"/>
      <c r="O62" s="62"/>
      <c r="P62" s="62"/>
      <c r="Q62" s="62"/>
      <c r="R62" s="62" t="s">
        <v>103</v>
      </c>
      <c r="S62" s="62"/>
      <c r="T62" s="62"/>
      <c r="U62" s="62"/>
      <c r="V62" s="62"/>
      <c r="W62" s="62"/>
      <c r="X62" s="62"/>
      <c r="Y62" s="62"/>
      <c r="Z62" s="62"/>
      <c r="AA62" s="62"/>
      <c r="AB62" s="62" t="s">
        <v>12</v>
      </c>
      <c r="AC62" s="62" t="s">
        <v>12</v>
      </c>
      <c r="AD62" s="62"/>
      <c r="AE62" s="62"/>
      <c r="AF62" s="62"/>
      <c r="AG62" s="62"/>
      <c r="AH62" s="62"/>
      <c r="AJ62" s="36">
        <f t="shared" si="6"/>
        <v>0</v>
      </c>
      <c r="AK62" s="36">
        <f t="shared" si="7"/>
        <v>5</v>
      </c>
      <c r="AL62" s="36">
        <f t="shared" si="8"/>
        <v>0</v>
      </c>
      <c r="AM62" s="36">
        <f t="shared" si="9"/>
        <v>0</v>
      </c>
      <c r="AN62" s="38">
        <f t="shared" si="10"/>
        <v>5</v>
      </c>
      <c r="AO62" s="66" t="s">
        <v>193</v>
      </c>
      <c r="AP62" s="38">
        <v>26</v>
      </c>
      <c r="AQ62" s="39">
        <f t="shared" si="11"/>
        <v>0.192307692307692</v>
      </c>
    </row>
    <row r="63" ht="15.25" spans="1:43">
      <c r="A63" s="59" t="s">
        <v>618</v>
      </c>
      <c r="B63" s="63" t="s">
        <v>564</v>
      </c>
      <c r="C63" s="76" t="s">
        <v>231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J63" s="36">
        <f t="shared" si="6"/>
        <v>0</v>
      </c>
      <c r="AK63" s="36">
        <f t="shared" si="7"/>
        <v>0</v>
      </c>
      <c r="AL63" s="36">
        <f t="shared" si="8"/>
        <v>0</v>
      </c>
      <c r="AM63" s="36">
        <f t="shared" si="9"/>
        <v>0</v>
      </c>
      <c r="AN63" s="38">
        <f t="shared" si="10"/>
        <v>0</v>
      </c>
      <c r="AO63" s="66" t="s">
        <v>431</v>
      </c>
      <c r="AP63" s="38">
        <v>26</v>
      </c>
      <c r="AQ63" s="39">
        <f t="shared" si="11"/>
        <v>0</v>
      </c>
    </row>
    <row r="64" ht="15.25" spans="1:43">
      <c r="A64" s="59" t="s">
        <v>619</v>
      </c>
      <c r="B64" s="63" t="s">
        <v>564</v>
      </c>
      <c r="C64" s="76" t="s">
        <v>231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 t="s">
        <v>11</v>
      </c>
      <c r="U64" s="62"/>
      <c r="V64" s="62"/>
      <c r="W64" s="62"/>
      <c r="X64" s="62"/>
      <c r="Y64" s="62"/>
      <c r="Z64" s="62"/>
      <c r="AA64" s="62"/>
      <c r="AB64" s="62" t="s">
        <v>11</v>
      </c>
      <c r="AC64" s="62"/>
      <c r="AD64" s="62"/>
      <c r="AE64" s="62"/>
      <c r="AF64" s="62"/>
      <c r="AG64" s="62"/>
      <c r="AH64" s="62"/>
      <c r="AJ64" s="36">
        <f t="shared" si="6"/>
        <v>2</v>
      </c>
      <c r="AK64" s="36">
        <f t="shared" si="7"/>
        <v>0</v>
      </c>
      <c r="AL64" s="36">
        <f t="shared" si="8"/>
        <v>0</v>
      </c>
      <c r="AM64" s="36">
        <f t="shared" si="9"/>
        <v>0</v>
      </c>
      <c r="AN64" s="38">
        <f t="shared" si="10"/>
        <v>2</v>
      </c>
      <c r="AO64" s="75" t="s">
        <v>388</v>
      </c>
      <c r="AP64" s="38">
        <v>26</v>
      </c>
      <c r="AQ64" s="39">
        <f t="shared" si="11"/>
        <v>0.0769230769230769</v>
      </c>
    </row>
    <row r="65" ht="15.25" spans="1:43">
      <c r="A65" s="59" t="s">
        <v>620</v>
      </c>
      <c r="B65" s="63" t="s">
        <v>564</v>
      </c>
      <c r="C65" s="76" t="s">
        <v>231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 t="s">
        <v>11</v>
      </c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J65" s="36">
        <f t="shared" si="6"/>
        <v>1</v>
      </c>
      <c r="AK65" s="36">
        <f t="shared" si="7"/>
        <v>0</v>
      </c>
      <c r="AL65" s="36">
        <f t="shared" si="8"/>
        <v>0</v>
      </c>
      <c r="AM65" s="36">
        <f t="shared" si="9"/>
        <v>0</v>
      </c>
      <c r="AN65" s="38">
        <f t="shared" si="10"/>
        <v>1</v>
      </c>
      <c r="AO65" s="81" t="s">
        <v>193</v>
      </c>
      <c r="AP65" s="38">
        <v>26</v>
      </c>
      <c r="AQ65" s="39">
        <f t="shared" si="11"/>
        <v>0.0384615384615385</v>
      </c>
    </row>
    <row r="66" ht="15.25" spans="1:43">
      <c r="A66" s="59" t="s">
        <v>621</v>
      </c>
      <c r="B66" s="63" t="s">
        <v>622</v>
      </c>
      <c r="C66" s="76" t="s">
        <v>217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J66" s="36">
        <f t="shared" si="6"/>
        <v>0</v>
      </c>
      <c r="AK66" s="36">
        <f t="shared" si="7"/>
        <v>0</v>
      </c>
      <c r="AL66" s="36">
        <f t="shared" si="8"/>
        <v>0</v>
      </c>
      <c r="AM66" s="36">
        <f t="shared" si="9"/>
        <v>0</v>
      </c>
      <c r="AN66" s="38">
        <f t="shared" si="10"/>
        <v>0</v>
      </c>
      <c r="AO66" s="66" t="s">
        <v>193</v>
      </c>
      <c r="AP66" s="38">
        <v>26</v>
      </c>
      <c r="AQ66" s="39">
        <f t="shared" si="11"/>
        <v>0</v>
      </c>
    </row>
    <row r="67" ht="15.25" spans="1:43">
      <c r="A67" s="59" t="s">
        <v>623</v>
      </c>
      <c r="B67" s="63" t="s">
        <v>622</v>
      </c>
      <c r="C67" s="65" t="s">
        <v>624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J67" s="36">
        <f t="shared" si="6"/>
        <v>0</v>
      </c>
      <c r="AK67" s="36">
        <f t="shared" si="7"/>
        <v>0</v>
      </c>
      <c r="AL67" s="36">
        <f t="shared" si="8"/>
        <v>0</v>
      </c>
      <c r="AM67" s="36">
        <f t="shared" si="9"/>
        <v>0</v>
      </c>
      <c r="AN67" s="38">
        <f t="shared" si="10"/>
        <v>0</v>
      </c>
      <c r="AO67" s="66" t="s">
        <v>433</v>
      </c>
      <c r="AP67" s="38">
        <v>26</v>
      </c>
      <c r="AQ67" s="39">
        <f t="shared" si="11"/>
        <v>0</v>
      </c>
    </row>
    <row r="68" ht="15.25" spans="1:43">
      <c r="A68" s="59" t="s">
        <v>625</v>
      </c>
      <c r="B68" s="63" t="s">
        <v>622</v>
      </c>
      <c r="C68" s="76" t="s">
        <v>271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J68" s="36">
        <f t="shared" si="6"/>
        <v>0</v>
      </c>
      <c r="AK68" s="36">
        <f t="shared" si="7"/>
        <v>0</v>
      </c>
      <c r="AL68" s="36">
        <f t="shared" si="8"/>
        <v>0</v>
      </c>
      <c r="AM68" s="36">
        <f t="shared" si="9"/>
        <v>0</v>
      </c>
      <c r="AN68" s="38">
        <f t="shared" si="10"/>
        <v>0</v>
      </c>
      <c r="AO68" s="67"/>
      <c r="AP68" s="38">
        <v>26</v>
      </c>
      <c r="AQ68" s="39">
        <f t="shared" si="11"/>
        <v>0</v>
      </c>
    </row>
    <row r="69" ht="15.25" spans="1:43">
      <c r="A69" s="59" t="s">
        <v>626</v>
      </c>
      <c r="B69" s="63" t="s">
        <v>16</v>
      </c>
      <c r="C69" s="76" t="s">
        <v>196</v>
      </c>
      <c r="D69" s="62"/>
      <c r="E69" s="62"/>
      <c r="F69" s="62" t="s">
        <v>11</v>
      </c>
      <c r="G69" s="62"/>
      <c r="H69" s="62"/>
      <c r="I69" s="62"/>
      <c r="J69" s="62"/>
      <c r="K69" s="62"/>
      <c r="L69" s="62" t="s">
        <v>13</v>
      </c>
      <c r="M69" s="62"/>
      <c r="N69" s="62"/>
      <c r="O69" s="62"/>
      <c r="P69" s="62"/>
      <c r="Q69" s="62"/>
      <c r="R69" s="62"/>
      <c r="S69" s="62"/>
      <c r="T69" s="62"/>
      <c r="U69" s="62"/>
      <c r="V69" s="62" t="s">
        <v>11</v>
      </c>
      <c r="W69" s="62"/>
      <c r="X69" s="62"/>
      <c r="Y69" s="62"/>
      <c r="Z69" s="62"/>
      <c r="AA69" s="62"/>
      <c r="AB69" s="62"/>
      <c r="AC69" s="62"/>
      <c r="AD69" s="62" t="s">
        <v>11</v>
      </c>
      <c r="AE69" s="62"/>
      <c r="AF69" s="62"/>
      <c r="AG69" s="62"/>
      <c r="AH69" s="62"/>
      <c r="AJ69" s="36">
        <f t="shared" si="6"/>
        <v>3</v>
      </c>
      <c r="AK69" s="36">
        <f t="shared" si="7"/>
        <v>0</v>
      </c>
      <c r="AL69" s="36">
        <f t="shared" si="8"/>
        <v>1</v>
      </c>
      <c r="AM69" s="36">
        <f t="shared" si="9"/>
        <v>0</v>
      </c>
      <c r="AN69" s="38">
        <f t="shared" si="10"/>
        <v>4</v>
      </c>
      <c r="AO69" s="66" t="s">
        <v>434</v>
      </c>
      <c r="AP69" s="68">
        <v>26</v>
      </c>
      <c r="AQ69" s="39">
        <f t="shared" si="11"/>
        <v>0.153846153846154</v>
      </c>
    </row>
    <row r="70" ht="15.25" spans="1:43">
      <c r="A70" s="59" t="s">
        <v>627</v>
      </c>
      <c r="B70" s="63" t="s">
        <v>622</v>
      </c>
      <c r="C70" s="76" t="s">
        <v>271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J70" s="36">
        <f t="shared" si="6"/>
        <v>0</v>
      </c>
      <c r="AK70" s="36">
        <f t="shared" si="7"/>
        <v>0</v>
      </c>
      <c r="AL70" s="36">
        <f t="shared" si="8"/>
        <v>0</v>
      </c>
      <c r="AM70" s="36">
        <f t="shared" si="9"/>
        <v>0</v>
      </c>
      <c r="AN70" s="38">
        <f t="shared" si="10"/>
        <v>0</v>
      </c>
      <c r="AO70" s="66" t="s">
        <v>382</v>
      </c>
      <c r="AP70" s="38">
        <v>26</v>
      </c>
      <c r="AQ70" s="39">
        <f t="shared" si="11"/>
        <v>0</v>
      </c>
    </row>
    <row r="71" ht="15.25" spans="1:43">
      <c r="A71" s="59" t="s">
        <v>628</v>
      </c>
      <c r="B71" s="63" t="s">
        <v>622</v>
      </c>
      <c r="C71" s="76" t="s">
        <v>624</v>
      </c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J71" s="36">
        <f t="shared" si="6"/>
        <v>0</v>
      </c>
      <c r="AK71" s="36">
        <f t="shared" si="7"/>
        <v>0</v>
      </c>
      <c r="AL71" s="36">
        <f t="shared" si="8"/>
        <v>0</v>
      </c>
      <c r="AM71" s="36">
        <f t="shared" si="9"/>
        <v>0</v>
      </c>
      <c r="AN71" s="38">
        <f t="shared" si="10"/>
        <v>0</v>
      </c>
      <c r="AO71" s="66" t="s">
        <v>389</v>
      </c>
      <c r="AP71" s="38">
        <v>26</v>
      </c>
      <c r="AQ71" s="39">
        <f t="shared" si="11"/>
        <v>0</v>
      </c>
    </row>
    <row r="72" ht="15.25" spans="1:43">
      <c r="A72" s="59" t="s">
        <v>629</v>
      </c>
      <c r="B72" s="63" t="s">
        <v>59</v>
      </c>
      <c r="C72" s="76" t="s">
        <v>236</v>
      </c>
      <c r="D72" s="62" t="s">
        <v>11</v>
      </c>
      <c r="E72" s="62"/>
      <c r="F72" s="62"/>
      <c r="G72" s="62"/>
      <c r="H72" s="62"/>
      <c r="I72" s="62"/>
      <c r="J72" s="62"/>
      <c r="K72" s="62" t="s">
        <v>11</v>
      </c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 t="s">
        <v>11</v>
      </c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J72" s="36">
        <f t="shared" si="6"/>
        <v>3</v>
      </c>
      <c r="AK72" s="36">
        <f t="shared" si="7"/>
        <v>0</v>
      </c>
      <c r="AL72" s="36">
        <f t="shared" si="8"/>
        <v>0</v>
      </c>
      <c r="AM72" s="36">
        <f t="shared" si="9"/>
        <v>0</v>
      </c>
      <c r="AN72" s="38">
        <f t="shared" si="10"/>
        <v>3</v>
      </c>
      <c r="AO72" s="38" t="s">
        <v>390</v>
      </c>
      <c r="AP72" s="38">
        <v>26</v>
      </c>
      <c r="AQ72" s="39">
        <f t="shared" si="11"/>
        <v>0.115384615384615</v>
      </c>
    </row>
    <row r="73" ht="15.25" spans="1:43">
      <c r="A73" s="59" t="s">
        <v>630</v>
      </c>
      <c r="B73" s="63" t="s">
        <v>16</v>
      </c>
      <c r="C73" s="76" t="s">
        <v>236</v>
      </c>
      <c r="D73" s="62"/>
      <c r="E73" s="62"/>
      <c r="F73" s="62"/>
      <c r="G73" s="62"/>
      <c r="H73" s="62"/>
      <c r="I73" s="62" t="s">
        <v>11</v>
      </c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 t="s">
        <v>11</v>
      </c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J73" s="36">
        <f t="shared" si="6"/>
        <v>2</v>
      </c>
      <c r="AK73" s="36">
        <f t="shared" si="7"/>
        <v>0</v>
      </c>
      <c r="AL73" s="36">
        <f t="shared" si="8"/>
        <v>0</v>
      </c>
      <c r="AM73" s="36">
        <f t="shared" si="9"/>
        <v>0</v>
      </c>
      <c r="AN73" s="38">
        <f t="shared" si="10"/>
        <v>2</v>
      </c>
      <c r="AO73" s="38" t="s">
        <v>228</v>
      </c>
      <c r="AP73" s="38">
        <v>26</v>
      </c>
      <c r="AQ73" s="39">
        <f t="shared" si="11"/>
        <v>0.0769230769230769</v>
      </c>
    </row>
    <row r="74" ht="15.25" spans="1:43">
      <c r="A74" s="59" t="s">
        <v>631</v>
      </c>
      <c r="B74" s="63" t="s">
        <v>16</v>
      </c>
      <c r="C74" s="76" t="s">
        <v>236</v>
      </c>
      <c r="D74" s="62" t="s">
        <v>11</v>
      </c>
      <c r="E74" s="62"/>
      <c r="F74" s="62"/>
      <c r="G74" s="62"/>
      <c r="H74" s="62"/>
      <c r="I74" s="62" t="s">
        <v>13</v>
      </c>
      <c r="J74" s="62"/>
      <c r="K74" s="62"/>
      <c r="L74" s="62"/>
      <c r="M74" s="62" t="s">
        <v>11</v>
      </c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 t="s">
        <v>11</v>
      </c>
      <c r="AF74" s="62"/>
      <c r="AG74" s="62"/>
      <c r="AH74" s="62" t="s">
        <v>13</v>
      </c>
      <c r="AJ74" s="36">
        <f t="shared" si="6"/>
        <v>3</v>
      </c>
      <c r="AK74" s="36">
        <f t="shared" si="7"/>
        <v>0</v>
      </c>
      <c r="AL74" s="36">
        <f t="shared" si="8"/>
        <v>2</v>
      </c>
      <c r="AM74" s="36">
        <f t="shared" si="9"/>
        <v>0</v>
      </c>
      <c r="AN74" s="38">
        <f t="shared" si="10"/>
        <v>5</v>
      </c>
      <c r="AO74" s="70" t="s">
        <v>470</v>
      </c>
      <c r="AP74" s="38">
        <v>26</v>
      </c>
      <c r="AQ74" s="39">
        <f t="shared" si="11"/>
        <v>0.192307692307692</v>
      </c>
    </row>
    <row r="75" ht="15.25" spans="1:43">
      <c r="A75" s="59" t="s">
        <v>632</v>
      </c>
      <c r="B75" s="63" t="s">
        <v>16</v>
      </c>
      <c r="C75" s="76" t="s">
        <v>236</v>
      </c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J75" s="36">
        <f t="shared" si="6"/>
        <v>0</v>
      </c>
      <c r="AK75" s="36">
        <f t="shared" si="7"/>
        <v>0</v>
      </c>
      <c r="AL75" s="36">
        <f t="shared" si="8"/>
        <v>0</v>
      </c>
      <c r="AM75" s="36">
        <f t="shared" si="9"/>
        <v>0</v>
      </c>
      <c r="AN75" s="38">
        <f t="shared" si="10"/>
        <v>0</v>
      </c>
      <c r="AO75" s="38" t="s">
        <v>171</v>
      </c>
      <c r="AP75" s="38">
        <v>26</v>
      </c>
      <c r="AQ75" s="39">
        <f t="shared" si="11"/>
        <v>0</v>
      </c>
    </row>
    <row r="76" ht="15.25" spans="1:43">
      <c r="A76" s="59" t="s">
        <v>633</v>
      </c>
      <c r="B76" s="63" t="s">
        <v>165</v>
      </c>
      <c r="C76" s="76" t="s">
        <v>242</v>
      </c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J76" s="36">
        <f t="shared" si="6"/>
        <v>0</v>
      </c>
      <c r="AK76" s="36">
        <f t="shared" si="7"/>
        <v>0</v>
      </c>
      <c r="AL76" s="36">
        <f t="shared" si="8"/>
        <v>0</v>
      </c>
      <c r="AM76" s="36">
        <f t="shared" si="9"/>
        <v>0</v>
      </c>
      <c r="AN76" s="38">
        <f t="shared" si="10"/>
        <v>0</v>
      </c>
      <c r="AO76" s="38" t="s">
        <v>228</v>
      </c>
      <c r="AP76" s="38">
        <v>26</v>
      </c>
      <c r="AQ76" s="39">
        <f t="shared" si="11"/>
        <v>0</v>
      </c>
    </row>
    <row r="77" ht="15.25" spans="1:43">
      <c r="A77" s="59" t="s">
        <v>634</v>
      </c>
      <c r="B77" s="63" t="s">
        <v>165</v>
      </c>
      <c r="C77" s="76" t="s">
        <v>242</v>
      </c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J77" s="36">
        <f t="shared" si="6"/>
        <v>0</v>
      </c>
      <c r="AK77" s="36">
        <f t="shared" si="7"/>
        <v>0</v>
      </c>
      <c r="AL77" s="36">
        <f t="shared" si="8"/>
        <v>0</v>
      </c>
      <c r="AM77" s="36">
        <f t="shared" si="9"/>
        <v>0</v>
      </c>
      <c r="AN77" s="38">
        <f t="shared" si="10"/>
        <v>0</v>
      </c>
      <c r="AO77" s="38"/>
      <c r="AP77" s="38">
        <v>26</v>
      </c>
      <c r="AQ77" s="39">
        <f t="shared" si="11"/>
        <v>0</v>
      </c>
    </row>
    <row r="78" ht="15.25" spans="1:43">
      <c r="A78" s="59" t="s">
        <v>635</v>
      </c>
      <c r="B78" s="63" t="s">
        <v>16</v>
      </c>
      <c r="C78" s="76" t="s">
        <v>242</v>
      </c>
      <c r="D78" s="62" t="s">
        <v>11</v>
      </c>
      <c r="E78" s="62" t="s">
        <v>11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 t="s">
        <v>11</v>
      </c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 t="s">
        <v>11</v>
      </c>
      <c r="AD78" s="62" t="s">
        <v>11</v>
      </c>
      <c r="AE78" s="62"/>
      <c r="AF78" s="62"/>
      <c r="AG78" s="62"/>
      <c r="AH78" s="62"/>
      <c r="AJ78" s="36">
        <f t="shared" si="6"/>
        <v>5</v>
      </c>
      <c r="AK78" s="36">
        <f t="shared" si="7"/>
        <v>0</v>
      </c>
      <c r="AL78" s="36">
        <f t="shared" si="8"/>
        <v>0</v>
      </c>
      <c r="AM78" s="36">
        <f t="shared" si="9"/>
        <v>0</v>
      </c>
      <c r="AN78" s="38">
        <f t="shared" si="10"/>
        <v>5</v>
      </c>
      <c r="AO78" s="67" t="s">
        <v>475</v>
      </c>
      <c r="AP78" s="38">
        <v>26</v>
      </c>
      <c r="AQ78" s="39">
        <f t="shared" si="11"/>
        <v>0.192307692307692</v>
      </c>
    </row>
    <row r="79" ht="15.25" spans="1:43">
      <c r="A79" s="59" t="s">
        <v>636</v>
      </c>
      <c r="B79" s="63" t="s">
        <v>16</v>
      </c>
      <c r="C79" s="76" t="s">
        <v>242</v>
      </c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 t="s">
        <v>11</v>
      </c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J79" s="36">
        <f t="shared" si="6"/>
        <v>1</v>
      </c>
      <c r="AK79" s="36">
        <f t="shared" si="7"/>
        <v>0</v>
      </c>
      <c r="AL79" s="36">
        <f t="shared" si="8"/>
        <v>0</v>
      </c>
      <c r="AM79" s="36">
        <f t="shared" si="9"/>
        <v>0</v>
      </c>
      <c r="AN79" s="38">
        <f t="shared" si="10"/>
        <v>1</v>
      </c>
      <c r="AO79" s="66" t="s">
        <v>391</v>
      </c>
      <c r="AP79" s="68">
        <v>26</v>
      </c>
      <c r="AQ79" s="39">
        <f t="shared" si="11"/>
        <v>0.0384615384615385</v>
      </c>
    </row>
    <row r="80" ht="15.25" spans="1:43">
      <c r="A80" s="59" t="s">
        <v>637</v>
      </c>
      <c r="B80" s="63" t="s">
        <v>16</v>
      </c>
      <c r="C80" s="76" t="s">
        <v>242</v>
      </c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 t="s">
        <v>11</v>
      </c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 t="s">
        <v>13</v>
      </c>
      <c r="AJ80" s="36">
        <f t="shared" si="6"/>
        <v>1</v>
      </c>
      <c r="AK80" s="36">
        <f t="shared" si="7"/>
        <v>0</v>
      </c>
      <c r="AL80" s="36">
        <f t="shared" si="8"/>
        <v>1</v>
      </c>
      <c r="AM80" s="36">
        <f t="shared" si="9"/>
        <v>0</v>
      </c>
      <c r="AN80" s="38">
        <f t="shared" si="10"/>
        <v>2</v>
      </c>
      <c r="AO80" s="66" t="s">
        <v>382</v>
      </c>
      <c r="AP80" s="38">
        <v>26</v>
      </c>
      <c r="AQ80" s="39">
        <f t="shared" si="11"/>
        <v>0.0769230769230769</v>
      </c>
    </row>
    <row r="81" ht="15.25" spans="1:43">
      <c r="A81" s="59" t="s">
        <v>638</v>
      </c>
      <c r="B81" s="63" t="s">
        <v>16</v>
      </c>
      <c r="C81" s="76" t="s">
        <v>242</v>
      </c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 t="s">
        <v>12</v>
      </c>
      <c r="AC81" s="62"/>
      <c r="AD81" s="62"/>
      <c r="AE81" s="62"/>
      <c r="AF81" s="62"/>
      <c r="AG81" s="62"/>
      <c r="AH81" s="62"/>
      <c r="AJ81" s="36">
        <f t="shared" si="6"/>
        <v>0</v>
      </c>
      <c r="AK81" s="36">
        <f t="shared" si="7"/>
        <v>1</v>
      </c>
      <c r="AL81" s="36">
        <f t="shared" si="8"/>
        <v>0</v>
      </c>
      <c r="AM81" s="36">
        <f t="shared" si="9"/>
        <v>0</v>
      </c>
      <c r="AN81" s="38">
        <f t="shared" si="10"/>
        <v>1</v>
      </c>
      <c r="AO81" s="38" t="s">
        <v>278</v>
      </c>
      <c r="AP81" s="38">
        <v>26</v>
      </c>
      <c r="AQ81" s="39">
        <f t="shared" si="11"/>
        <v>0.0384615384615385</v>
      </c>
    </row>
    <row r="82" ht="15.25" spans="1:43">
      <c r="A82" s="59" t="s">
        <v>639</v>
      </c>
      <c r="B82" s="63" t="s">
        <v>16</v>
      </c>
      <c r="C82" s="76" t="s">
        <v>242</v>
      </c>
      <c r="D82" s="62" t="s">
        <v>11</v>
      </c>
      <c r="E82" s="62" t="s">
        <v>11</v>
      </c>
      <c r="F82" s="62"/>
      <c r="G82" s="62"/>
      <c r="H82" s="62"/>
      <c r="I82" s="62"/>
      <c r="J82" s="62"/>
      <c r="K82" s="62"/>
      <c r="L82" s="62"/>
      <c r="M82" s="62"/>
      <c r="N82" s="62" t="s">
        <v>11</v>
      </c>
      <c r="O82" s="62"/>
      <c r="P82" s="62"/>
      <c r="Q82" s="62"/>
      <c r="R82" s="62"/>
      <c r="S82" s="62"/>
      <c r="T82" s="62"/>
      <c r="U82" s="62"/>
      <c r="V82" s="62"/>
      <c r="W82" s="62" t="s">
        <v>11</v>
      </c>
      <c r="X82" s="62"/>
      <c r="Y82" s="62"/>
      <c r="Z82" s="62"/>
      <c r="AA82" s="62"/>
      <c r="AB82" s="62" t="s">
        <v>11</v>
      </c>
      <c r="AC82" s="62"/>
      <c r="AD82" s="62"/>
      <c r="AE82" s="62"/>
      <c r="AF82" s="62"/>
      <c r="AG82" s="62"/>
      <c r="AH82" s="62"/>
      <c r="AJ82" s="36">
        <f t="shared" si="6"/>
        <v>5</v>
      </c>
      <c r="AK82" s="36">
        <f t="shared" si="7"/>
        <v>0</v>
      </c>
      <c r="AL82" s="36">
        <f t="shared" si="8"/>
        <v>0</v>
      </c>
      <c r="AM82" s="36">
        <f t="shared" si="9"/>
        <v>0</v>
      </c>
      <c r="AN82" s="38">
        <f t="shared" si="10"/>
        <v>5</v>
      </c>
      <c r="AO82" s="69" t="s">
        <v>275</v>
      </c>
      <c r="AP82" s="38">
        <v>26</v>
      </c>
      <c r="AQ82" s="39">
        <f t="shared" si="11"/>
        <v>0.192307692307692</v>
      </c>
    </row>
    <row r="83" ht="15.25" spans="1:43">
      <c r="A83" s="59" t="s">
        <v>640</v>
      </c>
      <c r="B83" s="63" t="s">
        <v>16</v>
      </c>
      <c r="C83" s="59" t="s">
        <v>242</v>
      </c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J83" s="36">
        <f t="shared" si="6"/>
        <v>0</v>
      </c>
      <c r="AK83" s="36">
        <f t="shared" si="7"/>
        <v>0</v>
      </c>
      <c r="AL83" s="36">
        <f t="shared" si="8"/>
        <v>0</v>
      </c>
      <c r="AM83" s="36">
        <f t="shared" si="9"/>
        <v>0</v>
      </c>
      <c r="AN83" s="38">
        <f t="shared" si="10"/>
        <v>0</v>
      </c>
      <c r="AO83" s="66" t="s">
        <v>336</v>
      </c>
      <c r="AP83" s="38">
        <v>26</v>
      </c>
      <c r="AQ83" s="39">
        <f t="shared" si="11"/>
        <v>0</v>
      </c>
    </row>
    <row r="84" ht="15.25" spans="1:43">
      <c r="A84" s="59" t="s">
        <v>641</v>
      </c>
      <c r="B84" s="63" t="s">
        <v>16</v>
      </c>
      <c r="C84" s="59" t="s">
        <v>242</v>
      </c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J84" s="36">
        <f t="shared" si="6"/>
        <v>0</v>
      </c>
      <c r="AK84" s="36">
        <f t="shared" si="7"/>
        <v>0</v>
      </c>
      <c r="AL84" s="36">
        <f t="shared" si="8"/>
        <v>0</v>
      </c>
      <c r="AM84" s="36">
        <f t="shared" si="9"/>
        <v>0</v>
      </c>
      <c r="AN84" s="38">
        <f t="shared" si="10"/>
        <v>0</v>
      </c>
      <c r="AO84" s="38" t="s">
        <v>216</v>
      </c>
      <c r="AP84" s="38">
        <v>26</v>
      </c>
      <c r="AQ84" s="39">
        <f t="shared" si="11"/>
        <v>0</v>
      </c>
    </row>
    <row r="85" ht="15.25" spans="1:43">
      <c r="A85" s="59" t="s">
        <v>642</v>
      </c>
      <c r="B85" s="63" t="s">
        <v>59</v>
      </c>
      <c r="C85" s="59" t="s">
        <v>242</v>
      </c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J85" s="36">
        <f t="shared" si="6"/>
        <v>0</v>
      </c>
      <c r="AK85" s="36">
        <f t="shared" si="7"/>
        <v>0</v>
      </c>
      <c r="AL85" s="36">
        <f t="shared" si="8"/>
        <v>0</v>
      </c>
      <c r="AM85" s="36">
        <f t="shared" si="9"/>
        <v>0</v>
      </c>
      <c r="AN85" s="38">
        <f t="shared" si="10"/>
        <v>0</v>
      </c>
      <c r="AO85" s="38"/>
      <c r="AP85" s="38">
        <v>26</v>
      </c>
      <c r="AQ85" s="39">
        <f t="shared" si="11"/>
        <v>0</v>
      </c>
    </row>
    <row r="86" ht="15.25" spans="1:43">
      <c r="A86" s="59" t="s">
        <v>643</v>
      </c>
      <c r="B86" s="63" t="s">
        <v>165</v>
      </c>
      <c r="C86" s="59" t="s">
        <v>242</v>
      </c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J86" s="36">
        <f t="shared" si="6"/>
        <v>0</v>
      </c>
      <c r="AK86" s="36">
        <f t="shared" si="7"/>
        <v>0</v>
      </c>
      <c r="AL86" s="36">
        <f t="shared" si="8"/>
        <v>0</v>
      </c>
      <c r="AM86" s="36">
        <f t="shared" si="9"/>
        <v>0</v>
      </c>
      <c r="AN86" s="38">
        <f t="shared" si="10"/>
        <v>0</v>
      </c>
      <c r="AO86" s="38" t="s">
        <v>25</v>
      </c>
      <c r="AP86" s="38">
        <v>26</v>
      </c>
      <c r="AQ86" s="39">
        <f t="shared" si="11"/>
        <v>0</v>
      </c>
    </row>
    <row r="87" ht="15.25" spans="1:43">
      <c r="A87" s="59" t="s">
        <v>644</v>
      </c>
      <c r="B87" s="63" t="s">
        <v>165</v>
      </c>
      <c r="C87" s="59" t="s">
        <v>153</v>
      </c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J87" s="36">
        <f t="shared" si="6"/>
        <v>0</v>
      </c>
      <c r="AK87" s="36">
        <f t="shared" si="7"/>
        <v>0</v>
      </c>
      <c r="AL87" s="36">
        <f t="shared" si="8"/>
        <v>0</v>
      </c>
      <c r="AM87" s="36">
        <f t="shared" si="9"/>
        <v>0</v>
      </c>
      <c r="AN87" s="38">
        <f t="shared" si="10"/>
        <v>0</v>
      </c>
      <c r="AO87" s="81" t="s">
        <v>120</v>
      </c>
      <c r="AP87" s="38">
        <v>26</v>
      </c>
      <c r="AQ87" s="39">
        <f t="shared" si="11"/>
        <v>0</v>
      </c>
    </row>
    <row r="88" ht="15.25" spans="1:43">
      <c r="A88" s="59" t="s">
        <v>645</v>
      </c>
      <c r="B88" s="63" t="s">
        <v>16</v>
      </c>
      <c r="C88" s="59" t="s">
        <v>153</v>
      </c>
      <c r="D88" s="62"/>
      <c r="E88" s="62"/>
      <c r="F88" s="62"/>
      <c r="G88" s="62"/>
      <c r="H88" s="62"/>
      <c r="I88" s="62"/>
      <c r="J88" s="62"/>
      <c r="K88" s="62"/>
      <c r="L88" s="62" t="s">
        <v>11</v>
      </c>
      <c r="M88" s="62"/>
      <c r="N88" s="62" t="s">
        <v>13</v>
      </c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 t="s">
        <v>11</v>
      </c>
      <c r="AD88" s="62"/>
      <c r="AE88" s="62"/>
      <c r="AF88" s="62"/>
      <c r="AG88" s="62"/>
      <c r="AH88" s="62"/>
      <c r="AJ88" s="36">
        <f t="shared" si="6"/>
        <v>2</v>
      </c>
      <c r="AK88" s="36">
        <f t="shared" si="7"/>
        <v>0</v>
      </c>
      <c r="AL88" s="36">
        <f t="shared" si="8"/>
        <v>1</v>
      </c>
      <c r="AM88" s="36">
        <f t="shared" si="9"/>
        <v>0</v>
      </c>
      <c r="AN88" s="38">
        <f t="shared" si="10"/>
        <v>3</v>
      </c>
      <c r="AO88" s="66" t="s">
        <v>382</v>
      </c>
      <c r="AP88" s="38">
        <v>27</v>
      </c>
      <c r="AQ88" s="39">
        <f t="shared" si="11"/>
        <v>0.111111111111111</v>
      </c>
    </row>
    <row r="89" ht="15.25" spans="1:43">
      <c r="A89" s="59" t="s">
        <v>646</v>
      </c>
      <c r="B89" s="63" t="s">
        <v>16</v>
      </c>
      <c r="C89" s="59" t="s">
        <v>153</v>
      </c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J89" s="36">
        <f t="shared" si="6"/>
        <v>0</v>
      </c>
      <c r="AK89" s="36">
        <f t="shared" si="7"/>
        <v>0</v>
      </c>
      <c r="AL89" s="36">
        <f t="shared" si="8"/>
        <v>0</v>
      </c>
      <c r="AM89" s="36">
        <f t="shared" si="9"/>
        <v>0</v>
      </c>
      <c r="AN89" s="38">
        <f t="shared" si="10"/>
        <v>0</v>
      </c>
      <c r="AO89" s="66" t="s">
        <v>336</v>
      </c>
      <c r="AP89" s="38">
        <v>28</v>
      </c>
      <c r="AQ89" s="39">
        <f t="shared" si="11"/>
        <v>0</v>
      </c>
    </row>
    <row r="90" ht="15.25" spans="1:43">
      <c r="A90" s="59" t="s">
        <v>647</v>
      </c>
      <c r="B90" s="63" t="s">
        <v>165</v>
      </c>
      <c r="C90" s="59" t="s">
        <v>267</v>
      </c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J90" s="36">
        <f t="shared" si="6"/>
        <v>0</v>
      </c>
      <c r="AK90" s="36">
        <f t="shared" si="7"/>
        <v>0</v>
      </c>
      <c r="AL90" s="36">
        <f t="shared" si="8"/>
        <v>0</v>
      </c>
      <c r="AM90" s="36">
        <f t="shared" si="9"/>
        <v>0</v>
      </c>
      <c r="AN90" s="38">
        <f t="shared" si="10"/>
        <v>0</v>
      </c>
      <c r="AO90" s="66" t="s">
        <v>382</v>
      </c>
      <c r="AP90" s="38">
        <v>29</v>
      </c>
      <c r="AQ90" s="39">
        <f t="shared" si="11"/>
        <v>0</v>
      </c>
    </row>
    <row r="91" ht="15.25" spans="1:43">
      <c r="A91" s="59" t="s">
        <v>648</v>
      </c>
      <c r="B91" s="63" t="s">
        <v>165</v>
      </c>
      <c r="C91" s="59" t="s">
        <v>267</v>
      </c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J91" s="36">
        <f t="shared" si="6"/>
        <v>0</v>
      </c>
      <c r="AK91" s="36">
        <f t="shared" si="7"/>
        <v>0</v>
      </c>
      <c r="AL91" s="36">
        <f t="shared" si="8"/>
        <v>0</v>
      </c>
      <c r="AM91" s="36">
        <f t="shared" si="9"/>
        <v>0</v>
      </c>
      <c r="AN91" s="38">
        <f t="shared" si="10"/>
        <v>0</v>
      </c>
      <c r="AO91" s="70" t="s">
        <v>428</v>
      </c>
      <c r="AP91" s="38">
        <v>26</v>
      </c>
      <c r="AQ91" s="39">
        <f t="shared" si="11"/>
        <v>0</v>
      </c>
    </row>
    <row r="92" ht="15.25" spans="1:43">
      <c r="A92" s="59" t="s">
        <v>649</v>
      </c>
      <c r="B92" s="63" t="s">
        <v>165</v>
      </c>
      <c r="C92" s="59" t="s">
        <v>267</v>
      </c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 t="s">
        <v>12</v>
      </c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J92" s="36">
        <f t="shared" si="6"/>
        <v>0</v>
      </c>
      <c r="AK92" s="36">
        <f t="shared" si="7"/>
        <v>1</v>
      </c>
      <c r="AL92" s="36">
        <f t="shared" si="8"/>
        <v>0</v>
      </c>
      <c r="AM92" s="36">
        <f t="shared" si="9"/>
        <v>0</v>
      </c>
      <c r="AN92" s="38">
        <f t="shared" si="10"/>
        <v>1</v>
      </c>
      <c r="AO92" s="66" t="s">
        <v>193</v>
      </c>
      <c r="AP92" s="38">
        <v>26</v>
      </c>
      <c r="AQ92" s="39">
        <f t="shared" si="11"/>
        <v>0.0384615384615385</v>
      </c>
    </row>
    <row r="93" ht="15.25" spans="1:43">
      <c r="A93" s="59" t="s">
        <v>650</v>
      </c>
      <c r="B93" s="63" t="s">
        <v>165</v>
      </c>
      <c r="C93" s="59" t="s">
        <v>219</v>
      </c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J93" s="36">
        <f t="shared" si="6"/>
        <v>0</v>
      </c>
      <c r="AK93" s="36">
        <f t="shared" si="7"/>
        <v>0</v>
      </c>
      <c r="AL93" s="36">
        <f t="shared" si="8"/>
        <v>0</v>
      </c>
      <c r="AM93" s="36">
        <f t="shared" si="9"/>
        <v>0</v>
      </c>
      <c r="AN93" s="38">
        <f t="shared" si="10"/>
        <v>0</v>
      </c>
      <c r="AO93" s="38" t="s">
        <v>228</v>
      </c>
      <c r="AP93" s="38">
        <v>26</v>
      </c>
      <c r="AQ93" s="39">
        <f t="shared" si="11"/>
        <v>0</v>
      </c>
    </row>
    <row r="94" ht="15.25" spans="1:43">
      <c r="A94" s="59" t="s">
        <v>652</v>
      </c>
      <c r="B94" s="63" t="s">
        <v>16</v>
      </c>
      <c r="C94" s="59" t="s">
        <v>219</v>
      </c>
      <c r="D94" s="62"/>
      <c r="E94" s="62"/>
      <c r="F94" s="62"/>
      <c r="G94" s="62"/>
      <c r="H94" s="62"/>
      <c r="I94" s="62" t="s">
        <v>11</v>
      </c>
      <c r="J94" s="62"/>
      <c r="K94" s="62"/>
      <c r="L94" s="62" t="s">
        <v>11</v>
      </c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J94" s="36">
        <f t="shared" si="6"/>
        <v>2</v>
      </c>
      <c r="AK94" s="36">
        <f t="shared" si="7"/>
        <v>0</v>
      </c>
      <c r="AL94" s="36">
        <f t="shared" si="8"/>
        <v>0</v>
      </c>
      <c r="AM94" s="36">
        <f t="shared" si="9"/>
        <v>0</v>
      </c>
      <c r="AN94" s="38">
        <f t="shared" si="10"/>
        <v>2</v>
      </c>
      <c r="AO94" s="81" t="s">
        <v>125</v>
      </c>
      <c r="AP94" s="38">
        <v>26</v>
      </c>
      <c r="AQ94" s="39">
        <f t="shared" si="11"/>
        <v>0.0769230769230769</v>
      </c>
    </row>
    <row r="95" ht="15.25" spans="1:43">
      <c r="A95" s="59" t="s">
        <v>653</v>
      </c>
      <c r="B95" s="63" t="s">
        <v>16</v>
      </c>
      <c r="C95" s="59" t="s">
        <v>219</v>
      </c>
      <c r="D95" s="62"/>
      <c r="E95" s="62" t="s">
        <v>11</v>
      </c>
      <c r="F95" s="62" t="s">
        <v>11</v>
      </c>
      <c r="G95" s="62"/>
      <c r="H95" s="62"/>
      <c r="I95" s="62" t="s">
        <v>11</v>
      </c>
      <c r="J95" s="62"/>
      <c r="K95" s="62"/>
      <c r="L95" s="62"/>
      <c r="M95" s="62"/>
      <c r="N95" s="62"/>
      <c r="O95" s="62" t="s">
        <v>11</v>
      </c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 t="s">
        <v>11</v>
      </c>
      <c r="AJ95" s="36">
        <f t="shared" si="6"/>
        <v>5</v>
      </c>
      <c r="AK95" s="36">
        <f t="shared" si="7"/>
        <v>0</v>
      </c>
      <c r="AL95" s="36">
        <f t="shared" si="8"/>
        <v>0</v>
      </c>
      <c r="AM95" s="36">
        <f t="shared" si="9"/>
        <v>0</v>
      </c>
      <c r="AN95" s="38">
        <f t="shared" si="10"/>
        <v>5</v>
      </c>
      <c r="AO95" s="81">
        <v>45946</v>
      </c>
      <c r="AP95" s="38">
        <v>26</v>
      </c>
      <c r="AQ95" s="39">
        <f t="shared" si="11"/>
        <v>0.192307692307692</v>
      </c>
    </row>
    <row r="96" ht="15.25" spans="1:43">
      <c r="A96" s="59" t="s">
        <v>655</v>
      </c>
      <c r="B96" s="63" t="s">
        <v>16</v>
      </c>
      <c r="C96" s="59" t="s">
        <v>215</v>
      </c>
      <c r="D96" s="62"/>
      <c r="E96" s="62" t="s">
        <v>11</v>
      </c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 t="s">
        <v>11</v>
      </c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J96" s="36">
        <f t="shared" si="6"/>
        <v>2</v>
      </c>
      <c r="AK96" s="36">
        <f t="shared" si="7"/>
        <v>0</v>
      </c>
      <c r="AL96" s="36">
        <f t="shared" si="8"/>
        <v>0</v>
      </c>
      <c r="AM96" s="36">
        <f t="shared" si="9"/>
        <v>0</v>
      </c>
      <c r="AN96" s="38">
        <f t="shared" si="10"/>
        <v>2</v>
      </c>
      <c r="AO96" s="38" t="s">
        <v>228</v>
      </c>
      <c r="AP96" s="38">
        <v>27</v>
      </c>
      <c r="AQ96" s="39">
        <f t="shared" si="11"/>
        <v>0.0740740740740741</v>
      </c>
    </row>
    <row r="97" ht="15.25" spans="1:43">
      <c r="A97" s="59" t="s">
        <v>656</v>
      </c>
      <c r="B97" s="63" t="s">
        <v>16</v>
      </c>
      <c r="C97" s="59" t="s">
        <v>215</v>
      </c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 t="s">
        <v>11</v>
      </c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J97" s="36">
        <f t="shared" si="6"/>
        <v>1</v>
      </c>
      <c r="AK97" s="36">
        <f t="shared" si="7"/>
        <v>0</v>
      </c>
      <c r="AL97" s="36">
        <f t="shared" si="8"/>
        <v>0</v>
      </c>
      <c r="AM97" s="36">
        <f t="shared" si="9"/>
        <v>0</v>
      </c>
      <c r="AN97" s="38">
        <f t="shared" si="10"/>
        <v>1</v>
      </c>
      <c r="AO97" s="38"/>
      <c r="AP97" s="38">
        <v>28</v>
      </c>
      <c r="AQ97" s="39">
        <f t="shared" si="11"/>
        <v>0.0357142857142857</v>
      </c>
    </row>
    <row r="98" ht="15.25" spans="1:43">
      <c r="A98" s="59" t="s">
        <v>657</v>
      </c>
      <c r="B98" s="63" t="s">
        <v>16</v>
      </c>
      <c r="C98" s="59" t="s">
        <v>215</v>
      </c>
      <c r="D98" s="62"/>
      <c r="E98" s="62" t="s">
        <v>11</v>
      </c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J98" s="36">
        <f t="shared" si="6"/>
        <v>1</v>
      </c>
      <c r="AK98" s="36">
        <f t="shared" si="7"/>
        <v>0</v>
      </c>
      <c r="AL98" s="36">
        <f t="shared" si="8"/>
        <v>0</v>
      </c>
      <c r="AM98" s="36">
        <f t="shared" si="9"/>
        <v>0</v>
      </c>
      <c r="AN98" s="38">
        <f t="shared" si="10"/>
        <v>1</v>
      </c>
      <c r="AO98" s="38" t="s">
        <v>25</v>
      </c>
      <c r="AP98" s="38">
        <v>29</v>
      </c>
      <c r="AQ98" s="39">
        <f t="shared" si="11"/>
        <v>0.0344827586206897</v>
      </c>
    </row>
    <row r="99" ht="15.25" spans="1:43">
      <c r="A99" s="59" t="s">
        <v>658</v>
      </c>
      <c r="B99" s="63" t="s">
        <v>16</v>
      </c>
      <c r="C99" s="59" t="s">
        <v>215</v>
      </c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J99" s="36">
        <f t="shared" si="6"/>
        <v>0</v>
      </c>
      <c r="AK99" s="36">
        <f t="shared" si="7"/>
        <v>0</v>
      </c>
      <c r="AL99" s="36">
        <f t="shared" si="8"/>
        <v>0</v>
      </c>
      <c r="AM99" s="36">
        <f t="shared" si="9"/>
        <v>0</v>
      </c>
      <c r="AN99" s="38">
        <f t="shared" si="10"/>
        <v>0</v>
      </c>
      <c r="AO99" s="66" t="s">
        <v>193</v>
      </c>
      <c r="AP99" s="38">
        <v>30</v>
      </c>
      <c r="AQ99" s="39">
        <f t="shared" si="11"/>
        <v>0</v>
      </c>
    </row>
    <row r="100" ht="15.25" spans="1:43">
      <c r="A100" s="59" t="s">
        <v>659</v>
      </c>
      <c r="B100" s="63" t="s">
        <v>16</v>
      </c>
      <c r="C100" s="59" t="s">
        <v>215</v>
      </c>
      <c r="D100" s="62"/>
      <c r="E100" s="62"/>
      <c r="F100" s="62" t="s">
        <v>11</v>
      </c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 t="s">
        <v>11</v>
      </c>
      <c r="Z100" s="62"/>
      <c r="AA100" s="62"/>
      <c r="AB100" s="62" t="s">
        <v>11</v>
      </c>
      <c r="AC100" s="62"/>
      <c r="AD100" s="62"/>
      <c r="AE100" s="62"/>
      <c r="AF100" s="62"/>
      <c r="AG100" s="62"/>
      <c r="AH100" s="62"/>
      <c r="AJ100" s="36">
        <f t="shared" si="6"/>
        <v>3</v>
      </c>
      <c r="AK100" s="36">
        <f t="shared" si="7"/>
        <v>0</v>
      </c>
      <c r="AL100" s="36">
        <f t="shared" si="8"/>
        <v>0</v>
      </c>
      <c r="AM100" s="36">
        <f t="shared" si="9"/>
        <v>0</v>
      </c>
      <c r="AN100" s="38">
        <f t="shared" si="10"/>
        <v>3</v>
      </c>
      <c r="AO100" s="66" t="s">
        <v>336</v>
      </c>
      <c r="AP100" s="38">
        <v>31</v>
      </c>
      <c r="AQ100" s="39">
        <f t="shared" si="11"/>
        <v>0.0967741935483871</v>
      </c>
    </row>
    <row r="101" ht="15.25" spans="1:43">
      <c r="A101" s="59" t="s">
        <v>660</v>
      </c>
      <c r="B101" s="63" t="s">
        <v>16</v>
      </c>
      <c r="C101" s="59" t="s">
        <v>215</v>
      </c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 t="s">
        <v>557</v>
      </c>
      <c r="AE101" s="62"/>
      <c r="AF101" s="62"/>
      <c r="AG101" s="62"/>
      <c r="AH101" s="62"/>
      <c r="AJ101" s="36">
        <f t="shared" si="6"/>
        <v>0</v>
      </c>
      <c r="AK101" s="36">
        <f t="shared" si="7"/>
        <v>0</v>
      </c>
      <c r="AL101" s="36">
        <f t="shared" si="8"/>
        <v>0</v>
      </c>
      <c r="AM101" s="36">
        <f t="shared" si="9"/>
        <v>1</v>
      </c>
      <c r="AN101" s="38">
        <f t="shared" si="10"/>
        <v>0</v>
      </c>
      <c r="AO101" s="66" t="s">
        <v>193</v>
      </c>
      <c r="AP101" s="38">
        <v>32</v>
      </c>
      <c r="AQ101" s="39">
        <f t="shared" si="11"/>
        <v>0</v>
      </c>
    </row>
    <row r="102" ht="15.25" spans="1:43">
      <c r="A102" s="59" t="s">
        <v>661</v>
      </c>
      <c r="B102" s="63" t="s">
        <v>16</v>
      </c>
      <c r="C102" s="59" t="s">
        <v>215</v>
      </c>
      <c r="D102" s="62"/>
      <c r="E102" s="62" t="s">
        <v>11</v>
      </c>
      <c r="F102" s="62"/>
      <c r="G102" s="62"/>
      <c r="H102" s="62"/>
      <c r="I102" s="62" t="s">
        <v>11</v>
      </c>
      <c r="J102" s="62"/>
      <c r="K102" s="62"/>
      <c r="L102" s="62"/>
      <c r="M102" s="62"/>
      <c r="N102" s="62"/>
      <c r="O102" s="62"/>
      <c r="P102" s="62" t="s">
        <v>11</v>
      </c>
      <c r="Q102" s="62"/>
      <c r="R102" s="62"/>
      <c r="S102" s="62"/>
      <c r="T102" s="62"/>
      <c r="U102" s="62"/>
      <c r="V102" s="62"/>
      <c r="W102" s="62" t="s">
        <v>13</v>
      </c>
      <c r="X102" s="62" t="s">
        <v>11</v>
      </c>
      <c r="Y102" s="62"/>
      <c r="Z102" s="62"/>
      <c r="AA102" s="62" t="s">
        <v>11</v>
      </c>
      <c r="AB102" s="62" t="s">
        <v>11</v>
      </c>
      <c r="AC102" s="62"/>
      <c r="AD102" s="62"/>
      <c r="AE102" s="62"/>
      <c r="AF102" s="62"/>
      <c r="AG102" s="62"/>
      <c r="AH102" s="62"/>
      <c r="AJ102" s="36">
        <f t="shared" si="6"/>
        <v>6</v>
      </c>
      <c r="AK102" s="36">
        <f t="shared" si="7"/>
        <v>0</v>
      </c>
      <c r="AL102" s="36">
        <f t="shared" si="8"/>
        <v>1</v>
      </c>
      <c r="AM102" s="36">
        <f t="shared" si="9"/>
        <v>0</v>
      </c>
      <c r="AN102" s="38">
        <f t="shared" si="10"/>
        <v>7</v>
      </c>
      <c r="AO102" s="38"/>
      <c r="AP102" s="38">
        <v>33</v>
      </c>
      <c r="AQ102" s="39">
        <f t="shared" si="11"/>
        <v>0.212121212121212</v>
      </c>
    </row>
    <row r="103" ht="15.25" spans="1:43">
      <c r="A103" s="59" t="s">
        <v>662</v>
      </c>
      <c r="B103" s="63" t="s">
        <v>16</v>
      </c>
      <c r="C103" s="59" t="s">
        <v>215</v>
      </c>
      <c r="D103" s="62"/>
      <c r="E103" s="62" t="s">
        <v>11</v>
      </c>
      <c r="F103" s="62" t="s">
        <v>11</v>
      </c>
      <c r="G103" s="62" t="s">
        <v>11</v>
      </c>
      <c r="H103" s="62"/>
      <c r="I103" s="62"/>
      <c r="J103" s="62"/>
      <c r="K103" s="62"/>
      <c r="L103" s="62" t="s">
        <v>103</v>
      </c>
      <c r="M103" s="62"/>
      <c r="N103" s="62"/>
      <c r="O103" s="62"/>
      <c r="P103" s="62"/>
      <c r="Q103" s="62"/>
      <c r="R103" s="62"/>
      <c r="S103" s="62" t="s">
        <v>11</v>
      </c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 t="s">
        <v>13</v>
      </c>
      <c r="AH103" s="62" t="s">
        <v>11</v>
      </c>
      <c r="AJ103" s="36">
        <f t="shared" si="6"/>
        <v>5</v>
      </c>
      <c r="AK103" s="36">
        <f t="shared" si="7"/>
        <v>1</v>
      </c>
      <c r="AL103" s="36">
        <f t="shared" si="8"/>
        <v>1</v>
      </c>
      <c r="AM103" s="36">
        <f t="shared" si="9"/>
        <v>0</v>
      </c>
      <c r="AN103" s="38">
        <f t="shared" si="10"/>
        <v>7</v>
      </c>
      <c r="AO103" s="38" t="s">
        <v>228</v>
      </c>
      <c r="AP103" s="38">
        <v>34</v>
      </c>
      <c r="AQ103" s="39">
        <f t="shared" si="11"/>
        <v>0.205882352941176</v>
      </c>
    </row>
    <row r="104" ht="15.25" spans="1:43">
      <c r="A104" s="59" t="s">
        <v>663</v>
      </c>
      <c r="B104" s="63" t="s">
        <v>16</v>
      </c>
      <c r="C104" s="59" t="s">
        <v>215</v>
      </c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J104" s="36">
        <f>COUNTIF(D104:AH104,"S")</f>
        <v>0</v>
      </c>
      <c r="AK104" s="36">
        <f>COUNTIF(D104:AH104,"I")</f>
        <v>0</v>
      </c>
      <c r="AL104" s="36">
        <f>COUNTIF(D104:AH104,"A")</f>
        <v>0</v>
      </c>
      <c r="AM104" s="36">
        <f>COUNTIF(D104:AI104,"PA")</f>
        <v>0</v>
      </c>
      <c r="AN104" s="38">
        <f>SUM(AJ104:AL104)</f>
        <v>0</v>
      </c>
      <c r="AO104" s="69" t="s">
        <v>275</v>
      </c>
      <c r="AP104" s="38">
        <v>35</v>
      </c>
      <c r="AQ104" s="39">
        <f>AN104/AP104</f>
        <v>0</v>
      </c>
    </row>
    <row r="105" ht="15.25" spans="1:43">
      <c r="A105" s="59" t="s">
        <v>665</v>
      </c>
      <c r="B105" s="85" t="s">
        <v>16</v>
      </c>
      <c r="C105" s="59" t="s">
        <v>238</v>
      </c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J105" s="36">
        <f t="shared" ref="AJ105:AJ152" si="12">COUNTIF(D105:AH105,"S")</f>
        <v>0</v>
      </c>
      <c r="AK105" s="36">
        <f t="shared" ref="AK105:AK152" si="13">COUNTIF(D105:AH105,"I")</f>
        <v>0</v>
      </c>
      <c r="AL105" s="36">
        <f t="shared" ref="AL105:AL152" si="14">COUNTIF(D105:AH105,"A")</f>
        <v>0</v>
      </c>
      <c r="AM105" s="36">
        <f t="shared" ref="AM105:AM152" si="15">COUNTIF(D105:AI105,"PA")</f>
        <v>0</v>
      </c>
      <c r="AN105" s="38">
        <f t="shared" ref="AN105:AN152" si="16">SUM(AJ105:AL105)</f>
        <v>0</v>
      </c>
      <c r="AO105" s="81">
        <v>45967</v>
      </c>
      <c r="AP105" s="38">
        <v>37</v>
      </c>
      <c r="AQ105" s="39">
        <f t="shared" ref="AQ105:AQ152" si="17">AN105/AP105</f>
        <v>0</v>
      </c>
    </row>
    <row r="106" ht="15.25" spans="1:43">
      <c r="A106" s="59" t="s">
        <v>666</v>
      </c>
      <c r="B106" s="63" t="s">
        <v>16</v>
      </c>
      <c r="C106" s="59" t="s">
        <v>238</v>
      </c>
      <c r="D106" s="62"/>
      <c r="E106" s="62"/>
      <c r="F106" s="62"/>
      <c r="G106" s="62"/>
      <c r="H106" s="62"/>
      <c r="I106" s="62" t="s">
        <v>557</v>
      </c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 t="s">
        <v>11</v>
      </c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J106" s="36">
        <f t="shared" si="12"/>
        <v>1</v>
      </c>
      <c r="AK106" s="36">
        <f t="shared" si="13"/>
        <v>0</v>
      </c>
      <c r="AL106" s="36">
        <f t="shared" si="14"/>
        <v>0</v>
      </c>
      <c r="AM106" s="36">
        <f t="shared" si="15"/>
        <v>1</v>
      </c>
      <c r="AN106" s="38">
        <f t="shared" si="16"/>
        <v>1</v>
      </c>
      <c r="AO106" s="38" t="s">
        <v>173</v>
      </c>
      <c r="AP106" s="38">
        <v>38</v>
      </c>
      <c r="AQ106" s="39">
        <f t="shared" si="17"/>
        <v>0.0263157894736842</v>
      </c>
    </row>
    <row r="107" ht="15.25" spans="1:43">
      <c r="A107" s="59" t="s">
        <v>667</v>
      </c>
      <c r="B107" s="63" t="s">
        <v>564</v>
      </c>
      <c r="C107" s="59" t="s">
        <v>238</v>
      </c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J107" s="36">
        <f t="shared" si="12"/>
        <v>0</v>
      </c>
      <c r="AK107" s="36">
        <f t="shared" si="13"/>
        <v>0</v>
      </c>
      <c r="AL107" s="36">
        <f t="shared" si="14"/>
        <v>0</v>
      </c>
      <c r="AM107" s="36">
        <f t="shared" si="15"/>
        <v>0</v>
      </c>
      <c r="AN107" s="38">
        <f t="shared" si="16"/>
        <v>0</v>
      </c>
      <c r="AO107" s="69" t="s">
        <v>275</v>
      </c>
      <c r="AP107" s="38">
        <v>39</v>
      </c>
      <c r="AQ107" s="39">
        <f t="shared" si="17"/>
        <v>0</v>
      </c>
    </row>
    <row r="108" ht="15.25" spans="1:43">
      <c r="A108" s="59" t="s">
        <v>668</v>
      </c>
      <c r="B108" s="63" t="s">
        <v>165</v>
      </c>
      <c r="C108" s="59" t="s">
        <v>238</v>
      </c>
      <c r="D108" s="62"/>
      <c r="E108" s="62"/>
      <c r="F108" s="62"/>
      <c r="G108" s="62"/>
      <c r="H108" s="62"/>
      <c r="I108" s="62"/>
      <c r="J108" s="62"/>
      <c r="K108" s="62"/>
      <c r="L108" s="62"/>
      <c r="M108" s="62" t="s">
        <v>11</v>
      </c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J108" s="36">
        <f t="shared" si="12"/>
        <v>1</v>
      </c>
      <c r="AK108" s="36">
        <f t="shared" si="13"/>
        <v>0</v>
      </c>
      <c r="AL108" s="36">
        <f t="shared" si="14"/>
        <v>0</v>
      </c>
      <c r="AM108" s="36">
        <f t="shared" si="15"/>
        <v>0</v>
      </c>
      <c r="AN108" s="38">
        <f t="shared" si="16"/>
        <v>1</v>
      </c>
      <c r="AO108" s="38" t="s">
        <v>171</v>
      </c>
      <c r="AP108" s="38">
        <v>40</v>
      </c>
      <c r="AQ108" s="39">
        <f t="shared" si="17"/>
        <v>0.025</v>
      </c>
    </row>
    <row r="109" ht="15.25" spans="1:43">
      <c r="A109" s="59" t="s">
        <v>669</v>
      </c>
      <c r="B109" s="63" t="s">
        <v>16</v>
      </c>
      <c r="C109" s="59" t="s">
        <v>180</v>
      </c>
      <c r="D109" s="62"/>
      <c r="E109" s="62" t="s">
        <v>103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 t="s">
        <v>11</v>
      </c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 t="s">
        <v>12</v>
      </c>
      <c r="AJ109" s="36">
        <f t="shared" si="12"/>
        <v>1</v>
      </c>
      <c r="AK109" s="36">
        <f t="shared" si="13"/>
        <v>2</v>
      </c>
      <c r="AL109" s="36">
        <f t="shared" si="14"/>
        <v>0</v>
      </c>
      <c r="AM109" s="36">
        <f t="shared" si="15"/>
        <v>0</v>
      </c>
      <c r="AN109" s="38">
        <f t="shared" si="16"/>
        <v>3</v>
      </c>
      <c r="AO109" s="66"/>
      <c r="AP109" s="38">
        <v>41</v>
      </c>
      <c r="AQ109" s="39">
        <f t="shared" si="17"/>
        <v>0.0731707317073171</v>
      </c>
    </row>
    <row r="110" ht="15.25" spans="1:43">
      <c r="A110" s="59" t="s">
        <v>670</v>
      </c>
      <c r="B110" s="63" t="s">
        <v>16</v>
      </c>
      <c r="C110" s="59" t="s">
        <v>180</v>
      </c>
      <c r="D110" s="62"/>
      <c r="E110" s="62"/>
      <c r="F110" s="62"/>
      <c r="G110" s="62"/>
      <c r="H110" s="62"/>
      <c r="I110" s="62"/>
      <c r="J110" s="62"/>
      <c r="K110" s="62"/>
      <c r="L110" s="62"/>
      <c r="M110" s="62" t="s">
        <v>557</v>
      </c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J110" s="36">
        <f t="shared" si="12"/>
        <v>0</v>
      </c>
      <c r="AK110" s="36">
        <f t="shared" si="13"/>
        <v>0</v>
      </c>
      <c r="AL110" s="36">
        <f t="shared" si="14"/>
        <v>0</v>
      </c>
      <c r="AM110" s="36">
        <f t="shared" si="15"/>
        <v>1</v>
      </c>
      <c r="AN110" s="38">
        <f t="shared" si="16"/>
        <v>0</v>
      </c>
      <c r="AO110" s="38" t="s">
        <v>228</v>
      </c>
      <c r="AP110" s="38">
        <v>42</v>
      </c>
      <c r="AQ110" s="39">
        <f t="shared" si="17"/>
        <v>0</v>
      </c>
    </row>
    <row r="111" ht="15.25" spans="1:43">
      <c r="A111" s="59" t="s">
        <v>671</v>
      </c>
      <c r="B111" s="63" t="s">
        <v>165</v>
      </c>
      <c r="C111" s="59" t="s">
        <v>180</v>
      </c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J111" s="36">
        <f t="shared" si="12"/>
        <v>0</v>
      </c>
      <c r="AK111" s="36">
        <f t="shared" si="13"/>
        <v>0</v>
      </c>
      <c r="AL111" s="36">
        <f t="shared" si="14"/>
        <v>0</v>
      </c>
      <c r="AM111" s="36">
        <f t="shared" si="15"/>
        <v>0</v>
      </c>
      <c r="AN111" s="38">
        <f t="shared" si="16"/>
        <v>0</v>
      </c>
      <c r="AO111" s="38" t="s">
        <v>228</v>
      </c>
      <c r="AP111" s="38">
        <v>43</v>
      </c>
      <c r="AQ111" s="39">
        <f t="shared" si="17"/>
        <v>0</v>
      </c>
    </row>
    <row r="112" ht="15.25" spans="1:43">
      <c r="A112" s="59" t="s">
        <v>672</v>
      </c>
      <c r="B112" s="63" t="s">
        <v>16</v>
      </c>
      <c r="C112" s="59" t="s">
        <v>180</v>
      </c>
      <c r="D112" s="62"/>
      <c r="E112" s="62"/>
      <c r="F112" s="62" t="s">
        <v>11</v>
      </c>
      <c r="G112" s="62" t="s">
        <v>11</v>
      </c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 t="s">
        <v>11</v>
      </c>
      <c r="AG112" s="62" t="s">
        <v>11</v>
      </c>
      <c r="AH112" s="62" t="s">
        <v>11</v>
      </c>
      <c r="AJ112" s="36">
        <f t="shared" si="12"/>
        <v>5</v>
      </c>
      <c r="AK112" s="36">
        <f t="shared" si="13"/>
        <v>0</v>
      </c>
      <c r="AL112" s="36">
        <f t="shared" si="14"/>
        <v>0</v>
      </c>
      <c r="AM112" s="36">
        <f t="shared" si="15"/>
        <v>0</v>
      </c>
      <c r="AN112" s="38">
        <f t="shared" si="16"/>
        <v>5</v>
      </c>
      <c r="AO112" s="66" t="s">
        <v>193</v>
      </c>
      <c r="AP112" s="38">
        <v>44</v>
      </c>
      <c r="AQ112" s="39">
        <f t="shared" si="17"/>
        <v>0.113636363636364</v>
      </c>
    </row>
    <row r="113" ht="15.25" spans="1:43">
      <c r="A113" s="59" t="s">
        <v>673</v>
      </c>
      <c r="B113" s="63" t="s">
        <v>16</v>
      </c>
      <c r="C113" s="59" t="s">
        <v>180</v>
      </c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J113" s="36">
        <f t="shared" si="12"/>
        <v>0</v>
      </c>
      <c r="AK113" s="36">
        <f t="shared" si="13"/>
        <v>0</v>
      </c>
      <c r="AL113" s="36">
        <f t="shared" si="14"/>
        <v>0</v>
      </c>
      <c r="AM113" s="36">
        <f t="shared" si="15"/>
        <v>0</v>
      </c>
      <c r="AN113" s="38">
        <f t="shared" si="16"/>
        <v>0</v>
      </c>
      <c r="AO113" s="66" t="s">
        <v>171</v>
      </c>
      <c r="AP113" s="38">
        <v>45</v>
      </c>
      <c r="AQ113" s="39">
        <f t="shared" si="17"/>
        <v>0</v>
      </c>
    </row>
    <row r="114" ht="15.25" spans="1:43">
      <c r="A114" s="59" t="s">
        <v>627</v>
      </c>
      <c r="B114" s="63" t="s">
        <v>165</v>
      </c>
      <c r="C114" s="59" t="s">
        <v>180</v>
      </c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J114" s="36">
        <f t="shared" si="12"/>
        <v>0</v>
      </c>
      <c r="AK114" s="36">
        <f t="shared" si="13"/>
        <v>0</v>
      </c>
      <c r="AL114" s="36">
        <f t="shared" si="14"/>
        <v>0</v>
      </c>
      <c r="AM114" s="36">
        <f t="shared" si="15"/>
        <v>0</v>
      </c>
      <c r="AN114" s="38">
        <f t="shared" si="16"/>
        <v>0</v>
      </c>
      <c r="AO114" s="69" t="s">
        <v>275</v>
      </c>
      <c r="AP114" s="38">
        <v>47</v>
      </c>
      <c r="AQ114" s="39">
        <f t="shared" si="17"/>
        <v>0</v>
      </c>
    </row>
    <row r="115" ht="15.25" spans="1:43">
      <c r="A115" s="59" t="s">
        <v>674</v>
      </c>
      <c r="B115" s="63" t="s">
        <v>165</v>
      </c>
      <c r="C115" s="59" t="s">
        <v>180</v>
      </c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J115" s="36">
        <f t="shared" si="12"/>
        <v>0</v>
      </c>
      <c r="AK115" s="36">
        <f t="shared" si="13"/>
        <v>0</v>
      </c>
      <c r="AL115" s="36">
        <f t="shared" si="14"/>
        <v>0</v>
      </c>
      <c r="AM115" s="36">
        <f t="shared" si="15"/>
        <v>0</v>
      </c>
      <c r="AN115" s="38">
        <f t="shared" si="16"/>
        <v>0</v>
      </c>
      <c r="AO115" s="38" t="s">
        <v>214</v>
      </c>
      <c r="AP115" s="38">
        <v>48</v>
      </c>
      <c r="AQ115" s="39">
        <f t="shared" si="17"/>
        <v>0</v>
      </c>
    </row>
    <row r="116" ht="15.25" spans="1:43">
      <c r="A116" s="59" t="s">
        <v>675</v>
      </c>
      <c r="B116" s="63" t="s">
        <v>676</v>
      </c>
      <c r="C116" s="59" t="s">
        <v>180</v>
      </c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J116" s="36">
        <f t="shared" si="12"/>
        <v>0</v>
      </c>
      <c r="AK116" s="36">
        <f t="shared" si="13"/>
        <v>0</v>
      </c>
      <c r="AL116" s="36">
        <f t="shared" si="14"/>
        <v>0</v>
      </c>
      <c r="AM116" s="36">
        <f t="shared" si="15"/>
        <v>0</v>
      </c>
      <c r="AN116" s="38">
        <f t="shared" si="16"/>
        <v>0</v>
      </c>
      <c r="AO116" s="66" t="s">
        <v>193</v>
      </c>
      <c r="AP116" s="38">
        <v>50</v>
      </c>
      <c r="AQ116" s="39">
        <f t="shared" si="17"/>
        <v>0</v>
      </c>
    </row>
    <row r="117" ht="15.25" spans="1:43">
      <c r="A117" s="59" t="s">
        <v>677</v>
      </c>
      <c r="B117" s="63" t="s">
        <v>16</v>
      </c>
      <c r="C117" s="59" t="s">
        <v>180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J117" s="36">
        <f t="shared" si="12"/>
        <v>0</v>
      </c>
      <c r="AK117" s="36">
        <f t="shared" si="13"/>
        <v>0</v>
      </c>
      <c r="AL117" s="36">
        <f t="shared" si="14"/>
        <v>0</v>
      </c>
      <c r="AM117" s="36">
        <f t="shared" si="15"/>
        <v>0</v>
      </c>
      <c r="AN117" s="38">
        <f t="shared" si="16"/>
        <v>0</v>
      </c>
      <c r="AO117" s="38"/>
      <c r="AP117" s="38">
        <v>51</v>
      </c>
      <c r="AQ117" s="39">
        <f t="shared" si="17"/>
        <v>0</v>
      </c>
    </row>
    <row r="118" ht="15.25" spans="1:43">
      <c r="A118" s="59" t="s">
        <v>678</v>
      </c>
      <c r="B118" s="63" t="s">
        <v>16</v>
      </c>
      <c r="C118" s="59" t="s">
        <v>180</v>
      </c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J118" s="36">
        <f t="shared" si="12"/>
        <v>0</v>
      </c>
      <c r="AK118" s="36">
        <f t="shared" si="13"/>
        <v>0</v>
      </c>
      <c r="AL118" s="36">
        <f t="shared" si="14"/>
        <v>0</v>
      </c>
      <c r="AM118" s="36">
        <f t="shared" si="15"/>
        <v>0</v>
      </c>
      <c r="AN118" s="38">
        <f t="shared" si="16"/>
        <v>0</v>
      </c>
      <c r="AO118" s="38"/>
      <c r="AP118" s="38">
        <v>52</v>
      </c>
      <c r="AQ118" s="39">
        <f t="shared" si="17"/>
        <v>0</v>
      </c>
    </row>
    <row r="119" ht="15.25" spans="1:43">
      <c r="A119" s="59" t="s">
        <v>679</v>
      </c>
      <c r="B119" s="63" t="s">
        <v>165</v>
      </c>
      <c r="C119" s="59" t="s">
        <v>180</v>
      </c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J119" s="36">
        <f t="shared" si="12"/>
        <v>0</v>
      </c>
      <c r="AK119" s="36">
        <f t="shared" si="13"/>
        <v>0</v>
      </c>
      <c r="AL119" s="36">
        <f t="shared" si="14"/>
        <v>0</v>
      </c>
      <c r="AM119" s="36">
        <f t="shared" si="15"/>
        <v>0</v>
      </c>
      <c r="AN119" s="38">
        <f t="shared" si="16"/>
        <v>0</v>
      </c>
      <c r="AO119" s="66"/>
      <c r="AP119" s="38">
        <v>53</v>
      </c>
      <c r="AQ119" s="39">
        <f t="shared" si="17"/>
        <v>0</v>
      </c>
    </row>
    <row r="120" ht="15.25" spans="1:43">
      <c r="A120" s="59" t="s">
        <v>680</v>
      </c>
      <c r="B120" s="63" t="s">
        <v>59</v>
      </c>
      <c r="C120" s="59" t="s">
        <v>180</v>
      </c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J120" s="36">
        <f t="shared" si="12"/>
        <v>0</v>
      </c>
      <c r="AK120" s="36">
        <f t="shared" si="13"/>
        <v>0</v>
      </c>
      <c r="AL120" s="36">
        <f t="shared" si="14"/>
        <v>0</v>
      </c>
      <c r="AM120" s="36">
        <f t="shared" si="15"/>
        <v>0</v>
      </c>
      <c r="AN120" s="38">
        <f t="shared" si="16"/>
        <v>0</v>
      </c>
      <c r="AO120" s="38"/>
      <c r="AP120" s="38">
        <v>54</v>
      </c>
      <c r="AQ120" s="39">
        <f t="shared" si="17"/>
        <v>0</v>
      </c>
    </row>
    <row r="121" ht="15.25" spans="1:43">
      <c r="A121" s="59" t="s">
        <v>682</v>
      </c>
      <c r="B121" s="63" t="s">
        <v>59</v>
      </c>
      <c r="C121" s="59" t="s">
        <v>180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 t="s">
        <v>11</v>
      </c>
      <c r="AH121" s="62"/>
      <c r="AJ121" s="36">
        <f t="shared" si="12"/>
        <v>1</v>
      </c>
      <c r="AK121" s="36">
        <f t="shared" si="13"/>
        <v>0</v>
      </c>
      <c r="AL121" s="36">
        <f t="shared" si="14"/>
        <v>0</v>
      </c>
      <c r="AM121" s="36">
        <f t="shared" si="15"/>
        <v>0</v>
      </c>
      <c r="AN121" s="38">
        <f t="shared" si="16"/>
        <v>1</v>
      </c>
      <c r="AO121" s="38"/>
      <c r="AP121" s="38">
        <v>56</v>
      </c>
      <c r="AQ121" s="39">
        <f t="shared" si="17"/>
        <v>0.0178571428571429</v>
      </c>
    </row>
    <row r="122" ht="28.75" spans="1:43">
      <c r="A122" s="59" t="s">
        <v>683</v>
      </c>
      <c r="B122" s="63" t="s">
        <v>165</v>
      </c>
      <c r="C122" s="59" t="s">
        <v>180</v>
      </c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J122" s="36">
        <f t="shared" si="12"/>
        <v>0</v>
      </c>
      <c r="AK122" s="36">
        <f t="shared" si="13"/>
        <v>0</v>
      </c>
      <c r="AL122" s="36">
        <f t="shared" si="14"/>
        <v>0</v>
      </c>
      <c r="AM122" s="36">
        <f t="shared" si="15"/>
        <v>0</v>
      </c>
      <c r="AN122" s="38">
        <f t="shared" si="16"/>
        <v>0</v>
      </c>
      <c r="AO122" s="38"/>
      <c r="AP122" s="38">
        <v>57</v>
      </c>
      <c r="AQ122" s="39">
        <f t="shared" si="17"/>
        <v>0</v>
      </c>
    </row>
    <row r="123" ht="15.25" spans="1:43">
      <c r="A123" s="59" t="s">
        <v>684</v>
      </c>
      <c r="B123" s="63" t="s">
        <v>16</v>
      </c>
      <c r="C123" s="59" t="s">
        <v>180</v>
      </c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 t="s">
        <v>11</v>
      </c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J123" s="36">
        <f t="shared" si="12"/>
        <v>1</v>
      </c>
      <c r="AK123" s="36">
        <f t="shared" si="13"/>
        <v>0</v>
      </c>
      <c r="AL123" s="36">
        <f t="shared" si="14"/>
        <v>0</v>
      </c>
      <c r="AM123" s="36">
        <f t="shared" si="15"/>
        <v>0</v>
      </c>
      <c r="AN123" s="38">
        <f t="shared" si="16"/>
        <v>1</v>
      </c>
      <c r="AO123" s="38"/>
      <c r="AP123" s="38">
        <v>58</v>
      </c>
      <c r="AQ123" s="39">
        <f t="shared" si="17"/>
        <v>0.0172413793103448</v>
      </c>
    </row>
    <row r="124" ht="15.25" spans="1:43">
      <c r="A124" s="59" t="s">
        <v>686</v>
      </c>
      <c r="B124" s="63" t="s">
        <v>20</v>
      </c>
      <c r="C124" s="59" t="s">
        <v>112</v>
      </c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J124" s="36">
        <f t="shared" si="12"/>
        <v>0</v>
      </c>
      <c r="AK124" s="36">
        <f t="shared" si="13"/>
        <v>0</v>
      </c>
      <c r="AL124" s="36">
        <f t="shared" si="14"/>
        <v>0</v>
      </c>
      <c r="AM124" s="36">
        <f t="shared" si="15"/>
        <v>0</v>
      </c>
      <c r="AN124" s="38">
        <f t="shared" si="16"/>
        <v>0</v>
      </c>
      <c r="AO124" s="38"/>
      <c r="AP124" s="38">
        <v>60</v>
      </c>
      <c r="AQ124" s="39">
        <f t="shared" si="17"/>
        <v>0</v>
      </c>
    </row>
    <row r="125" ht="15.25" spans="1:43">
      <c r="A125" s="59" t="s">
        <v>688</v>
      </c>
      <c r="B125" s="63" t="s">
        <v>16</v>
      </c>
      <c r="C125" s="59" t="s">
        <v>112</v>
      </c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 t="s">
        <v>11</v>
      </c>
      <c r="AF125" s="62"/>
      <c r="AG125" s="62" t="s">
        <v>11</v>
      </c>
      <c r="AH125" s="62"/>
      <c r="AJ125" s="36">
        <f t="shared" si="12"/>
        <v>2</v>
      </c>
      <c r="AK125" s="36">
        <f t="shared" si="13"/>
        <v>0</v>
      </c>
      <c r="AL125" s="36">
        <f t="shared" si="14"/>
        <v>0</v>
      </c>
      <c r="AM125" s="36">
        <f t="shared" si="15"/>
        <v>0</v>
      </c>
      <c r="AN125" s="38">
        <f t="shared" si="16"/>
        <v>2</v>
      </c>
      <c r="AO125" s="128"/>
      <c r="AP125" s="38">
        <v>63</v>
      </c>
      <c r="AQ125" s="39">
        <f t="shared" si="17"/>
        <v>0.0317460317460317</v>
      </c>
    </row>
    <row r="126" ht="15.25" spans="1:43">
      <c r="A126" s="59" t="s">
        <v>689</v>
      </c>
      <c r="B126" s="63" t="s">
        <v>16</v>
      </c>
      <c r="C126" s="59" t="s">
        <v>112</v>
      </c>
      <c r="D126" s="62" t="s">
        <v>557</v>
      </c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 t="s">
        <v>11</v>
      </c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J126" s="36">
        <f t="shared" si="12"/>
        <v>1</v>
      </c>
      <c r="AK126" s="36">
        <f t="shared" si="13"/>
        <v>0</v>
      </c>
      <c r="AL126" s="36">
        <f t="shared" si="14"/>
        <v>0</v>
      </c>
      <c r="AM126" s="36">
        <f t="shared" si="15"/>
        <v>1</v>
      </c>
      <c r="AN126" s="38">
        <f t="shared" si="16"/>
        <v>1</v>
      </c>
      <c r="AO126" s="43"/>
      <c r="AP126" s="38">
        <v>64</v>
      </c>
      <c r="AQ126" s="39">
        <f t="shared" si="17"/>
        <v>0.015625</v>
      </c>
    </row>
    <row r="127" ht="15.25" spans="1:43">
      <c r="A127" s="59" t="s">
        <v>690</v>
      </c>
      <c r="B127" s="63" t="s">
        <v>16</v>
      </c>
      <c r="C127" s="63" t="s">
        <v>112</v>
      </c>
      <c r="D127" s="62"/>
      <c r="E127" s="62" t="s">
        <v>13</v>
      </c>
      <c r="F127" s="62"/>
      <c r="G127" s="62"/>
      <c r="H127" s="62"/>
      <c r="I127" s="62" t="s">
        <v>103</v>
      </c>
      <c r="J127" s="62" t="s">
        <v>11</v>
      </c>
      <c r="K127" s="62" t="s">
        <v>13</v>
      </c>
      <c r="L127" s="62"/>
      <c r="M127" s="62"/>
      <c r="N127" s="62"/>
      <c r="O127" s="62"/>
      <c r="P127" s="62"/>
      <c r="Q127" s="62"/>
      <c r="R127" s="62"/>
      <c r="S127" s="62"/>
      <c r="T127" s="62" t="s">
        <v>11</v>
      </c>
      <c r="U127" s="62"/>
      <c r="V127" s="62"/>
      <c r="W127" s="62"/>
      <c r="X127" s="62"/>
      <c r="Y127" s="62"/>
      <c r="Z127" s="62"/>
      <c r="AA127" s="62" t="s">
        <v>11</v>
      </c>
      <c r="AB127" s="62"/>
      <c r="AC127" s="62"/>
      <c r="AD127" s="62"/>
      <c r="AE127" s="62"/>
      <c r="AF127" s="62"/>
      <c r="AG127" s="62"/>
      <c r="AH127" s="62"/>
      <c r="AJ127" s="36">
        <f t="shared" si="12"/>
        <v>3</v>
      </c>
      <c r="AK127" s="36">
        <f t="shared" si="13"/>
        <v>1</v>
      </c>
      <c r="AL127" s="36">
        <f t="shared" si="14"/>
        <v>2</v>
      </c>
      <c r="AM127" s="36">
        <f t="shared" si="15"/>
        <v>0</v>
      </c>
      <c r="AN127" s="38">
        <f t="shared" si="16"/>
        <v>6</v>
      </c>
      <c r="AO127" s="35"/>
      <c r="AP127" s="38">
        <v>65</v>
      </c>
      <c r="AQ127" s="39">
        <f t="shared" si="17"/>
        <v>0.0923076923076923</v>
      </c>
    </row>
    <row r="128" ht="15.25" spans="1:43">
      <c r="A128" s="59" t="s">
        <v>692</v>
      </c>
      <c r="B128" s="63" t="s">
        <v>534</v>
      </c>
      <c r="C128" s="63" t="s">
        <v>112</v>
      </c>
      <c r="D128" s="62"/>
      <c r="E128" s="62"/>
      <c r="F128" s="62"/>
      <c r="G128" s="62"/>
      <c r="H128" s="62"/>
      <c r="I128" s="62"/>
      <c r="J128" s="62"/>
      <c r="K128" s="62"/>
      <c r="L128" s="62" t="s">
        <v>11</v>
      </c>
      <c r="M128" s="62"/>
      <c r="N128" s="62"/>
      <c r="O128" s="62"/>
      <c r="P128" s="62"/>
      <c r="Q128" s="62"/>
      <c r="R128" s="62"/>
      <c r="S128" s="62" t="s">
        <v>13</v>
      </c>
      <c r="T128" s="62"/>
      <c r="U128" s="62"/>
      <c r="V128" s="62"/>
      <c r="W128" s="62"/>
      <c r="X128" s="62"/>
      <c r="Y128" s="62"/>
      <c r="Z128" s="62"/>
      <c r="AA128" s="62" t="s">
        <v>13</v>
      </c>
      <c r="AB128" s="62"/>
      <c r="AC128" s="62"/>
      <c r="AD128" s="62" t="s">
        <v>11</v>
      </c>
      <c r="AE128" s="62"/>
      <c r="AF128" s="62"/>
      <c r="AG128" s="62"/>
      <c r="AH128" s="62"/>
      <c r="AJ128" s="36">
        <f t="shared" si="12"/>
        <v>2</v>
      </c>
      <c r="AK128" s="36">
        <f t="shared" si="13"/>
        <v>0</v>
      </c>
      <c r="AL128" s="36">
        <f t="shared" si="14"/>
        <v>2</v>
      </c>
      <c r="AM128" s="36">
        <f t="shared" si="15"/>
        <v>0</v>
      </c>
      <c r="AN128" s="38">
        <f t="shared" si="16"/>
        <v>4</v>
      </c>
      <c r="AO128" s="37"/>
      <c r="AP128" s="38">
        <v>67</v>
      </c>
      <c r="AQ128" s="39">
        <f t="shared" si="17"/>
        <v>0.0597014925373134</v>
      </c>
    </row>
    <row r="129" ht="15.25" spans="1:43">
      <c r="A129" s="59" t="s">
        <v>693</v>
      </c>
      <c r="B129" s="63" t="s">
        <v>165</v>
      </c>
      <c r="C129" s="63" t="s">
        <v>112</v>
      </c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J129" s="36">
        <f t="shared" si="12"/>
        <v>0</v>
      </c>
      <c r="AK129" s="36">
        <f t="shared" si="13"/>
        <v>0</v>
      </c>
      <c r="AL129" s="36">
        <f t="shared" si="14"/>
        <v>0</v>
      </c>
      <c r="AM129" s="36">
        <f t="shared" si="15"/>
        <v>0</v>
      </c>
      <c r="AN129" s="38">
        <f t="shared" si="16"/>
        <v>0</v>
      </c>
      <c r="AO129" s="43"/>
      <c r="AP129" s="38">
        <v>68</v>
      </c>
      <c r="AQ129" s="39">
        <f t="shared" si="17"/>
        <v>0</v>
      </c>
    </row>
    <row r="130" ht="15.25" spans="1:43">
      <c r="A130" s="59" t="s">
        <v>694</v>
      </c>
      <c r="B130" s="63" t="s">
        <v>16</v>
      </c>
      <c r="C130" s="63" t="s">
        <v>112</v>
      </c>
      <c r="D130" s="62"/>
      <c r="E130" s="62" t="s">
        <v>11</v>
      </c>
      <c r="F130" s="62"/>
      <c r="G130" s="62"/>
      <c r="H130" s="62"/>
      <c r="I130" s="62"/>
      <c r="J130" s="62"/>
      <c r="K130" s="62"/>
      <c r="L130" s="62"/>
      <c r="M130" s="62" t="s">
        <v>11</v>
      </c>
      <c r="N130" s="62"/>
      <c r="O130" s="62"/>
      <c r="P130" s="62"/>
      <c r="Q130" s="62"/>
      <c r="R130" s="62"/>
      <c r="S130" s="62"/>
      <c r="T130" s="62"/>
      <c r="U130" s="62"/>
      <c r="V130" s="62" t="s">
        <v>11</v>
      </c>
      <c r="W130" s="62"/>
      <c r="X130" s="62" t="s">
        <v>11</v>
      </c>
      <c r="Y130" s="62"/>
      <c r="Z130" s="62"/>
      <c r="AA130" s="62"/>
      <c r="AB130" s="62"/>
      <c r="AC130" s="62"/>
      <c r="AD130" s="62" t="s">
        <v>11</v>
      </c>
      <c r="AE130" s="62"/>
      <c r="AF130" s="62"/>
      <c r="AG130" s="62"/>
      <c r="AH130" s="62"/>
      <c r="AJ130" s="36">
        <f t="shared" si="12"/>
        <v>5</v>
      </c>
      <c r="AK130" s="36">
        <f t="shared" si="13"/>
        <v>0</v>
      </c>
      <c r="AL130" s="36">
        <f t="shared" si="14"/>
        <v>0</v>
      </c>
      <c r="AM130" s="36">
        <f t="shared" si="15"/>
        <v>0</v>
      </c>
      <c r="AN130" s="38">
        <f t="shared" si="16"/>
        <v>5</v>
      </c>
      <c r="AO130" s="37"/>
      <c r="AP130" s="38">
        <v>69</v>
      </c>
      <c r="AQ130" s="39">
        <f t="shared" si="17"/>
        <v>0.072463768115942</v>
      </c>
    </row>
    <row r="131" ht="15.25" spans="1:43">
      <c r="A131" s="59" t="s">
        <v>695</v>
      </c>
      <c r="B131" s="63" t="s">
        <v>16</v>
      </c>
      <c r="C131" s="63" t="s">
        <v>112</v>
      </c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 t="s">
        <v>11</v>
      </c>
      <c r="AD131" s="62"/>
      <c r="AE131" s="62"/>
      <c r="AF131" s="62"/>
      <c r="AG131" s="62"/>
      <c r="AH131" s="62"/>
      <c r="AJ131" s="36">
        <f t="shared" si="12"/>
        <v>1</v>
      </c>
      <c r="AK131" s="36">
        <f t="shared" si="13"/>
        <v>0</v>
      </c>
      <c r="AL131" s="36">
        <f t="shared" si="14"/>
        <v>0</v>
      </c>
      <c r="AM131" s="36">
        <f t="shared" si="15"/>
        <v>0</v>
      </c>
      <c r="AN131" s="38">
        <f t="shared" si="16"/>
        <v>1</v>
      </c>
      <c r="AO131" s="37"/>
      <c r="AP131" s="38">
        <v>70</v>
      </c>
      <c r="AQ131" s="39">
        <f t="shared" si="17"/>
        <v>0.0142857142857143</v>
      </c>
    </row>
    <row r="132" ht="15.25" spans="1:43">
      <c r="A132" s="59" t="s">
        <v>696</v>
      </c>
      <c r="B132" s="63" t="s">
        <v>16</v>
      </c>
      <c r="C132" s="63" t="s">
        <v>112</v>
      </c>
      <c r="D132" s="62"/>
      <c r="E132" s="62" t="s">
        <v>13</v>
      </c>
      <c r="F132" s="62"/>
      <c r="G132" s="62"/>
      <c r="H132" s="62"/>
      <c r="I132" s="62" t="s">
        <v>13</v>
      </c>
      <c r="J132" s="62"/>
      <c r="K132" s="62" t="s">
        <v>13</v>
      </c>
      <c r="L132" s="62"/>
      <c r="M132" s="62"/>
      <c r="N132" s="62" t="s">
        <v>13</v>
      </c>
      <c r="O132" s="62"/>
      <c r="P132" s="62"/>
      <c r="Q132" s="62"/>
      <c r="R132" s="62"/>
      <c r="S132" s="62" t="s">
        <v>12</v>
      </c>
      <c r="T132" s="62"/>
      <c r="U132" s="62"/>
      <c r="V132" s="62"/>
      <c r="W132" s="62"/>
      <c r="X132" s="62"/>
      <c r="Y132" s="62"/>
      <c r="Z132" s="62"/>
      <c r="AA132" s="62" t="s">
        <v>13</v>
      </c>
      <c r="AB132" s="62"/>
      <c r="AC132" s="62"/>
      <c r="AD132" s="62"/>
      <c r="AE132" s="62"/>
      <c r="AF132" s="62" t="s">
        <v>11</v>
      </c>
      <c r="AG132" s="62"/>
      <c r="AH132" s="62"/>
      <c r="AJ132" s="36">
        <f t="shared" si="12"/>
        <v>1</v>
      </c>
      <c r="AK132" s="36">
        <f t="shared" si="13"/>
        <v>1</v>
      </c>
      <c r="AL132" s="36">
        <f t="shared" si="14"/>
        <v>5</v>
      </c>
      <c r="AM132" s="36">
        <f t="shared" si="15"/>
        <v>0</v>
      </c>
      <c r="AN132" s="38">
        <f t="shared" si="16"/>
        <v>7</v>
      </c>
      <c r="AO132" s="37"/>
      <c r="AP132" s="38">
        <v>71</v>
      </c>
      <c r="AQ132" s="39">
        <f t="shared" si="17"/>
        <v>0.0985915492957746</v>
      </c>
    </row>
    <row r="133" ht="15.25" spans="1:43">
      <c r="A133" s="59" t="s">
        <v>697</v>
      </c>
      <c r="B133" s="63" t="s">
        <v>534</v>
      </c>
      <c r="C133" s="63" t="s">
        <v>112</v>
      </c>
      <c r="D133" s="62"/>
      <c r="E133" s="62"/>
      <c r="F133" s="62"/>
      <c r="G133" s="62"/>
      <c r="H133" s="62"/>
      <c r="I133" s="62"/>
      <c r="J133" s="62"/>
      <c r="K133" s="62"/>
      <c r="L133" s="62" t="s">
        <v>11</v>
      </c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 t="s">
        <v>11</v>
      </c>
      <c r="AC133" s="62" t="s">
        <v>11</v>
      </c>
      <c r="AD133" s="62"/>
      <c r="AE133" s="62"/>
      <c r="AF133" s="62"/>
      <c r="AG133" s="62"/>
      <c r="AH133" s="62"/>
      <c r="AJ133" s="36">
        <f t="shared" si="12"/>
        <v>3</v>
      </c>
      <c r="AK133" s="36">
        <f t="shared" si="13"/>
        <v>0</v>
      </c>
      <c r="AL133" s="36">
        <f t="shared" si="14"/>
        <v>0</v>
      </c>
      <c r="AM133" s="36">
        <f t="shared" si="15"/>
        <v>0</v>
      </c>
      <c r="AN133" s="38">
        <f t="shared" si="16"/>
        <v>3</v>
      </c>
      <c r="AO133" s="37"/>
      <c r="AP133" s="38">
        <v>72</v>
      </c>
      <c r="AQ133" s="39">
        <f t="shared" si="17"/>
        <v>0.0416666666666667</v>
      </c>
    </row>
    <row r="134" ht="15.25" spans="1:43">
      <c r="A134" s="59" t="s">
        <v>698</v>
      </c>
      <c r="B134" s="59" t="s">
        <v>16</v>
      </c>
      <c r="C134" s="59" t="s">
        <v>112</v>
      </c>
      <c r="D134" s="62"/>
      <c r="E134" s="62"/>
      <c r="F134" s="62"/>
      <c r="G134" s="62" t="s">
        <v>11</v>
      </c>
      <c r="H134" s="62"/>
      <c r="I134" s="62"/>
      <c r="J134" s="62"/>
      <c r="K134" s="62"/>
      <c r="L134" s="62"/>
      <c r="M134" s="62"/>
      <c r="N134" s="62"/>
      <c r="O134" s="62" t="s">
        <v>11</v>
      </c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J134" s="36">
        <f t="shared" si="12"/>
        <v>2</v>
      </c>
      <c r="AK134" s="36">
        <f t="shared" si="13"/>
        <v>0</v>
      </c>
      <c r="AL134" s="36">
        <f t="shared" si="14"/>
        <v>0</v>
      </c>
      <c r="AM134" s="36">
        <f t="shared" si="15"/>
        <v>0</v>
      </c>
      <c r="AN134" s="38">
        <f t="shared" si="16"/>
        <v>2</v>
      </c>
      <c r="AO134" s="43"/>
      <c r="AP134" s="38">
        <v>73</v>
      </c>
      <c r="AQ134" s="39">
        <f t="shared" si="17"/>
        <v>0.0273972602739726</v>
      </c>
    </row>
    <row r="135" ht="15.25" spans="1:43">
      <c r="A135" s="92" t="s">
        <v>701</v>
      </c>
      <c r="B135" s="92" t="s">
        <v>165</v>
      </c>
      <c r="C135" s="92" t="s">
        <v>112</v>
      </c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J135" s="36">
        <f t="shared" si="12"/>
        <v>0</v>
      </c>
      <c r="AK135" s="36">
        <f t="shared" si="13"/>
        <v>0</v>
      </c>
      <c r="AL135" s="36">
        <f t="shared" si="14"/>
        <v>0</v>
      </c>
      <c r="AM135" s="36">
        <f t="shared" si="15"/>
        <v>0</v>
      </c>
      <c r="AN135" s="38">
        <f t="shared" si="16"/>
        <v>0</v>
      </c>
      <c r="AO135" s="37"/>
      <c r="AP135" s="38">
        <v>75</v>
      </c>
      <c r="AQ135" s="39">
        <f t="shared" si="17"/>
        <v>0</v>
      </c>
    </row>
    <row r="136" ht="15.25" spans="1:43">
      <c r="A136" s="59" t="s">
        <v>524</v>
      </c>
      <c r="B136" s="94" t="s">
        <v>702</v>
      </c>
      <c r="C136" s="59" t="s">
        <v>112</v>
      </c>
      <c r="D136" s="62"/>
      <c r="E136" s="62"/>
      <c r="F136" s="62"/>
      <c r="G136" s="62"/>
      <c r="H136" s="62"/>
      <c r="I136" s="62" t="s">
        <v>11</v>
      </c>
      <c r="J136" s="62"/>
      <c r="K136" s="62"/>
      <c r="L136" s="62"/>
      <c r="M136" s="62"/>
      <c r="N136" s="62"/>
      <c r="O136" s="62"/>
      <c r="P136" s="62" t="s">
        <v>11</v>
      </c>
      <c r="Q136" s="62" t="s">
        <v>11</v>
      </c>
      <c r="R136" s="62"/>
      <c r="S136" s="62"/>
      <c r="T136" s="62"/>
      <c r="U136" s="62" t="s">
        <v>12</v>
      </c>
      <c r="V136" s="62" t="s">
        <v>13</v>
      </c>
      <c r="W136" s="62"/>
      <c r="X136" s="62"/>
      <c r="Y136" s="62"/>
      <c r="Z136" s="62"/>
      <c r="AA136" s="62"/>
      <c r="AB136" s="62" t="s">
        <v>11</v>
      </c>
      <c r="AC136" s="62"/>
      <c r="AD136" s="62"/>
      <c r="AE136" s="62"/>
      <c r="AF136" s="62"/>
      <c r="AG136" s="62"/>
      <c r="AH136" s="62"/>
      <c r="AJ136" s="36">
        <f t="shared" si="12"/>
        <v>4</v>
      </c>
      <c r="AK136" s="36">
        <f t="shared" si="13"/>
        <v>1</v>
      </c>
      <c r="AL136" s="36">
        <f t="shared" si="14"/>
        <v>1</v>
      </c>
      <c r="AM136" s="36">
        <f t="shared" si="15"/>
        <v>0</v>
      </c>
      <c r="AN136" s="38">
        <f t="shared" si="16"/>
        <v>6</v>
      </c>
      <c r="AO136" s="129"/>
      <c r="AP136" s="38">
        <v>76</v>
      </c>
      <c r="AQ136" s="39">
        <f t="shared" si="17"/>
        <v>0.0789473684210526</v>
      </c>
    </row>
    <row r="137" ht="15.25" spans="1:43">
      <c r="A137" s="59" t="s">
        <v>703</v>
      </c>
      <c r="B137" s="59" t="s">
        <v>534</v>
      </c>
      <c r="C137" s="59" t="s">
        <v>112</v>
      </c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 t="s">
        <v>12</v>
      </c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J137" s="36">
        <f t="shared" si="12"/>
        <v>0</v>
      </c>
      <c r="AK137" s="36">
        <f t="shared" si="13"/>
        <v>1</v>
      </c>
      <c r="AL137" s="36">
        <f t="shared" si="14"/>
        <v>0</v>
      </c>
      <c r="AM137" s="36">
        <f t="shared" si="15"/>
        <v>0</v>
      </c>
      <c r="AN137" s="38">
        <f t="shared" si="16"/>
        <v>1</v>
      </c>
      <c r="AO137" s="43"/>
      <c r="AP137" s="38">
        <v>77</v>
      </c>
      <c r="AQ137" s="39">
        <f t="shared" si="17"/>
        <v>0.012987012987013</v>
      </c>
    </row>
    <row r="138" ht="15.25" spans="1:43">
      <c r="A138" s="59" t="s">
        <v>704</v>
      </c>
      <c r="B138" s="59" t="s">
        <v>534</v>
      </c>
      <c r="C138" s="59" t="s">
        <v>112</v>
      </c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J138" s="36">
        <f t="shared" si="12"/>
        <v>0</v>
      </c>
      <c r="AK138" s="36">
        <f t="shared" si="13"/>
        <v>0</v>
      </c>
      <c r="AL138" s="36">
        <f t="shared" si="14"/>
        <v>0</v>
      </c>
      <c r="AM138" s="36">
        <f t="shared" si="15"/>
        <v>0</v>
      </c>
      <c r="AN138" s="38">
        <f t="shared" si="16"/>
        <v>0</v>
      </c>
      <c r="AO138" s="38"/>
      <c r="AP138" s="38">
        <v>78</v>
      </c>
      <c r="AQ138" s="39">
        <f t="shared" si="17"/>
        <v>0</v>
      </c>
    </row>
    <row r="139" ht="15.25" spans="1:43">
      <c r="A139" s="59" t="s">
        <v>705</v>
      </c>
      <c r="B139" s="59" t="s">
        <v>16</v>
      </c>
      <c r="C139" s="59" t="s">
        <v>112</v>
      </c>
      <c r="D139" s="62"/>
      <c r="E139" s="62"/>
      <c r="F139" s="62"/>
      <c r="G139" s="62"/>
      <c r="H139" s="62"/>
      <c r="I139" s="62"/>
      <c r="J139" s="62"/>
      <c r="K139" s="62" t="s">
        <v>13</v>
      </c>
      <c r="L139" s="62"/>
      <c r="M139" s="62" t="s">
        <v>11</v>
      </c>
      <c r="N139" s="62" t="s">
        <v>11</v>
      </c>
      <c r="O139" s="62"/>
      <c r="P139" s="62"/>
      <c r="Q139" s="62"/>
      <c r="R139" s="62"/>
      <c r="S139" s="62"/>
      <c r="T139" s="62"/>
      <c r="U139" s="62"/>
      <c r="V139" s="62" t="s">
        <v>11</v>
      </c>
      <c r="W139" s="62"/>
      <c r="X139" s="62"/>
      <c r="Y139" s="62" t="s">
        <v>11</v>
      </c>
      <c r="Z139" s="62"/>
      <c r="AA139" s="62"/>
      <c r="AB139" s="62"/>
      <c r="AC139" s="62"/>
      <c r="AD139" s="62"/>
      <c r="AE139" s="62"/>
      <c r="AF139" s="62"/>
      <c r="AG139" s="62"/>
      <c r="AH139" s="62"/>
      <c r="AJ139" s="36">
        <f t="shared" si="12"/>
        <v>4</v>
      </c>
      <c r="AK139" s="36">
        <f t="shared" si="13"/>
        <v>0</v>
      </c>
      <c r="AL139" s="36">
        <f t="shared" si="14"/>
        <v>1</v>
      </c>
      <c r="AM139" s="36">
        <f t="shared" si="15"/>
        <v>0</v>
      </c>
      <c r="AN139" s="38">
        <f t="shared" si="16"/>
        <v>5</v>
      </c>
      <c r="AO139" s="43"/>
      <c r="AP139" s="38">
        <v>79</v>
      </c>
      <c r="AQ139" s="39">
        <f t="shared" si="17"/>
        <v>0.0632911392405063</v>
      </c>
    </row>
    <row r="140" ht="15.25" spans="1:43">
      <c r="A140" s="59" t="s">
        <v>708</v>
      </c>
      <c r="B140" s="59" t="s">
        <v>16</v>
      </c>
      <c r="C140" s="59" t="s">
        <v>178</v>
      </c>
      <c r="D140" s="62" t="s">
        <v>11</v>
      </c>
      <c r="E140" s="62"/>
      <c r="F140" s="62" t="s">
        <v>11</v>
      </c>
      <c r="G140" s="62"/>
      <c r="H140" s="62"/>
      <c r="I140" s="62"/>
      <c r="J140" s="62" t="s">
        <v>11</v>
      </c>
      <c r="K140" s="62"/>
      <c r="L140" s="62"/>
      <c r="M140" s="62"/>
      <c r="N140" s="62"/>
      <c r="O140" s="62"/>
      <c r="P140" s="62" t="s">
        <v>40</v>
      </c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 t="s">
        <v>11</v>
      </c>
      <c r="AC140" s="62"/>
      <c r="AD140" s="62"/>
      <c r="AE140" s="62"/>
      <c r="AF140" s="62"/>
      <c r="AG140" s="62"/>
      <c r="AH140" s="62"/>
      <c r="AJ140" s="36">
        <f t="shared" si="12"/>
        <v>5</v>
      </c>
      <c r="AK140" s="36">
        <f t="shared" si="13"/>
        <v>0</v>
      </c>
      <c r="AL140" s="36">
        <f t="shared" si="14"/>
        <v>0</v>
      </c>
      <c r="AM140" s="36">
        <f t="shared" si="15"/>
        <v>0</v>
      </c>
      <c r="AN140" s="38">
        <f t="shared" si="16"/>
        <v>5</v>
      </c>
      <c r="AO140" s="38"/>
      <c r="AP140" s="38">
        <v>82</v>
      </c>
      <c r="AQ140" s="39">
        <f t="shared" si="17"/>
        <v>0.0609756097560976</v>
      </c>
    </row>
    <row r="141" ht="15.25" spans="1:43">
      <c r="A141" s="59" t="s">
        <v>525</v>
      </c>
      <c r="B141" s="59" t="s">
        <v>211</v>
      </c>
      <c r="C141" s="59" t="s">
        <v>178</v>
      </c>
      <c r="D141" s="62" t="s">
        <v>11</v>
      </c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 t="s">
        <v>13</v>
      </c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J141" s="36">
        <f t="shared" si="12"/>
        <v>1</v>
      </c>
      <c r="AK141" s="36">
        <f t="shared" si="13"/>
        <v>0</v>
      </c>
      <c r="AL141" s="36">
        <f t="shared" si="14"/>
        <v>1</v>
      </c>
      <c r="AM141" s="36">
        <f t="shared" si="15"/>
        <v>0</v>
      </c>
      <c r="AN141" s="38">
        <f t="shared" si="16"/>
        <v>2</v>
      </c>
      <c r="AO141" s="130"/>
      <c r="AP141" s="38">
        <v>83</v>
      </c>
      <c r="AQ141" s="39">
        <f t="shared" si="17"/>
        <v>0.0240963855421687</v>
      </c>
    </row>
    <row r="142" ht="15.25" spans="1:43">
      <c r="A142" s="59" t="s">
        <v>528</v>
      </c>
      <c r="B142" s="59" t="s">
        <v>16</v>
      </c>
      <c r="C142" s="59" t="s">
        <v>178</v>
      </c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J142" s="36">
        <f t="shared" si="12"/>
        <v>0</v>
      </c>
      <c r="AK142" s="36">
        <f t="shared" si="13"/>
        <v>0</v>
      </c>
      <c r="AL142" s="36">
        <f t="shared" si="14"/>
        <v>0</v>
      </c>
      <c r="AM142" s="36">
        <f t="shared" si="15"/>
        <v>0</v>
      </c>
      <c r="AN142" s="38">
        <f t="shared" si="16"/>
        <v>0</v>
      </c>
      <c r="AO142" s="43"/>
      <c r="AP142" s="38">
        <v>84</v>
      </c>
      <c r="AQ142" s="39">
        <f t="shared" si="17"/>
        <v>0</v>
      </c>
    </row>
    <row r="143" ht="15.25" spans="1:43">
      <c r="A143" s="76" t="s">
        <v>529</v>
      </c>
      <c r="B143" s="76" t="s">
        <v>165</v>
      </c>
      <c r="C143" s="76" t="s">
        <v>178</v>
      </c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J143" s="36">
        <f t="shared" si="12"/>
        <v>0</v>
      </c>
      <c r="AK143" s="36">
        <f t="shared" si="13"/>
        <v>0</v>
      </c>
      <c r="AL143" s="36">
        <f t="shared" si="14"/>
        <v>0</v>
      </c>
      <c r="AM143" s="36">
        <f t="shared" si="15"/>
        <v>0</v>
      </c>
      <c r="AN143" s="38">
        <f t="shared" si="16"/>
        <v>0</v>
      </c>
      <c r="AO143" s="43"/>
      <c r="AP143" s="38">
        <v>85</v>
      </c>
      <c r="AQ143" s="39">
        <f t="shared" si="17"/>
        <v>0</v>
      </c>
    </row>
    <row r="144" ht="15.25" spans="1:43">
      <c r="A144" s="76" t="s">
        <v>530</v>
      </c>
      <c r="B144" s="76" t="s">
        <v>165</v>
      </c>
      <c r="C144" s="76" t="s">
        <v>178</v>
      </c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J144" s="36">
        <f t="shared" si="12"/>
        <v>0</v>
      </c>
      <c r="AK144" s="36">
        <f t="shared" si="13"/>
        <v>0</v>
      </c>
      <c r="AL144" s="36">
        <f t="shared" si="14"/>
        <v>0</v>
      </c>
      <c r="AM144" s="36">
        <f t="shared" si="15"/>
        <v>0</v>
      </c>
      <c r="AN144" s="38">
        <f t="shared" si="16"/>
        <v>0</v>
      </c>
      <c r="AO144" s="43"/>
      <c r="AP144" s="38">
        <v>86</v>
      </c>
      <c r="AQ144" s="39">
        <f t="shared" si="17"/>
        <v>0</v>
      </c>
    </row>
    <row r="145" ht="15.25" spans="1:43">
      <c r="A145" s="59" t="s">
        <v>531</v>
      </c>
      <c r="B145" s="59" t="s">
        <v>16</v>
      </c>
      <c r="C145" s="59" t="s">
        <v>178</v>
      </c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J145" s="36">
        <f t="shared" si="12"/>
        <v>0</v>
      </c>
      <c r="AK145" s="36">
        <f t="shared" si="13"/>
        <v>0</v>
      </c>
      <c r="AL145" s="36">
        <f t="shared" si="14"/>
        <v>0</v>
      </c>
      <c r="AM145" s="36">
        <f t="shared" si="15"/>
        <v>0</v>
      </c>
      <c r="AN145" s="38">
        <f t="shared" si="16"/>
        <v>0</v>
      </c>
      <c r="AO145" s="43"/>
      <c r="AP145" s="38">
        <v>87</v>
      </c>
      <c r="AQ145" s="39">
        <f t="shared" si="17"/>
        <v>0</v>
      </c>
    </row>
    <row r="146" ht="15.25" spans="1:43">
      <c r="A146" s="63" t="s">
        <v>533</v>
      </c>
      <c r="B146" s="63" t="s">
        <v>534</v>
      </c>
      <c r="C146" s="63" t="s">
        <v>178</v>
      </c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 t="s">
        <v>11</v>
      </c>
      <c r="Q146" s="62"/>
      <c r="R146" s="62"/>
      <c r="S146" s="62"/>
      <c r="T146" s="62"/>
      <c r="U146" s="62"/>
      <c r="V146" s="62"/>
      <c r="W146" s="62" t="s">
        <v>11</v>
      </c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 t="s">
        <v>11</v>
      </c>
      <c r="AJ146" s="36">
        <f t="shared" si="12"/>
        <v>3</v>
      </c>
      <c r="AK146" s="36">
        <f t="shared" si="13"/>
        <v>0</v>
      </c>
      <c r="AL146" s="36">
        <f t="shared" si="14"/>
        <v>0</v>
      </c>
      <c r="AM146" s="36">
        <f t="shared" si="15"/>
        <v>0</v>
      </c>
      <c r="AN146" s="38">
        <f t="shared" si="16"/>
        <v>3</v>
      </c>
      <c r="AO146" s="128"/>
      <c r="AP146" s="38">
        <v>89</v>
      </c>
      <c r="AQ146" s="39">
        <f t="shared" si="17"/>
        <v>0.0337078651685393</v>
      </c>
    </row>
    <row r="147" ht="15.25" spans="1:43">
      <c r="A147" s="63" t="s">
        <v>535</v>
      </c>
      <c r="B147" s="85" t="s">
        <v>16</v>
      </c>
      <c r="C147" s="63" t="s">
        <v>178</v>
      </c>
      <c r="D147" s="62"/>
      <c r="E147" s="62"/>
      <c r="F147" s="62"/>
      <c r="G147" s="62"/>
      <c r="H147" s="62"/>
      <c r="I147" s="62"/>
      <c r="J147" s="62"/>
      <c r="K147" s="62"/>
      <c r="L147" s="62" t="s">
        <v>103</v>
      </c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 t="s">
        <v>11</v>
      </c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J147" s="36">
        <f t="shared" si="12"/>
        <v>1</v>
      </c>
      <c r="AK147" s="36">
        <f t="shared" si="13"/>
        <v>1</v>
      </c>
      <c r="AL147" s="36">
        <f t="shared" si="14"/>
        <v>0</v>
      </c>
      <c r="AM147" s="36">
        <f t="shared" si="15"/>
        <v>0</v>
      </c>
      <c r="AN147" s="38">
        <f t="shared" si="16"/>
        <v>2</v>
      </c>
      <c r="AO147" s="43"/>
      <c r="AP147" s="38">
        <v>90</v>
      </c>
      <c r="AQ147" s="39">
        <f t="shared" si="17"/>
        <v>0.0222222222222222</v>
      </c>
    </row>
    <row r="148" ht="15.25" spans="1:43">
      <c r="A148" s="63" t="s">
        <v>536</v>
      </c>
      <c r="B148" s="63" t="s">
        <v>16</v>
      </c>
      <c r="C148" s="63" t="s">
        <v>178</v>
      </c>
      <c r="D148" s="62" t="s">
        <v>11</v>
      </c>
      <c r="E148" s="62" t="s">
        <v>11</v>
      </c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 t="s">
        <v>13</v>
      </c>
      <c r="AJ148" s="36">
        <f t="shared" si="12"/>
        <v>2</v>
      </c>
      <c r="AK148" s="36">
        <f t="shared" si="13"/>
        <v>0</v>
      </c>
      <c r="AL148" s="36">
        <f t="shared" si="14"/>
        <v>1</v>
      </c>
      <c r="AM148" s="36">
        <f t="shared" si="15"/>
        <v>0</v>
      </c>
      <c r="AN148" s="38">
        <f t="shared" si="16"/>
        <v>3</v>
      </c>
      <c r="AO148" s="43"/>
      <c r="AP148" s="38">
        <v>91</v>
      </c>
      <c r="AQ148" s="39">
        <f t="shared" si="17"/>
        <v>0.032967032967033</v>
      </c>
    </row>
    <row r="149" ht="15.25" spans="1:43">
      <c r="A149" s="63" t="s">
        <v>537</v>
      </c>
      <c r="B149" s="63" t="s">
        <v>16</v>
      </c>
      <c r="C149" s="63" t="s">
        <v>178</v>
      </c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 t="s">
        <v>11</v>
      </c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 t="s">
        <v>13</v>
      </c>
      <c r="AJ149" s="36">
        <f t="shared" si="12"/>
        <v>1</v>
      </c>
      <c r="AK149" s="36">
        <f t="shared" si="13"/>
        <v>0</v>
      </c>
      <c r="AL149" s="36">
        <f t="shared" si="14"/>
        <v>1</v>
      </c>
      <c r="AM149" s="36">
        <f t="shared" si="15"/>
        <v>0</v>
      </c>
      <c r="AN149" s="38">
        <f t="shared" si="16"/>
        <v>2</v>
      </c>
      <c r="AO149" s="43"/>
      <c r="AP149" s="38">
        <v>92</v>
      </c>
      <c r="AQ149" s="39">
        <f t="shared" si="17"/>
        <v>0.0217391304347826</v>
      </c>
    </row>
    <row r="150" ht="15.25" spans="1:43">
      <c r="A150" s="63" t="s">
        <v>538</v>
      </c>
      <c r="B150" s="85" t="s">
        <v>16</v>
      </c>
      <c r="C150" s="63" t="s">
        <v>178</v>
      </c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 t="s">
        <v>11</v>
      </c>
      <c r="P150" s="62"/>
      <c r="Q150" s="62"/>
      <c r="R150" s="62"/>
      <c r="S150" s="62"/>
      <c r="T150" s="62" t="s">
        <v>11</v>
      </c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J150" s="36">
        <f t="shared" si="12"/>
        <v>2</v>
      </c>
      <c r="AK150" s="36">
        <f t="shared" si="13"/>
        <v>0</v>
      </c>
      <c r="AL150" s="36">
        <f t="shared" si="14"/>
        <v>0</v>
      </c>
      <c r="AM150" s="36">
        <f t="shared" si="15"/>
        <v>0</v>
      </c>
      <c r="AN150" s="38">
        <f t="shared" si="16"/>
        <v>2</v>
      </c>
      <c r="AO150" s="37"/>
      <c r="AP150" s="38">
        <v>93</v>
      </c>
      <c r="AQ150" s="39">
        <f t="shared" si="17"/>
        <v>0.021505376344086</v>
      </c>
    </row>
    <row r="151" ht="15.25" spans="1:43">
      <c r="A151" s="63" t="s">
        <v>539</v>
      </c>
      <c r="B151" s="85" t="s">
        <v>16</v>
      </c>
      <c r="C151" s="63" t="s">
        <v>178</v>
      </c>
      <c r="D151" s="62"/>
      <c r="E151" s="62"/>
      <c r="F151" s="62" t="s">
        <v>11</v>
      </c>
      <c r="G151" s="62"/>
      <c r="H151" s="62"/>
      <c r="I151" s="62"/>
      <c r="J151" s="62"/>
      <c r="K151" s="62"/>
      <c r="L151" s="62"/>
      <c r="M151" s="62"/>
      <c r="N151" s="62"/>
      <c r="O151" s="62" t="s">
        <v>11</v>
      </c>
      <c r="P151" s="62"/>
      <c r="Q151" s="62"/>
      <c r="R151" s="62"/>
      <c r="S151" s="62"/>
      <c r="T151" s="62" t="s">
        <v>11</v>
      </c>
      <c r="U151" s="62"/>
      <c r="V151" s="62"/>
      <c r="W151" s="62" t="s">
        <v>11</v>
      </c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 t="s">
        <v>11</v>
      </c>
      <c r="AJ151" s="36">
        <f t="shared" si="12"/>
        <v>5</v>
      </c>
      <c r="AK151" s="36">
        <f t="shared" si="13"/>
        <v>0</v>
      </c>
      <c r="AL151" s="36">
        <f t="shared" si="14"/>
        <v>0</v>
      </c>
      <c r="AM151" s="36">
        <f t="shared" si="15"/>
        <v>0</v>
      </c>
      <c r="AN151" s="38">
        <f t="shared" si="16"/>
        <v>5</v>
      </c>
      <c r="AO151" s="37"/>
      <c r="AP151" s="38">
        <v>94</v>
      </c>
      <c r="AQ151" s="39">
        <f t="shared" si="17"/>
        <v>0.0531914893617021</v>
      </c>
    </row>
    <row r="152" ht="15.25" spans="1:43">
      <c r="A152" s="63" t="s">
        <v>540</v>
      </c>
      <c r="B152" s="85" t="s">
        <v>16</v>
      </c>
      <c r="C152" s="63" t="s">
        <v>178</v>
      </c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 t="s">
        <v>11</v>
      </c>
      <c r="P152" s="62"/>
      <c r="Q152" s="62"/>
      <c r="R152" s="62"/>
      <c r="S152" s="62" t="s">
        <v>11</v>
      </c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 t="s">
        <v>11</v>
      </c>
      <c r="AH152" s="62"/>
      <c r="AJ152" s="36">
        <f t="shared" si="12"/>
        <v>3</v>
      </c>
      <c r="AK152" s="36">
        <f t="shared" si="13"/>
        <v>0</v>
      </c>
      <c r="AL152" s="36">
        <f t="shared" si="14"/>
        <v>0</v>
      </c>
      <c r="AM152" s="36">
        <f t="shared" si="15"/>
        <v>0</v>
      </c>
      <c r="AN152" s="38">
        <f t="shared" si="16"/>
        <v>3</v>
      </c>
      <c r="AO152" s="43"/>
      <c r="AP152" s="38">
        <v>95</v>
      </c>
      <c r="AQ152" s="39">
        <f t="shared" si="17"/>
        <v>0.0315789473684211</v>
      </c>
    </row>
    <row r="153" ht="15.25" spans="1:43">
      <c r="A153" s="63" t="s">
        <v>542</v>
      </c>
      <c r="B153" s="85" t="s">
        <v>165</v>
      </c>
      <c r="C153" s="63" t="s">
        <v>178</v>
      </c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J153" s="36">
        <f t="shared" ref="AJ153:AJ178" si="18">COUNTIF(D153:AH153,"S")</f>
        <v>0</v>
      </c>
      <c r="AK153" s="36">
        <f t="shared" ref="AK153:AK178" si="19">COUNTIF(D153:AH153,"I")</f>
        <v>0</v>
      </c>
      <c r="AL153" s="36">
        <f t="shared" ref="AL153:AL178" si="20">COUNTIF(D153:AH153,"A")</f>
        <v>0</v>
      </c>
      <c r="AM153" s="36">
        <f t="shared" ref="AM153:AM178" si="21">COUNTIF(D153:AI153,"PA")</f>
        <v>0</v>
      </c>
      <c r="AN153" s="38">
        <f t="shared" ref="AN153:AN178" si="22">SUM(AJ153:AL153)</f>
        <v>0</v>
      </c>
      <c r="AO153" s="43"/>
      <c r="AP153" s="38">
        <v>97</v>
      </c>
      <c r="AQ153" s="39">
        <f t="shared" ref="AQ153:AQ178" si="23">AN153/AP153</f>
        <v>0</v>
      </c>
    </row>
    <row r="154" ht="15.25" spans="1:43">
      <c r="A154" s="63" t="s">
        <v>543</v>
      </c>
      <c r="B154" s="85" t="s">
        <v>16</v>
      </c>
      <c r="C154" s="63" t="s">
        <v>178</v>
      </c>
      <c r="D154" s="62"/>
      <c r="E154" s="62"/>
      <c r="F154" s="62"/>
      <c r="G154" s="62"/>
      <c r="H154" s="62"/>
      <c r="I154" s="62" t="s">
        <v>11</v>
      </c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 t="s">
        <v>11</v>
      </c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 t="s">
        <v>11</v>
      </c>
      <c r="AJ154" s="36">
        <f t="shared" si="18"/>
        <v>3</v>
      </c>
      <c r="AK154" s="36">
        <f t="shared" si="19"/>
        <v>0</v>
      </c>
      <c r="AL154" s="36">
        <f t="shared" si="20"/>
        <v>0</v>
      </c>
      <c r="AM154" s="36">
        <f t="shared" si="21"/>
        <v>0</v>
      </c>
      <c r="AN154" s="38">
        <f t="shared" si="22"/>
        <v>3</v>
      </c>
      <c r="AO154" s="43"/>
      <c r="AP154" s="38">
        <v>98</v>
      </c>
      <c r="AQ154" s="39">
        <f t="shared" si="23"/>
        <v>0.0306122448979592</v>
      </c>
    </row>
    <row r="155" ht="15.25" spans="1:43">
      <c r="A155" s="63" t="s">
        <v>544</v>
      </c>
      <c r="B155" s="85" t="s">
        <v>16</v>
      </c>
      <c r="C155" s="63" t="s">
        <v>178</v>
      </c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J155" s="36">
        <f t="shared" si="18"/>
        <v>0</v>
      </c>
      <c r="AK155" s="36">
        <f t="shared" si="19"/>
        <v>0</v>
      </c>
      <c r="AL155" s="36">
        <f t="shared" si="20"/>
        <v>0</v>
      </c>
      <c r="AM155" s="36">
        <f t="shared" si="21"/>
        <v>0</v>
      </c>
      <c r="AN155" s="38">
        <f t="shared" si="22"/>
        <v>0</v>
      </c>
      <c r="AO155" s="131"/>
      <c r="AP155" s="38">
        <v>99</v>
      </c>
      <c r="AQ155" s="39">
        <f t="shared" si="23"/>
        <v>0</v>
      </c>
    </row>
    <row r="156" ht="15.25" spans="1:43">
      <c r="A156" s="63" t="s">
        <v>545</v>
      </c>
      <c r="B156" s="85" t="s">
        <v>16</v>
      </c>
      <c r="C156" s="63" t="s">
        <v>178</v>
      </c>
      <c r="D156" s="62" t="s">
        <v>12</v>
      </c>
      <c r="E156" s="62" t="s">
        <v>103</v>
      </c>
      <c r="F156" s="62" t="s">
        <v>103</v>
      </c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J156" s="36">
        <f t="shared" si="18"/>
        <v>0</v>
      </c>
      <c r="AK156" s="36">
        <f t="shared" si="19"/>
        <v>3</v>
      </c>
      <c r="AL156" s="36">
        <f t="shared" si="20"/>
        <v>0</v>
      </c>
      <c r="AM156" s="36">
        <f t="shared" si="21"/>
        <v>0</v>
      </c>
      <c r="AN156" s="38">
        <f t="shared" si="22"/>
        <v>3</v>
      </c>
      <c r="AO156" s="131"/>
      <c r="AP156" s="38">
        <v>100</v>
      </c>
      <c r="AQ156" s="39">
        <f t="shared" si="23"/>
        <v>0.03</v>
      </c>
    </row>
    <row r="157" ht="15.25" spans="1:43">
      <c r="A157" s="63" t="s">
        <v>547</v>
      </c>
      <c r="B157" s="85" t="s">
        <v>16</v>
      </c>
      <c r="C157" s="63" t="s">
        <v>178</v>
      </c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 t="s">
        <v>13</v>
      </c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J157" s="36">
        <f t="shared" si="18"/>
        <v>0</v>
      </c>
      <c r="AK157" s="36">
        <f t="shared" si="19"/>
        <v>0</v>
      </c>
      <c r="AL157" s="36">
        <f t="shared" si="20"/>
        <v>1</v>
      </c>
      <c r="AM157" s="36">
        <f t="shared" si="21"/>
        <v>0</v>
      </c>
      <c r="AN157" s="38">
        <f t="shared" si="22"/>
        <v>1</v>
      </c>
      <c r="AO157" s="43"/>
      <c r="AP157" s="38">
        <v>102</v>
      </c>
      <c r="AQ157" s="39">
        <f t="shared" si="23"/>
        <v>0.00980392156862745</v>
      </c>
    </row>
    <row r="158" ht="15.25" spans="1:43">
      <c r="A158" s="63" t="s">
        <v>548</v>
      </c>
      <c r="B158" s="85" t="s">
        <v>534</v>
      </c>
      <c r="C158" s="63" t="s">
        <v>178</v>
      </c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 t="s">
        <v>13</v>
      </c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J158" s="36">
        <f t="shared" si="18"/>
        <v>0</v>
      </c>
      <c r="AK158" s="36">
        <f t="shared" si="19"/>
        <v>0</v>
      </c>
      <c r="AL158" s="36">
        <f t="shared" si="20"/>
        <v>1</v>
      </c>
      <c r="AM158" s="36">
        <f t="shared" si="21"/>
        <v>0</v>
      </c>
      <c r="AN158" s="38">
        <f t="shared" si="22"/>
        <v>1</v>
      </c>
      <c r="AO158" s="43"/>
      <c r="AP158" s="38">
        <v>103</v>
      </c>
      <c r="AQ158" s="39">
        <f t="shared" si="23"/>
        <v>0.00970873786407767</v>
      </c>
    </row>
    <row r="159" ht="15.25" spans="1:43">
      <c r="A159" s="63" t="s">
        <v>549</v>
      </c>
      <c r="B159" s="85" t="s">
        <v>16</v>
      </c>
      <c r="C159" s="63" t="s">
        <v>178</v>
      </c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J159" s="36">
        <f t="shared" si="18"/>
        <v>0</v>
      </c>
      <c r="AK159" s="36">
        <f t="shared" si="19"/>
        <v>0</v>
      </c>
      <c r="AL159" s="36">
        <f t="shared" si="20"/>
        <v>0</v>
      </c>
      <c r="AM159" s="36">
        <f t="shared" si="21"/>
        <v>0</v>
      </c>
      <c r="AN159" s="38">
        <f t="shared" si="22"/>
        <v>0</v>
      </c>
      <c r="AO159" s="43"/>
      <c r="AP159" s="38">
        <v>104</v>
      </c>
      <c r="AQ159" s="39">
        <f t="shared" si="23"/>
        <v>0</v>
      </c>
    </row>
    <row r="160" ht="15.25" spans="1:43">
      <c r="A160" s="63" t="s">
        <v>551</v>
      </c>
      <c r="B160" s="85" t="s">
        <v>165</v>
      </c>
      <c r="C160" s="63" t="s">
        <v>178</v>
      </c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J160" s="36">
        <f t="shared" si="18"/>
        <v>0</v>
      </c>
      <c r="AK160" s="36">
        <f t="shared" si="19"/>
        <v>0</v>
      </c>
      <c r="AL160" s="36">
        <f t="shared" si="20"/>
        <v>0</v>
      </c>
      <c r="AM160" s="36">
        <f t="shared" si="21"/>
        <v>0</v>
      </c>
      <c r="AN160" s="38">
        <f t="shared" si="22"/>
        <v>0</v>
      </c>
      <c r="AO160" s="43"/>
      <c r="AP160" s="38">
        <v>106</v>
      </c>
      <c r="AQ160" s="39">
        <f t="shared" si="23"/>
        <v>0</v>
      </c>
    </row>
    <row r="161" ht="15.25" spans="1:43">
      <c r="A161" s="63" t="s">
        <v>552</v>
      </c>
      <c r="B161" s="85" t="s">
        <v>16</v>
      </c>
      <c r="C161" s="63" t="s">
        <v>178</v>
      </c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 t="s">
        <v>11</v>
      </c>
      <c r="T161" s="62"/>
      <c r="U161" s="62"/>
      <c r="V161" s="62"/>
      <c r="W161" s="62"/>
      <c r="X161" s="62"/>
      <c r="Y161" s="62"/>
      <c r="Z161" s="62"/>
      <c r="AA161" s="62" t="s">
        <v>13</v>
      </c>
      <c r="AB161" s="62"/>
      <c r="AC161" s="62"/>
      <c r="AD161" s="62"/>
      <c r="AE161" s="62"/>
      <c r="AF161" s="62"/>
      <c r="AG161" s="62"/>
      <c r="AH161" s="62"/>
      <c r="AJ161" s="36">
        <f t="shared" si="18"/>
        <v>1</v>
      </c>
      <c r="AK161" s="36">
        <f t="shared" si="19"/>
        <v>0</v>
      </c>
      <c r="AL161" s="36">
        <f t="shared" si="20"/>
        <v>1</v>
      </c>
      <c r="AM161" s="36">
        <f t="shared" si="21"/>
        <v>0</v>
      </c>
      <c r="AN161" s="38">
        <f t="shared" si="22"/>
        <v>2</v>
      </c>
      <c r="AO161" s="43"/>
      <c r="AP161" s="38">
        <v>107</v>
      </c>
      <c r="AQ161" s="39">
        <f t="shared" si="23"/>
        <v>0.0186915887850467</v>
      </c>
    </row>
    <row r="162" ht="15.25" spans="1:43">
      <c r="A162" s="63" t="s">
        <v>553</v>
      </c>
      <c r="B162" s="85" t="s">
        <v>16</v>
      </c>
      <c r="C162" s="63" t="s">
        <v>178</v>
      </c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 t="s">
        <v>11</v>
      </c>
      <c r="AB162" s="62"/>
      <c r="AC162" s="62"/>
      <c r="AD162" s="62"/>
      <c r="AE162" s="62"/>
      <c r="AF162" s="62"/>
      <c r="AG162" s="62"/>
      <c r="AH162" s="62"/>
      <c r="AJ162" s="36">
        <f t="shared" si="18"/>
        <v>1</v>
      </c>
      <c r="AK162" s="36">
        <f t="shared" si="19"/>
        <v>0</v>
      </c>
      <c r="AL162" s="36">
        <f t="shared" si="20"/>
        <v>0</v>
      </c>
      <c r="AM162" s="36">
        <f t="shared" si="21"/>
        <v>0</v>
      </c>
      <c r="AN162" s="38">
        <f t="shared" si="22"/>
        <v>1</v>
      </c>
      <c r="AO162" s="43"/>
      <c r="AP162" s="38">
        <v>108</v>
      </c>
      <c r="AQ162" s="39">
        <f t="shared" si="23"/>
        <v>0.00925925925925926</v>
      </c>
    </row>
    <row r="163" ht="15.25" spans="1:43">
      <c r="A163" s="63" t="s">
        <v>554</v>
      </c>
      <c r="B163" s="85" t="s">
        <v>16</v>
      </c>
      <c r="C163" s="63" t="s">
        <v>178</v>
      </c>
      <c r="D163" s="62"/>
      <c r="E163" s="62"/>
      <c r="F163" s="62"/>
      <c r="G163" s="62"/>
      <c r="H163" s="62"/>
      <c r="I163" s="62"/>
      <c r="J163" s="62"/>
      <c r="K163" s="62"/>
      <c r="L163" s="62" t="s">
        <v>11</v>
      </c>
      <c r="M163" s="62"/>
      <c r="N163" s="62" t="s">
        <v>13</v>
      </c>
      <c r="O163" s="62"/>
      <c r="P163" s="62"/>
      <c r="Q163" s="62"/>
      <c r="R163" s="62"/>
      <c r="S163" s="62" t="s">
        <v>11</v>
      </c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 t="s">
        <v>11</v>
      </c>
      <c r="AE163" s="62"/>
      <c r="AF163" s="62"/>
      <c r="AG163" s="62"/>
      <c r="AH163" s="62"/>
      <c r="AJ163" s="36">
        <f t="shared" si="18"/>
        <v>3</v>
      </c>
      <c r="AK163" s="36">
        <f t="shared" si="19"/>
        <v>0</v>
      </c>
      <c r="AL163" s="36">
        <f t="shared" si="20"/>
        <v>1</v>
      </c>
      <c r="AM163" s="36">
        <f t="shared" si="21"/>
        <v>0</v>
      </c>
      <c r="AN163" s="38">
        <f t="shared" si="22"/>
        <v>4</v>
      </c>
      <c r="AO163" s="43"/>
      <c r="AP163" s="38">
        <v>109</v>
      </c>
      <c r="AQ163" s="39">
        <f t="shared" si="23"/>
        <v>0.036697247706422</v>
      </c>
    </row>
    <row r="164" ht="15.25" spans="1:43">
      <c r="A164" s="63" t="s">
        <v>710</v>
      </c>
      <c r="B164" s="85" t="s">
        <v>16</v>
      </c>
      <c r="C164" s="63" t="s">
        <v>178</v>
      </c>
      <c r="D164" s="62"/>
      <c r="E164" s="62"/>
      <c r="F164" s="62" t="s">
        <v>11</v>
      </c>
      <c r="G164" s="62" t="s">
        <v>11</v>
      </c>
      <c r="H164" s="62"/>
      <c r="I164" s="62"/>
      <c r="J164" s="62"/>
      <c r="K164" s="62"/>
      <c r="L164" s="62"/>
      <c r="M164" s="62"/>
      <c r="N164" s="62"/>
      <c r="O164" s="62"/>
      <c r="P164" s="62" t="s">
        <v>103</v>
      </c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 t="s">
        <v>11</v>
      </c>
      <c r="AE164" s="62"/>
      <c r="AF164" s="62"/>
      <c r="AG164" s="62"/>
      <c r="AH164" s="62" t="s">
        <v>13</v>
      </c>
      <c r="AJ164" s="36">
        <f t="shared" si="18"/>
        <v>3</v>
      </c>
      <c r="AK164" s="36">
        <f t="shared" si="19"/>
        <v>1</v>
      </c>
      <c r="AL164" s="36">
        <f t="shared" si="20"/>
        <v>1</v>
      </c>
      <c r="AM164" s="36">
        <f t="shared" si="21"/>
        <v>0</v>
      </c>
      <c r="AN164" s="38">
        <f t="shared" si="22"/>
        <v>5</v>
      </c>
      <c r="AO164" s="43"/>
      <c r="AP164" s="38">
        <v>111</v>
      </c>
      <c r="AQ164" s="39">
        <f t="shared" si="23"/>
        <v>0.045045045045045</v>
      </c>
    </row>
    <row r="165" ht="15.25" spans="1:43">
      <c r="A165" s="63" t="s">
        <v>711</v>
      </c>
      <c r="B165" s="85" t="s">
        <v>16</v>
      </c>
      <c r="C165" s="63" t="s">
        <v>178</v>
      </c>
      <c r="D165" s="62"/>
      <c r="E165" s="62" t="s">
        <v>11</v>
      </c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 t="s">
        <v>11</v>
      </c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J165" s="36">
        <f t="shared" si="18"/>
        <v>2</v>
      </c>
      <c r="AK165" s="36">
        <f t="shared" si="19"/>
        <v>0</v>
      </c>
      <c r="AL165" s="36">
        <f t="shared" si="20"/>
        <v>0</v>
      </c>
      <c r="AM165" s="36">
        <f t="shared" si="21"/>
        <v>0</v>
      </c>
      <c r="AN165" s="38">
        <f t="shared" si="22"/>
        <v>2</v>
      </c>
      <c r="AO165" s="43"/>
      <c r="AP165" s="38">
        <v>112</v>
      </c>
      <c r="AQ165" s="39">
        <f t="shared" si="23"/>
        <v>0.0178571428571429</v>
      </c>
    </row>
    <row r="166" ht="15.25" spans="1:43">
      <c r="A166" s="63" t="s">
        <v>712</v>
      </c>
      <c r="B166" s="85" t="s">
        <v>16</v>
      </c>
      <c r="C166" s="63" t="s">
        <v>178</v>
      </c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 t="s">
        <v>11</v>
      </c>
      <c r="P166" s="62" t="s">
        <v>11</v>
      </c>
      <c r="Q166" s="62"/>
      <c r="R166" s="62"/>
      <c r="S166" s="62"/>
      <c r="T166" s="62"/>
      <c r="U166" s="62"/>
      <c r="V166" s="62"/>
      <c r="W166" s="62"/>
      <c r="X166" s="62"/>
      <c r="Y166" s="62"/>
      <c r="Z166" s="62" t="s">
        <v>11</v>
      </c>
      <c r="AA166" s="62"/>
      <c r="AB166" s="62" t="s">
        <v>11</v>
      </c>
      <c r="AC166" s="62"/>
      <c r="AD166" s="62"/>
      <c r="AE166" s="62"/>
      <c r="AF166" s="62"/>
      <c r="AG166" s="62"/>
      <c r="AH166" s="62"/>
      <c r="AJ166" s="36">
        <f t="shared" si="18"/>
        <v>4</v>
      </c>
      <c r="AK166" s="36">
        <f t="shared" si="19"/>
        <v>0</v>
      </c>
      <c r="AL166" s="36">
        <f t="shared" si="20"/>
        <v>0</v>
      </c>
      <c r="AM166" s="36">
        <f t="shared" si="21"/>
        <v>0</v>
      </c>
      <c r="AN166" s="38">
        <f t="shared" si="22"/>
        <v>4</v>
      </c>
      <c r="AO166" s="43"/>
      <c r="AP166" s="38">
        <v>113</v>
      </c>
      <c r="AQ166" s="39">
        <f t="shared" si="23"/>
        <v>0.0353982300884956</v>
      </c>
    </row>
    <row r="167" ht="15.25" spans="1:43">
      <c r="A167" s="63" t="s">
        <v>713</v>
      </c>
      <c r="B167" s="85" t="s">
        <v>165</v>
      </c>
      <c r="C167" s="63" t="s">
        <v>178</v>
      </c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J167" s="36">
        <f t="shared" si="18"/>
        <v>0</v>
      </c>
      <c r="AK167" s="36">
        <f t="shared" si="19"/>
        <v>0</v>
      </c>
      <c r="AL167" s="36">
        <f t="shared" si="20"/>
        <v>0</v>
      </c>
      <c r="AM167" s="36">
        <f t="shared" si="21"/>
        <v>0</v>
      </c>
      <c r="AN167" s="38">
        <f t="shared" si="22"/>
        <v>0</v>
      </c>
      <c r="AO167" s="43"/>
      <c r="AP167" s="38">
        <v>114</v>
      </c>
      <c r="AQ167" s="39">
        <f t="shared" si="23"/>
        <v>0</v>
      </c>
    </row>
    <row r="168" ht="15.25" spans="1:43">
      <c r="A168" s="63" t="s">
        <v>714</v>
      </c>
      <c r="B168" s="85" t="s">
        <v>534</v>
      </c>
      <c r="C168" s="63" t="s">
        <v>178</v>
      </c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J168" s="36">
        <f t="shared" si="18"/>
        <v>0</v>
      </c>
      <c r="AK168" s="36">
        <f t="shared" si="19"/>
        <v>0</v>
      </c>
      <c r="AL168" s="36">
        <f t="shared" si="20"/>
        <v>0</v>
      </c>
      <c r="AM168" s="36">
        <f t="shared" si="21"/>
        <v>0</v>
      </c>
      <c r="AN168" s="38">
        <f t="shared" si="22"/>
        <v>0</v>
      </c>
      <c r="AO168" s="43"/>
      <c r="AP168" s="38">
        <v>116</v>
      </c>
      <c r="AQ168" s="39">
        <f t="shared" si="23"/>
        <v>0</v>
      </c>
    </row>
    <row r="169" ht="15.25" spans="1:43">
      <c r="A169" s="63" t="s">
        <v>715</v>
      </c>
      <c r="B169" s="85" t="s">
        <v>16</v>
      </c>
      <c r="C169" s="63" t="s">
        <v>178</v>
      </c>
      <c r="D169" s="62"/>
      <c r="E169" s="62" t="s">
        <v>11</v>
      </c>
      <c r="F169" s="62"/>
      <c r="G169" s="62"/>
      <c r="H169" s="62"/>
      <c r="I169" s="62" t="s">
        <v>557</v>
      </c>
      <c r="J169" s="62"/>
      <c r="K169" s="62" t="s">
        <v>11</v>
      </c>
      <c r="L169" s="62"/>
      <c r="M169" s="62" t="s">
        <v>11</v>
      </c>
      <c r="N169" s="62" t="s">
        <v>13</v>
      </c>
      <c r="O169" s="62" t="s">
        <v>11</v>
      </c>
      <c r="P169" s="62"/>
      <c r="Q169" s="62" t="s">
        <v>12</v>
      </c>
      <c r="R169" s="62"/>
      <c r="S169" s="62"/>
      <c r="T169" s="62"/>
      <c r="U169" s="62"/>
      <c r="V169" s="62"/>
      <c r="W169" s="62"/>
      <c r="X169" s="62"/>
      <c r="Y169" s="62" t="s">
        <v>11</v>
      </c>
      <c r="Z169" s="62"/>
      <c r="AA169" s="62"/>
      <c r="AB169" s="62"/>
      <c r="AC169" s="62"/>
      <c r="AD169" s="62"/>
      <c r="AE169" s="62"/>
      <c r="AF169" s="62"/>
      <c r="AG169" s="62"/>
      <c r="AH169" s="62"/>
      <c r="AJ169" s="36">
        <f t="shared" si="18"/>
        <v>5</v>
      </c>
      <c r="AK169" s="36">
        <f t="shared" si="19"/>
        <v>1</v>
      </c>
      <c r="AL169" s="36">
        <f t="shared" si="20"/>
        <v>1</v>
      </c>
      <c r="AM169" s="36">
        <f t="shared" si="21"/>
        <v>1</v>
      </c>
      <c r="AN169" s="38">
        <f t="shared" si="22"/>
        <v>7</v>
      </c>
      <c r="AO169" s="43"/>
      <c r="AP169" s="38">
        <v>119</v>
      </c>
      <c r="AQ169" s="39">
        <f t="shared" si="23"/>
        <v>0.0588235294117647</v>
      </c>
    </row>
    <row r="170" ht="15.25" spans="1:43">
      <c r="A170" s="63" t="s">
        <v>716</v>
      </c>
      <c r="B170" s="85" t="s">
        <v>16</v>
      </c>
      <c r="C170" s="63" t="s">
        <v>178</v>
      </c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 t="s">
        <v>11</v>
      </c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J170" s="36">
        <f t="shared" si="18"/>
        <v>1</v>
      </c>
      <c r="AK170" s="36">
        <f t="shared" si="19"/>
        <v>0</v>
      </c>
      <c r="AL170" s="36">
        <f t="shared" si="20"/>
        <v>0</v>
      </c>
      <c r="AM170" s="36">
        <f t="shared" si="21"/>
        <v>0</v>
      </c>
      <c r="AN170" s="38">
        <f t="shared" si="22"/>
        <v>1</v>
      </c>
      <c r="AO170" s="43"/>
      <c r="AP170" s="38">
        <v>120</v>
      </c>
      <c r="AQ170" s="39">
        <f t="shared" si="23"/>
        <v>0.00833333333333333</v>
      </c>
    </row>
    <row r="171" ht="15.25" spans="1:43">
      <c r="A171" s="63" t="s">
        <v>717</v>
      </c>
      <c r="B171" s="85" t="s">
        <v>16</v>
      </c>
      <c r="C171" s="63" t="s">
        <v>178</v>
      </c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 t="s">
        <v>13</v>
      </c>
      <c r="AJ171" s="36">
        <f t="shared" si="18"/>
        <v>0</v>
      </c>
      <c r="AK171" s="36">
        <f t="shared" si="19"/>
        <v>0</v>
      </c>
      <c r="AL171" s="36">
        <f t="shared" si="20"/>
        <v>1</v>
      </c>
      <c r="AM171" s="36">
        <f t="shared" si="21"/>
        <v>0</v>
      </c>
      <c r="AN171" s="38">
        <f t="shared" si="22"/>
        <v>1</v>
      </c>
      <c r="AO171" s="43"/>
      <c r="AP171" s="38">
        <v>122</v>
      </c>
      <c r="AQ171" s="39">
        <f t="shared" si="23"/>
        <v>0.00819672131147541</v>
      </c>
    </row>
    <row r="172" ht="15.25" spans="1:43">
      <c r="A172" s="63" t="s">
        <v>718</v>
      </c>
      <c r="B172" s="85" t="s">
        <v>16</v>
      </c>
      <c r="C172" s="63" t="s">
        <v>178</v>
      </c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J172" s="36">
        <f t="shared" si="18"/>
        <v>0</v>
      </c>
      <c r="AK172" s="36">
        <f t="shared" si="19"/>
        <v>0</v>
      </c>
      <c r="AL172" s="36">
        <f t="shared" si="20"/>
        <v>0</v>
      </c>
      <c r="AM172" s="36">
        <f t="shared" si="21"/>
        <v>0</v>
      </c>
      <c r="AN172" s="38">
        <f t="shared" si="22"/>
        <v>0</v>
      </c>
      <c r="AO172" s="43"/>
      <c r="AP172" s="38">
        <v>123</v>
      </c>
      <c r="AQ172" s="39">
        <f t="shared" si="23"/>
        <v>0</v>
      </c>
    </row>
    <row r="173" ht="15.25" spans="1:43">
      <c r="A173" s="63" t="s">
        <v>719</v>
      </c>
      <c r="B173" s="85" t="s">
        <v>16</v>
      </c>
      <c r="C173" s="63" t="s">
        <v>178</v>
      </c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J173" s="36">
        <f t="shared" si="18"/>
        <v>0</v>
      </c>
      <c r="AK173" s="36">
        <f t="shared" si="19"/>
        <v>0</v>
      </c>
      <c r="AL173" s="36">
        <f t="shared" si="20"/>
        <v>0</v>
      </c>
      <c r="AM173" s="36">
        <f t="shared" si="21"/>
        <v>0</v>
      </c>
      <c r="AN173" s="38">
        <f t="shared" si="22"/>
        <v>0</v>
      </c>
      <c r="AO173" s="43"/>
      <c r="AP173" s="38">
        <v>126</v>
      </c>
      <c r="AQ173" s="39">
        <f t="shared" si="23"/>
        <v>0</v>
      </c>
    </row>
    <row r="174" ht="15.25" spans="1:43">
      <c r="A174" s="63" t="s">
        <v>720</v>
      </c>
      <c r="B174" s="85" t="s">
        <v>534</v>
      </c>
      <c r="C174" s="63" t="s">
        <v>178</v>
      </c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J174" s="36">
        <f t="shared" si="18"/>
        <v>0</v>
      </c>
      <c r="AK174" s="36">
        <f t="shared" si="19"/>
        <v>0</v>
      </c>
      <c r="AL174" s="36">
        <f t="shared" si="20"/>
        <v>0</v>
      </c>
      <c r="AM174" s="36">
        <f t="shared" si="21"/>
        <v>0</v>
      </c>
      <c r="AN174" s="38">
        <f t="shared" si="22"/>
        <v>0</v>
      </c>
      <c r="AO174" s="43"/>
      <c r="AP174" s="38">
        <v>127</v>
      </c>
      <c r="AQ174" s="39">
        <f t="shared" si="23"/>
        <v>0</v>
      </c>
    </row>
    <row r="175" ht="15.25" spans="1:43">
      <c r="A175" s="63" t="s">
        <v>721</v>
      </c>
      <c r="B175" s="85" t="s">
        <v>534</v>
      </c>
      <c r="C175" s="63" t="s">
        <v>178</v>
      </c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J175" s="36">
        <f t="shared" si="18"/>
        <v>0</v>
      </c>
      <c r="AK175" s="36">
        <f t="shared" si="19"/>
        <v>0</v>
      </c>
      <c r="AL175" s="36">
        <f t="shared" si="20"/>
        <v>0</v>
      </c>
      <c r="AM175" s="36">
        <f t="shared" si="21"/>
        <v>0</v>
      </c>
      <c r="AN175" s="38">
        <f t="shared" si="22"/>
        <v>0</v>
      </c>
      <c r="AO175" s="43"/>
      <c r="AP175" s="38">
        <v>129</v>
      </c>
      <c r="AQ175" s="39">
        <f t="shared" si="23"/>
        <v>0</v>
      </c>
    </row>
    <row r="176" ht="15.25" spans="1:43">
      <c r="A176" s="63" t="s">
        <v>722</v>
      </c>
      <c r="B176" s="85" t="s">
        <v>534</v>
      </c>
      <c r="C176" s="63" t="s">
        <v>178</v>
      </c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J176" s="36">
        <f t="shared" si="18"/>
        <v>0</v>
      </c>
      <c r="AK176" s="36">
        <f t="shared" si="19"/>
        <v>0</v>
      </c>
      <c r="AL176" s="36">
        <f t="shared" si="20"/>
        <v>0</v>
      </c>
      <c r="AM176" s="36">
        <f t="shared" si="21"/>
        <v>0</v>
      </c>
      <c r="AN176" s="38">
        <f t="shared" si="22"/>
        <v>0</v>
      </c>
      <c r="AO176" s="43"/>
      <c r="AP176" s="38">
        <v>130</v>
      </c>
      <c r="AQ176" s="39">
        <f t="shared" si="23"/>
        <v>0</v>
      </c>
    </row>
    <row r="177" ht="15.25" spans="1:43">
      <c r="A177" s="63" t="s">
        <v>723</v>
      </c>
      <c r="B177" s="85" t="s">
        <v>211</v>
      </c>
      <c r="C177" s="63" t="s">
        <v>178</v>
      </c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J177" s="36">
        <f t="shared" si="18"/>
        <v>0</v>
      </c>
      <c r="AK177" s="36">
        <f t="shared" si="19"/>
        <v>0</v>
      </c>
      <c r="AL177" s="36">
        <f t="shared" si="20"/>
        <v>0</v>
      </c>
      <c r="AM177" s="36">
        <f t="shared" si="21"/>
        <v>0</v>
      </c>
      <c r="AN177" s="38">
        <f t="shared" si="22"/>
        <v>0</v>
      </c>
      <c r="AO177" s="43"/>
      <c r="AP177" s="38">
        <v>131</v>
      </c>
      <c r="AQ177" s="39">
        <f t="shared" si="23"/>
        <v>0</v>
      </c>
    </row>
    <row r="178" ht="15.25" spans="1:43">
      <c r="A178" s="63" t="s">
        <v>724</v>
      </c>
      <c r="B178" s="85" t="s">
        <v>16</v>
      </c>
      <c r="C178" s="63" t="s">
        <v>178</v>
      </c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J178" s="36">
        <f t="shared" si="18"/>
        <v>0</v>
      </c>
      <c r="AK178" s="36">
        <f t="shared" si="19"/>
        <v>0</v>
      </c>
      <c r="AL178" s="36">
        <f t="shared" si="20"/>
        <v>0</v>
      </c>
      <c r="AM178" s="36">
        <f t="shared" si="21"/>
        <v>0</v>
      </c>
      <c r="AN178" s="38">
        <f t="shared" si="22"/>
        <v>0</v>
      </c>
      <c r="AO178" s="43"/>
      <c r="AP178" s="38">
        <v>132</v>
      </c>
      <c r="AQ178" s="39">
        <f t="shared" si="23"/>
        <v>0</v>
      </c>
    </row>
    <row r="179" ht="15.25" spans="1:43">
      <c r="A179" s="107" t="s">
        <v>727</v>
      </c>
      <c r="B179" s="108" t="s">
        <v>728</v>
      </c>
      <c r="C179" s="109" t="s">
        <v>178</v>
      </c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 t="s">
        <v>11</v>
      </c>
      <c r="AE179" s="62"/>
      <c r="AF179" s="62"/>
      <c r="AG179" s="62" t="s">
        <v>13</v>
      </c>
      <c r="AH179" s="62"/>
      <c r="AJ179" s="36">
        <f t="shared" ref="AJ179:AJ196" si="24">COUNTIF(D179:AH179,"S")</f>
        <v>1</v>
      </c>
      <c r="AK179" s="36">
        <f t="shared" ref="AK179:AK196" si="25">COUNTIF(D179:AH179,"I")</f>
        <v>0</v>
      </c>
      <c r="AL179" s="36">
        <f t="shared" ref="AL179:AL196" si="26">COUNTIF(D179:AH179,"A")</f>
        <v>1</v>
      </c>
      <c r="AM179" s="36">
        <f t="shared" ref="AM179:AM196" si="27">COUNTIF(D179:AI179,"PA")</f>
        <v>0</v>
      </c>
      <c r="AN179" s="38">
        <f t="shared" ref="AN179:AN196" si="28">SUM(AJ179:AL179)</f>
        <v>2</v>
      </c>
      <c r="AO179" s="43"/>
      <c r="AP179" s="38">
        <v>133</v>
      </c>
      <c r="AQ179" s="39">
        <f t="shared" ref="AQ179:AQ196" si="29">AN179/AP179</f>
        <v>0.0150375939849624</v>
      </c>
    </row>
    <row r="180" ht="15.25" spans="1:43">
      <c r="A180" s="63" t="s">
        <v>729</v>
      </c>
      <c r="B180" s="85" t="s">
        <v>728</v>
      </c>
      <c r="C180" s="110" t="s">
        <v>178</v>
      </c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J180" s="36">
        <f t="shared" si="24"/>
        <v>0</v>
      </c>
      <c r="AK180" s="36">
        <f t="shared" si="25"/>
        <v>0</v>
      </c>
      <c r="AL180" s="36">
        <f t="shared" si="26"/>
        <v>0</v>
      </c>
      <c r="AM180" s="36">
        <f t="shared" si="27"/>
        <v>0</v>
      </c>
      <c r="AN180" s="38">
        <f t="shared" si="28"/>
        <v>0</v>
      </c>
      <c r="AO180" s="43"/>
      <c r="AP180" s="38">
        <v>134</v>
      </c>
      <c r="AQ180" s="39">
        <f t="shared" si="29"/>
        <v>0</v>
      </c>
    </row>
    <row r="181" ht="15.25" spans="1:43">
      <c r="A181" s="63" t="s">
        <v>730</v>
      </c>
      <c r="B181" s="85" t="s">
        <v>728</v>
      </c>
      <c r="C181" s="110" t="s">
        <v>178</v>
      </c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J181" s="36">
        <f t="shared" si="24"/>
        <v>0</v>
      </c>
      <c r="AK181" s="36">
        <f t="shared" si="25"/>
        <v>0</v>
      </c>
      <c r="AL181" s="36">
        <f t="shared" si="26"/>
        <v>0</v>
      </c>
      <c r="AM181" s="36">
        <f t="shared" si="27"/>
        <v>0</v>
      </c>
      <c r="AN181" s="38">
        <f t="shared" si="28"/>
        <v>0</v>
      </c>
      <c r="AO181" s="43"/>
      <c r="AP181" s="38">
        <v>135</v>
      </c>
      <c r="AQ181" s="39">
        <f t="shared" si="29"/>
        <v>0</v>
      </c>
    </row>
    <row r="182" ht="15.25" spans="1:43">
      <c r="A182" s="63" t="s">
        <v>731</v>
      </c>
      <c r="B182" s="63" t="s">
        <v>333</v>
      </c>
      <c r="C182" s="110" t="s">
        <v>178</v>
      </c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J182" s="36">
        <f t="shared" si="24"/>
        <v>0</v>
      </c>
      <c r="AK182" s="36">
        <f t="shared" si="25"/>
        <v>0</v>
      </c>
      <c r="AL182" s="36">
        <f t="shared" si="26"/>
        <v>0</v>
      </c>
      <c r="AM182" s="36">
        <f t="shared" si="27"/>
        <v>0</v>
      </c>
      <c r="AN182" s="38">
        <f t="shared" si="28"/>
        <v>0</v>
      </c>
      <c r="AO182" s="43"/>
      <c r="AP182" s="38">
        <v>136</v>
      </c>
      <c r="AQ182" s="39">
        <f t="shared" si="29"/>
        <v>0</v>
      </c>
    </row>
    <row r="183" ht="28.75" spans="1:43">
      <c r="A183" s="63" t="s">
        <v>732</v>
      </c>
      <c r="B183" s="63" t="s">
        <v>733</v>
      </c>
      <c r="C183" s="110" t="s">
        <v>178</v>
      </c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J183" s="36">
        <f t="shared" si="24"/>
        <v>0</v>
      </c>
      <c r="AK183" s="36">
        <f t="shared" si="25"/>
        <v>0</v>
      </c>
      <c r="AL183" s="36">
        <f t="shared" si="26"/>
        <v>0</v>
      </c>
      <c r="AM183" s="36">
        <f t="shared" si="27"/>
        <v>0</v>
      </c>
      <c r="AN183" s="38">
        <f t="shared" si="28"/>
        <v>0</v>
      </c>
      <c r="AO183" s="43"/>
      <c r="AP183" s="38">
        <v>137</v>
      </c>
      <c r="AQ183" s="39">
        <f t="shared" si="29"/>
        <v>0</v>
      </c>
    </row>
    <row r="184" ht="15.25" spans="1:43">
      <c r="A184" s="63" t="s">
        <v>734</v>
      </c>
      <c r="B184" s="85" t="s">
        <v>728</v>
      </c>
      <c r="C184" s="110" t="s">
        <v>178</v>
      </c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J184" s="36">
        <f t="shared" si="24"/>
        <v>0</v>
      </c>
      <c r="AK184" s="36">
        <f t="shared" si="25"/>
        <v>0</v>
      </c>
      <c r="AL184" s="36">
        <f t="shared" si="26"/>
        <v>0</v>
      </c>
      <c r="AM184" s="36">
        <f t="shared" si="27"/>
        <v>0</v>
      </c>
      <c r="AN184" s="38">
        <f t="shared" si="28"/>
        <v>0</v>
      </c>
      <c r="AO184" s="43"/>
      <c r="AP184" s="38">
        <v>138</v>
      </c>
      <c r="AQ184" s="39">
        <f t="shared" si="29"/>
        <v>0</v>
      </c>
    </row>
    <row r="185" ht="29.75" spans="1:43">
      <c r="A185" s="63" t="s">
        <v>735</v>
      </c>
      <c r="B185" s="85" t="s">
        <v>736</v>
      </c>
      <c r="C185" s="110" t="s">
        <v>178</v>
      </c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J185" s="36">
        <f t="shared" si="24"/>
        <v>0</v>
      </c>
      <c r="AK185" s="36">
        <f t="shared" si="25"/>
        <v>0</v>
      </c>
      <c r="AL185" s="36">
        <f t="shared" si="26"/>
        <v>0</v>
      </c>
      <c r="AM185" s="36">
        <f t="shared" si="27"/>
        <v>0</v>
      </c>
      <c r="AN185" s="38">
        <f t="shared" si="28"/>
        <v>0</v>
      </c>
      <c r="AO185" s="43"/>
      <c r="AP185" s="38">
        <v>139</v>
      </c>
      <c r="AQ185" s="39">
        <f t="shared" si="29"/>
        <v>0</v>
      </c>
    </row>
    <row r="186" ht="15.25" spans="1:43">
      <c r="A186" s="63" t="s">
        <v>737</v>
      </c>
      <c r="B186" s="85" t="s">
        <v>728</v>
      </c>
      <c r="C186" s="110" t="s">
        <v>178</v>
      </c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J186" s="36">
        <f t="shared" si="24"/>
        <v>0</v>
      </c>
      <c r="AK186" s="36">
        <f t="shared" si="25"/>
        <v>0</v>
      </c>
      <c r="AL186" s="36">
        <f t="shared" si="26"/>
        <v>0</v>
      </c>
      <c r="AM186" s="36">
        <f t="shared" si="27"/>
        <v>0</v>
      </c>
      <c r="AN186" s="38">
        <f t="shared" si="28"/>
        <v>0</v>
      </c>
      <c r="AO186" s="43"/>
      <c r="AP186" s="38">
        <v>140</v>
      </c>
      <c r="AQ186" s="39">
        <f t="shared" si="29"/>
        <v>0</v>
      </c>
    </row>
    <row r="187" ht="15.25" spans="1:43">
      <c r="A187" s="63" t="s">
        <v>738</v>
      </c>
      <c r="B187" s="85" t="s">
        <v>728</v>
      </c>
      <c r="C187" s="110" t="s">
        <v>178</v>
      </c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J187" s="36">
        <f t="shared" si="24"/>
        <v>0</v>
      </c>
      <c r="AK187" s="36">
        <f t="shared" si="25"/>
        <v>0</v>
      </c>
      <c r="AL187" s="36">
        <f t="shared" si="26"/>
        <v>0</v>
      </c>
      <c r="AM187" s="36">
        <f t="shared" si="27"/>
        <v>0</v>
      </c>
      <c r="AN187" s="38">
        <f t="shared" si="28"/>
        <v>0</v>
      </c>
      <c r="AO187" s="43"/>
      <c r="AP187" s="38">
        <v>141</v>
      </c>
      <c r="AQ187" s="39">
        <f t="shared" si="29"/>
        <v>0</v>
      </c>
    </row>
    <row r="188" ht="15.25" spans="1:43">
      <c r="A188" s="63" t="s">
        <v>739</v>
      </c>
      <c r="B188" s="85" t="s">
        <v>728</v>
      </c>
      <c r="C188" s="110" t="s">
        <v>178</v>
      </c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J188" s="36">
        <f t="shared" si="24"/>
        <v>0</v>
      </c>
      <c r="AK188" s="36">
        <f t="shared" si="25"/>
        <v>0</v>
      </c>
      <c r="AL188" s="36">
        <f t="shared" si="26"/>
        <v>0</v>
      </c>
      <c r="AM188" s="36">
        <f t="shared" si="27"/>
        <v>0</v>
      </c>
      <c r="AN188" s="38">
        <f t="shared" si="28"/>
        <v>0</v>
      </c>
      <c r="AO188" s="43"/>
      <c r="AP188" s="38">
        <v>142</v>
      </c>
      <c r="AQ188" s="39">
        <f t="shared" si="29"/>
        <v>0</v>
      </c>
    </row>
    <row r="189" ht="15.25" spans="1:43">
      <c r="A189" s="63" t="s">
        <v>740</v>
      </c>
      <c r="B189" s="85" t="s">
        <v>728</v>
      </c>
      <c r="C189" s="110" t="s">
        <v>178</v>
      </c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J189" s="36">
        <f t="shared" si="24"/>
        <v>0</v>
      </c>
      <c r="AK189" s="36">
        <f t="shared" si="25"/>
        <v>0</v>
      </c>
      <c r="AL189" s="36">
        <f t="shared" si="26"/>
        <v>0</v>
      </c>
      <c r="AM189" s="36">
        <f t="shared" si="27"/>
        <v>0</v>
      </c>
      <c r="AN189" s="38">
        <f t="shared" si="28"/>
        <v>0</v>
      </c>
      <c r="AO189" s="43"/>
      <c r="AP189" s="38">
        <v>143</v>
      </c>
      <c r="AQ189" s="39">
        <f t="shared" si="29"/>
        <v>0</v>
      </c>
    </row>
    <row r="190" ht="15.25" spans="1:43">
      <c r="A190" s="63" t="s">
        <v>741</v>
      </c>
      <c r="B190" s="85" t="s">
        <v>211</v>
      </c>
      <c r="C190" s="110" t="s">
        <v>178</v>
      </c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J190" s="36">
        <f t="shared" si="24"/>
        <v>0</v>
      </c>
      <c r="AK190" s="36">
        <f t="shared" si="25"/>
        <v>0</v>
      </c>
      <c r="AL190" s="36">
        <f t="shared" si="26"/>
        <v>0</v>
      </c>
      <c r="AM190" s="36">
        <f t="shared" si="27"/>
        <v>0</v>
      </c>
      <c r="AN190" s="38">
        <f t="shared" si="28"/>
        <v>0</v>
      </c>
      <c r="AO190" s="43"/>
      <c r="AP190" s="38">
        <v>144</v>
      </c>
      <c r="AQ190" s="39">
        <f t="shared" si="29"/>
        <v>0</v>
      </c>
    </row>
    <row r="191" ht="15.25" spans="1:43">
      <c r="A191" s="63" t="s">
        <v>742</v>
      </c>
      <c r="B191" s="85" t="s">
        <v>728</v>
      </c>
      <c r="C191" s="110" t="s">
        <v>178</v>
      </c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J191" s="36">
        <f t="shared" si="24"/>
        <v>0</v>
      </c>
      <c r="AK191" s="36">
        <f t="shared" si="25"/>
        <v>0</v>
      </c>
      <c r="AL191" s="36">
        <f t="shared" si="26"/>
        <v>0</v>
      </c>
      <c r="AM191" s="36">
        <f t="shared" si="27"/>
        <v>0</v>
      </c>
      <c r="AN191" s="38">
        <f t="shared" si="28"/>
        <v>0</v>
      </c>
      <c r="AO191" s="43"/>
      <c r="AP191" s="38">
        <v>145</v>
      </c>
      <c r="AQ191" s="39">
        <f t="shared" si="29"/>
        <v>0</v>
      </c>
    </row>
    <row r="192" ht="15.25" spans="1:43">
      <c r="A192" s="63" t="s">
        <v>743</v>
      </c>
      <c r="B192" s="85" t="s">
        <v>728</v>
      </c>
      <c r="C192" s="110" t="s">
        <v>178</v>
      </c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J192" s="36">
        <f t="shared" si="24"/>
        <v>0</v>
      </c>
      <c r="AK192" s="36">
        <f t="shared" si="25"/>
        <v>0</v>
      </c>
      <c r="AL192" s="36">
        <f t="shared" si="26"/>
        <v>0</v>
      </c>
      <c r="AM192" s="36">
        <f t="shared" si="27"/>
        <v>0</v>
      </c>
      <c r="AN192" s="38">
        <f t="shared" si="28"/>
        <v>0</v>
      </c>
      <c r="AO192" s="43"/>
      <c r="AP192" s="38">
        <v>146</v>
      </c>
      <c r="AQ192" s="39">
        <f t="shared" si="29"/>
        <v>0</v>
      </c>
    </row>
    <row r="193" ht="29.75" spans="1:43">
      <c r="A193" s="63" t="s">
        <v>744</v>
      </c>
      <c r="B193" s="85" t="s">
        <v>736</v>
      </c>
      <c r="C193" s="110" t="s">
        <v>178</v>
      </c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J193" s="36">
        <f t="shared" si="24"/>
        <v>0</v>
      </c>
      <c r="AK193" s="36">
        <f t="shared" si="25"/>
        <v>0</v>
      </c>
      <c r="AL193" s="36">
        <f t="shared" si="26"/>
        <v>0</v>
      </c>
      <c r="AM193" s="36">
        <f t="shared" si="27"/>
        <v>0</v>
      </c>
      <c r="AN193" s="38">
        <f t="shared" si="28"/>
        <v>0</v>
      </c>
      <c r="AO193" s="43"/>
      <c r="AP193" s="38">
        <v>147</v>
      </c>
      <c r="AQ193" s="39">
        <f t="shared" si="29"/>
        <v>0</v>
      </c>
    </row>
    <row r="194" ht="15.25" spans="1:43">
      <c r="A194" s="63" t="s">
        <v>745</v>
      </c>
      <c r="B194" s="85" t="s">
        <v>728</v>
      </c>
      <c r="C194" s="110" t="s">
        <v>178</v>
      </c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J194" s="36">
        <f t="shared" si="24"/>
        <v>0</v>
      </c>
      <c r="AK194" s="36">
        <f t="shared" si="25"/>
        <v>0</v>
      </c>
      <c r="AL194" s="36">
        <f t="shared" si="26"/>
        <v>0</v>
      </c>
      <c r="AM194" s="36">
        <f t="shared" si="27"/>
        <v>0</v>
      </c>
      <c r="AN194" s="38">
        <f t="shared" si="28"/>
        <v>0</v>
      </c>
      <c r="AO194" s="43"/>
      <c r="AP194" s="38">
        <v>148</v>
      </c>
      <c r="AQ194" s="39">
        <f t="shared" si="29"/>
        <v>0</v>
      </c>
    </row>
    <row r="195" ht="15.25" spans="1:43">
      <c r="A195" s="63" t="s">
        <v>746</v>
      </c>
      <c r="B195" s="85" t="s">
        <v>728</v>
      </c>
      <c r="C195" s="110" t="s">
        <v>178</v>
      </c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J195" s="36">
        <f t="shared" si="24"/>
        <v>0</v>
      </c>
      <c r="AK195" s="36">
        <f t="shared" si="25"/>
        <v>0</v>
      </c>
      <c r="AL195" s="36">
        <f t="shared" si="26"/>
        <v>0</v>
      </c>
      <c r="AM195" s="36">
        <f t="shared" si="27"/>
        <v>0</v>
      </c>
      <c r="AN195" s="38">
        <f t="shared" si="28"/>
        <v>0</v>
      </c>
      <c r="AO195" s="43"/>
      <c r="AP195" s="38">
        <v>149</v>
      </c>
      <c r="AQ195" s="39">
        <f t="shared" si="29"/>
        <v>0</v>
      </c>
    </row>
    <row r="196" ht="15.25" spans="1:43">
      <c r="A196" s="63" t="s">
        <v>747</v>
      </c>
      <c r="B196" s="63" t="s">
        <v>728</v>
      </c>
      <c r="C196" s="110" t="s">
        <v>178</v>
      </c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J196" s="36">
        <f t="shared" si="24"/>
        <v>0</v>
      </c>
      <c r="AK196" s="36">
        <f t="shared" si="25"/>
        <v>0</v>
      </c>
      <c r="AL196" s="36">
        <f t="shared" si="26"/>
        <v>0</v>
      </c>
      <c r="AM196" s="36">
        <f t="shared" si="27"/>
        <v>0</v>
      </c>
      <c r="AN196" s="38">
        <f t="shared" si="28"/>
        <v>0</v>
      </c>
      <c r="AO196" s="43"/>
      <c r="AP196" s="38">
        <v>150</v>
      </c>
      <c r="AQ196" s="39">
        <f t="shared" si="29"/>
        <v>0</v>
      </c>
    </row>
    <row r="197" ht="15.25" spans="1:43">
      <c r="B197" s="110"/>
    </row>
  </sheetData>
  <mergeCells count="9">
    <mergeCell ref="D10:AH10"/>
    <mergeCell ref="AJ10:AM10"/>
    <mergeCell ref="A10:A11"/>
    <mergeCell ref="B10:B11"/>
    <mergeCell ref="C10:C11"/>
    <mergeCell ref="AN10:AN11"/>
    <mergeCell ref="AO10:AO11"/>
    <mergeCell ref="AP10:AP11"/>
    <mergeCell ref="AQ10:AQ11"/>
  </mergeCells>
  <conditionalFormatting sqref="D13:AH196">
    <cfRule type="containsText" dxfId="3" priority="41" operator="between" text="OFF">
      <formula>NOT(ISERROR(SEARCH("OFF",D13)))</formula>
    </cfRule>
    <cfRule type="containsText" dxfId="4" priority="42" operator="between" text="OFF">
      <formula>NOT(ISERROR(SEARCH("OFF",D13)))</formula>
    </cfRule>
    <cfRule type="containsText" dxfId="5" priority="43" operator="between" text="S">
      <formula>NOT(ISERROR(SEARCH("S",D13)))</formula>
    </cfRule>
    <cfRule type="containsText" dxfId="6" priority="44" operator="between" text="I">
      <formula>NOT(ISERROR(SEARCH("I",D13)))</formula>
    </cfRule>
    <cfRule type="containsText" dxfId="7" priority="45" operator="between" text="A">
      <formula>NOT(ISERROR(SEARCH("A",D13)))</formula>
    </cfRule>
    <cfRule type="containsText" dxfId="8" priority="46" operator="between" text="L">
      <formula>NOT(ISERROR(SEARCH("L",D13)))</formula>
    </cfRule>
    <cfRule type="containsText" dxfId="6" priority="47" operator="between" text="A">
      <formula>NOT(ISERROR(SEARCH("A",D13)))</formula>
    </cfRule>
    <cfRule type="containsText" dxfId="7" priority="48" operator="between" text="S">
      <formula>NOT(ISERROR(SEARCH("S",D13)))</formula>
    </cfRule>
    <cfRule type="containsText" dxfId="5" priority="49" operator="between" text="OFF">
      <formula>NOT(ISERROR(SEARCH("OFF",D13)))</formula>
    </cfRule>
    <cfRule type="containsText" dxfId="7" priority="50" operator="between" text="OFF">
      <formula>NOT(ISERROR(SEARCH("OFF",D13)))</formula>
    </cfRule>
  </conditionalFormatting>
  <pageMargins left="0.75" right="0.75" top="1" bottom="1" header="0.5" footer="0.5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AP223"/>
  <sheetViews>
    <sheetView tabSelected="1" zoomScale="90" zoomScaleNormal="90" topLeftCell="A8" workbookViewId="0">
      <pane xSplit="8" ySplit="8" topLeftCell="I16" activePane="bottomRight" state="frozen"/>
      <selection/>
      <selection pane="topRight"/>
      <selection pane="bottomLeft"/>
      <selection pane="bottomRight" activeCell="A14" sqref="A14:AN183"/>
    </sheetView>
  </sheetViews>
  <sheetFormatPr defaultColWidth="9" defaultRowHeight="14.5"/>
  <cols>
    <col min="1" max="1" width="32.3636363636364" customWidth="1"/>
    <col min="2" max="2" width="23.0909090909091" customWidth="1"/>
    <col min="3" max="3" width="16.2727272727273" customWidth="1"/>
    <col min="4" max="21" width="7.90909090909091" hidden="1" customWidth="1"/>
    <col min="22" max="23" width="7.90909090909091" customWidth="1"/>
    <col min="24" max="28" width="7.90909090909091" hidden="1" customWidth="1"/>
    <col min="29" max="34" width="7.90909090909091" style="22" hidden="1" customWidth="1"/>
    <col min="35" max="35" width="6.18181818181818" customWidth="1"/>
    <col min="36" max="36" width="6.90909090909091" customWidth="1"/>
    <col min="37" max="38" width="6.36363636363636" customWidth="1"/>
    <col min="39" max="39" width="9.27272727272727" customWidth="1"/>
    <col min="40" max="40" width="28.3727272727273" customWidth="1"/>
    <col min="41" max="41" width="24.0909090909091" customWidth="1"/>
    <col min="42" max="42" width="15.6363636363636" customWidth="1"/>
  </cols>
  <sheetData>
    <row r="1" hidden="1" spans="1:42">
      <c r="AI1" s="23" t="s">
        <v>5</v>
      </c>
      <c r="AJ1" s="24"/>
      <c r="AK1" s="24"/>
      <c r="AL1" s="25"/>
      <c r="AM1" s="2" t="s">
        <v>6</v>
      </c>
      <c r="AN1" s="2" t="s">
        <v>5</v>
      </c>
      <c r="AO1" s="26" t="s">
        <v>8</v>
      </c>
      <c r="AP1" s="27" t="s">
        <v>9</v>
      </c>
    </row>
    <row r="2" hidden="1" spans="1:42">
      <c r="AI2" s="23"/>
      <c r="AJ2" s="24"/>
      <c r="AK2" s="24"/>
      <c r="AL2" s="25"/>
      <c r="AM2" s="7"/>
      <c r="AN2" s="7"/>
      <c r="AO2" s="28"/>
      <c r="AP2" s="29"/>
    </row>
    <row r="3" hidden="1" spans="1:42">
      <c r="AI3" s="23"/>
      <c r="AJ3" s="24"/>
      <c r="AK3" s="24"/>
      <c r="AL3" s="25"/>
      <c r="AM3" s="7"/>
      <c r="AN3" s="7"/>
      <c r="AO3" s="28"/>
      <c r="AP3" s="29"/>
    </row>
    <row r="4" ht="20.15" hidden="1" customHeight="1" spans="1:4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1"/>
      <c r="AD4" s="31"/>
      <c r="AE4" s="31"/>
      <c r="AF4" s="31"/>
      <c r="AG4" s="31"/>
      <c r="AH4" s="31"/>
      <c r="AI4" s="11" t="s">
        <v>11</v>
      </c>
      <c r="AJ4" s="11" t="s">
        <v>12</v>
      </c>
      <c r="AK4" s="11" t="s">
        <v>13</v>
      </c>
      <c r="AL4" s="11" t="s">
        <v>14</v>
      </c>
      <c r="AM4" s="32"/>
      <c r="AN4" s="32"/>
      <c r="AO4" s="33"/>
      <c r="AP4" s="34"/>
    </row>
    <row r="5" ht="20.15" hidden="1" customHeight="1" spans="1:42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1"/>
      <c r="AD5" s="31"/>
      <c r="AE5" s="31"/>
      <c r="AF5" s="31"/>
      <c r="AG5" s="31"/>
      <c r="AH5" s="31"/>
      <c r="AI5" s="35">
        <f>COUNTIF(B5:AF5,"S")</f>
        <v>0</v>
      </c>
      <c r="AJ5" s="36">
        <f>COUNTIF(B5:AF5,"I")</f>
        <v>0</v>
      </c>
      <c r="AK5" s="35">
        <f>COUNTIF(B5:AF5,"A")</f>
        <v>0</v>
      </c>
      <c r="AL5" s="36">
        <f>COUNTIF(B5:AF5,"OFF")</f>
        <v>0</v>
      </c>
      <c r="AM5" s="37">
        <f>SUM(AH5:AK5)</f>
        <v>0</v>
      </c>
      <c r="AN5" s="37" t="s">
        <v>457</v>
      </c>
      <c r="AO5" s="38">
        <v>16</v>
      </c>
      <c r="AP5" s="39">
        <f>AM5/AO5</f>
        <v>0</v>
      </c>
    </row>
    <row r="6" ht="20.15" hidden="1" customHeight="1" spans="1:42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1"/>
      <c r="AD6" s="31"/>
      <c r="AE6" s="31"/>
      <c r="AF6" s="31"/>
      <c r="AG6" s="31"/>
      <c r="AH6" s="31"/>
      <c r="AI6" s="35"/>
      <c r="AJ6" s="36"/>
      <c r="AK6" s="35"/>
      <c r="AL6" s="36"/>
      <c r="AM6" s="37"/>
      <c r="AN6" s="37"/>
      <c r="AO6" s="38"/>
      <c r="AP6" s="39"/>
    </row>
    <row r="7" ht="20.15" hidden="1" customHeight="1" spans="1:42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1"/>
      <c r="AD7" s="31"/>
      <c r="AE7" s="31"/>
      <c r="AF7" s="31"/>
      <c r="AG7" s="31"/>
      <c r="AH7" s="31"/>
      <c r="AI7" s="35"/>
      <c r="AJ7" s="36"/>
      <c r="AK7" s="35"/>
      <c r="AL7" s="36"/>
      <c r="AM7" s="37"/>
      <c r="AN7" s="37"/>
      <c r="AO7" s="38"/>
      <c r="AP7" s="39"/>
    </row>
    <row r="8" ht="20.15" hidden="1" customHeight="1" spans="1:42">
      <c r="A8" s="40"/>
      <c r="B8" s="41"/>
      <c r="C8" s="41"/>
      <c r="D8" s="41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35">
        <f t="shared" ref="AI8:AI13" si="0">COUNTIF(B8:AF8,"S")</f>
        <v>0</v>
      </c>
      <c r="AJ8" s="36">
        <f t="shared" ref="AJ8:AJ13" si="1">COUNTIF(B8:AF8,"I")</f>
        <v>0</v>
      </c>
      <c r="AK8" s="35">
        <f t="shared" ref="AK8:AK13" si="2">COUNTIF(B8:AF8,"A")</f>
        <v>0</v>
      </c>
      <c r="AL8" s="36">
        <f t="shared" ref="AL8:AL13" si="3">COUNTIF(B8:AF8,"OFF")</f>
        <v>0</v>
      </c>
      <c r="AM8" s="37">
        <f t="shared" ref="AM8:AM70" si="4">SUM(AH8:AK8)</f>
        <v>0</v>
      </c>
      <c r="AN8" s="43" t="s">
        <v>382</v>
      </c>
      <c r="AO8" s="38">
        <v>16</v>
      </c>
      <c r="AP8" s="39">
        <f t="shared" ref="AP8:AP70" si="5">AM8/AO8</f>
        <v>0</v>
      </c>
    </row>
    <row r="9" ht="20.15" hidden="1" customHeight="1" spans="1:42">
      <c r="A9" s="44"/>
      <c r="B9" s="45"/>
      <c r="C9" s="45"/>
      <c r="D9" s="45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35">
        <f t="shared" si="0"/>
        <v>0</v>
      </c>
      <c r="AJ9" s="35">
        <f t="shared" si="1"/>
        <v>0</v>
      </c>
      <c r="AK9" s="47">
        <f t="shared" si="2"/>
        <v>0</v>
      </c>
      <c r="AL9" s="36">
        <f t="shared" si="3"/>
        <v>0</v>
      </c>
      <c r="AM9" s="48">
        <f t="shared" si="4"/>
        <v>0</v>
      </c>
      <c r="AN9" s="49"/>
      <c r="AO9" s="38">
        <v>16</v>
      </c>
      <c r="AP9" s="39">
        <f t="shared" si="5"/>
        <v>0</v>
      </c>
    </row>
    <row r="10" ht="20.15" hidden="1" customHeight="1" spans="1:42">
      <c r="A10" s="44"/>
      <c r="B10" s="45"/>
      <c r="C10" s="45"/>
      <c r="D10" s="45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35">
        <f t="shared" si="0"/>
        <v>0</v>
      </c>
      <c r="AJ10" s="36">
        <f t="shared" si="1"/>
        <v>0</v>
      </c>
      <c r="AK10" s="36">
        <f t="shared" si="2"/>
        <v>0</v>
      </c>
      <c r="AL10" s="36">
        <f t="shared" si="3"/>
        <v>0</v>
      </c>
      <c r="AM10" s="37">
        <f t="shared" si="4"/>
        <v>0</v>
      </c>
      <c r="AN10" s="37"/>
      <c r="AO10" s="38">
        <v>16</v>
      </c>
      <c r="AP10" s="39">
        <f t="shared" si="5"/>
        <v>0</v>
      </c>
    </row>
    <row r="11" ht="20.15" hidden="1" customHeight="1" spans="1:42">
      <c r="A11" s="44"/>
      <c r="B11" s="45"/>
      <c r="C11" s="45"/>
      <c r="D11" s="45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35">
        <f t="shared" si="0"/>
        <v>0</v>
      </c>
      <c r="AJ11" s="36">
        <f t="shared" si="1"/>
        <v>0</v>
      </c>
      <c r="AK11" s="36">
        <f t="shared" si="2"/>
        <v>0</v>
      </c>
      <c r="AL11" s="36">
        <f t="shared" si="3"/>
        <v>0</v>
      </c>
      <c r="AM11" s="37">
        <f t="shared" si="4"/>
        <v>0</v>
      </c>
      <c r="AN11" s="52"/>
      <c r="AO11" s="38">
        <v>16</v>
      </c>
      <c r="AP11" s="39">
        <f t="shared" si="5"/>
        <v>0</v>
      </c>
    </row>
    <row r="12" ht="20.15" hidden="1" customHeight="1" spans="1:42">
      <c r="A12" s="53"/>
      <c r="B12" s="54"/>
      <c r="C12" s="54"/>
      <c r="D12" s="54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35">
        <f t="shared" si="0"/>
        <v>0</v>
      </c>
      <c r="AJ12" s="36">
        <f t="shared" si="1"/>
        <v>0</v>
      </c>
      <c r="AK12" s="35">
        <f t="shared" si="2"/>
        <v>0</v>
      </c>
      <c r="AL12" s="36">
        <f t="shared" si="3"/>
        <v>0</v>
      </c>
      <c r="AM12" s="37">
        <f t="shared" si="4"/>
        <v>0</v>
      </c>
      <c r="AN12" s="43" t="s">
        <v>459</v>
      </c>
      <c r="AO12" s="38">
        <v>16</v>
      </c>
      <c r="AP12" s="39">
        <f t="shared" si="5"/>
        <v>0</v>
      </c>
    </row>
    <row r="13" ht="20.15" hidden="1" customHeight="1" spans="1:42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1"/>
      <c r="AD13" s="31"/>
      <c r="AE13" s="31"/>
      <c r="AF13" s="31"/>
      <c r="AG13" s="31"/>
      <c r="AH13" s="31"/>
      <c r="AI13" s="36">
        <f t="shared" si="0"/>
        <v>0</v>
      </c>
      <c r="AJ13" s="35">
        <f t="shared" si="1"/>
        <v>0</v>
      </c>
      <c r="AK13" s="36">
        <f t="shared" si="2"/>
        <v>0</v>
      </c>
      <c r="AL13" s="36">
        <f t="shared" si="3"/>
        <v>0</v>
      </c>
      <c r="AM13" s="37">
        <f t="shared" si="4"/>
        <v>0</v>
      </c>
      <c r="AN13" s="37"/>
      <c r="AO13" s="38">
        <v>16</v>
      </c>
      <c r="AP13" s="39">
        <f t="shared" si="5"/>
        <v>0</v>
      </c>
    </row>
    <row r="14" s="20" customFormat="1" ht="16.5" spans="1:42">
      <c r="A14" s="1" t="s">
        <v>1</v>
      </c>
      <c r="B14" s="2" t="s">
        <v>2</v>
      </c>
      <c r="C14" s="2" t="s">
        <v>3</v>
      </c>
      <c r="D14" s="56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23" t="s">
        <v>5</v>
      </c>
      <c r="AJ14" s="24"/>
      <c r="AK14" s="24"/>
      <c r="AL14" s="25"/>
      <c r="AM14" s="2" t="s">
        <v>6</v>
      </c>
      <c r="AN14" s="2" t="s">
        <v>5</v>
      </c>
      <c r="AO14" s="26" t="s">
        <v>8</v>
      </c>
      <c r="AP14" s="27" t="s">
        <v>9</v>
      </c>
    </row>
    <row r="15" s="21" customFormat="1" ht="23.15" customHeight="1" spans="1:42">
      <c r="A15" s="1"/>
      <c r="B15" s="32"/>
      <c r="C15" s="32"/>
      <c r="D15" s="1">
        <v>21</v>
      </c>
      <c r="E15" s="1">
        <v>22</v>
      </c>
      <c r="F15" s="1">
        <v>23</v>
      </c>
      <c r="G15" s="1">
        <v>24</v>
      </c>
      <c r="H15" s="1">
        <v>25</v>
      </c>
      <c r="I15" s="1">
        <v>26</v>
      </c>
      <c r="J15" s="1">
        <v>27</v>
      </c>
      <c r="K15" s="1">
        <v>28</v>
      </c>
      <c r="L15" s="1">
        <v>29</v>
      </c>
      <c r="M15" s="1">
        <v>30</v>
      </c>
      <c r="N15" s="1">
        <v>31</v>
      </c>
      <c r="O15" s="58">
        <v>1</v>
      </c>
      <c r="P15" s="58">
        <v>2</v>
      </c>
      <c r="Q15" s="58">
        <v>3</v>
      </c>
      <c r="R15" s="58">
        <v>4</v>
      </c>
      <c r="S15" s="58">
        <v>5</v>
      </c>
      <c r="T15" s="58">
        <v>6</v>
      </c>
      <c r="U15" s="58">
        <v>7</v>
      </c>
      <c r="V15" s="58">
        <v>8</v>
      </c>
      <c r="W15" s="58">
        <v>9</v>
      </c>
      <c r="X15" s="58">
        <v>10</v>
      </c>
      <c r="Y15" s="58">
        <v>11</v>
      </c>
      <c r="Z15" s="58">
        <v>12</v>
      </c>
      <c r="AA15" s="58">
        <v>13</v>
      </c>
      <c r="AB15" s="58">
        <v>14</v>
      </c>
      <c r="AC15" s="58">
        <v>15</v>
      </c>
      <c r="AD15" s="58">
        <v>16</v>
      </c>
      <c r="AE15" s="58">
        <v>17</v>
      </c>
      <c r="AF15" s="58">
        <v>18</v>
      </c>
      <c r="AG15" s="58">
        <v>19</v>
      </c>
      <c r="AH15" s="58">
        <v>20</v>
      </c>
      <c r="AI15" s="11" t="s">
        <v>11</v>
      </c>
      <c r="AJ15" s="11" t="s">
        <v>12</v>
      </c>
      <c r="AK15" s="11" t="s">
        <v>13</v>
      </c>
      <c r="AL15" s="11" t="s">
        <v>557</v>
      </c>
      <c r="AM15" s="32"/>
      <c r="AN15" s="32"/>
      <c r="AO15" s="33"/>
      <c r="AP15" s="34"/>
    </row>
    <row r="16" ht="21" hidden="1" customHeight="1" spans="1:42">
      <c r="A16" s="59" t="s">
        <v>558</v>
      </c>
      <c r="B16" s="60" t="s">
        <v>165</v>
      </c>
      <c r="C16" s="61" t="s">
        <v>748</v>
      </c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 t="s">
        <v>11</v>
      </c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36">
        <f>COUNTIF(B16:AF16,"S")</f>
        <v>1</v>
      </c>
      <c r="AJ16" s="36">
        <f>COUNTIF(B16:AF16,"I")</f>
        <v>0</v>
      </c>
      <c r="AK16" s="36">
        <f>COUNTIF(B16:AF16,"A")</f>
        <v>0</v>
      </c>
      <c r="AL16" s="36">
        <f>COUNTIF(B16:AF16,"PA")</f>
        <v>0</v>
      </c>
      <c r="AM16" s="38">
        <f>SUM(AH16:AK16)</f>
        <v>1</v>
      </c>
      <c r="AN16" s="38" t="s">
        <v>749</v>
      </c>
      <c r="AO16" s="38">
        <v>16</v>
      </c>
      <c r="AP16" s="39">
        <f>AM16/AO16</f>
        <v>0.0625</v>
      </c>
    </row>
    <row r="17" ht="21" hidden="1" customHeight="1" spans="1:42">
      <c r="A17" s="59" t="s">
        <v>560</v>
      </c>
      <c r="B17" s="63" t="s">
        <v>16</v>
      </c>
      <c r="C17" s="64" t="s">
        <v>561</v>
      </c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36">
        <f t="shared" ref="AI17:AI48" si="6">COUNTIF(B17:AF17,"S")</f>
        <v>0</v>
      </c>
      <c r="AJ17" s="36">
        <f t="shared" ref="AJ17:AJ48" si="7">COUNTIF(B17:AF17,"I")</f>
        <v>0</v>
      </c>
      <c r="AK17" s="36">
        <f t="shared" ref="AK17:AK48" si="8">COUNTIF(B17:AF17,"A")</f>
        <v>0</v>
      </c>
      <c r="AL17" s="36">
        <f t="shared" ref="AL17:AL48" si="9">COUNTIF(B17:AF17,"PA")</f>
        <v>0</v>
      </c>
      <c r="AM17" s="38">
        <f t="shared" si="4"/>
        <v>0</v>
      </c>
      <c r="AN17" s="38" t="s">
        <v>303</v>
      </c>
      <c r="AO17" s="38">
        <v>16</v>
      </c>
      <c r="AP17" s="39">
        <f t="shared" si="5"/>
        <v>0</v>
      </c>
    </row>
    <row r="18" ht="21" hidden="1" customHeight="1" spans="1:42">
      <c r="A18" s="59" t="s">
        <v>562</v>
      </c>
      <c r="B18" s="63" t="s">
        <v>16</v>
      </c>
      <c r="C18" s="65" t="s">
        <v>506</v>
      </c>
      <c r="D18" s="62"/>
      <c r="E18" s="62" t="s">
        <v>11</v>
      </c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36">
        <f t="shared" si="6"/>
        <v>1</v>
      </c>
      <c r="AJ18" s="36">
        <f t="shared" si="7"/>
        <v>0</v>
      </c>
      <c r="AK18" s="36">
        <f t="shared" si="8"/>
        <v>0</v>
      </c>
      <c r="AL18" s="36">
        <f t="shared" si="9"/>
        <v>0</v>
      </c>
      <c r="AM18" s="38">
        <f t="shared" si="4"/>
        <v>1</v>
      </c>
      <c r="AN18" s="38" t="s">
        <v>25</v>
      </c>
      <c r="AO18" s="38">
        <v>16</v>
      </c>
      <c r="AP18" s="39">
        <f t="shared" si="5"/>
        <v>0.0625</v>
      </c>
    </row>
    <row r="19" ht="21" hidden="1" customHeight="1" spans="1:42">
      <c r="A19" s="59" t="s">
        <v>563</v>
      </c>
      <c r="B19" s="63" t="s">
        <v>564</v>
      </c>
      <c r="C19" s="65" t="s">
        <v>506</v>
      </c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36">
        <f t="shared" si="6"/>
        <v>0</v>
      </c>
      <c r="AJ19" s="36">
        <f t="shared" si="7"/>
        <v>0</v>
      </c>
      <c r="AK19" s="36">
        <f t="shared" si="8"/>
        <v>0</v>
      </c>
      <c r="AL19" s="36">
        <f t="shared" si="9"/>
        <v>0</v>
      </c>
      <c r="AM19" s="38">
        <f t="shared" si="4"/>
        <v>0</v>
      </c>
      <c r="AN19" s="66" t="s">
        <v>423</v>
      </c>
      <c r="AO19" s="38">
        <v>16</v>
      </c>
      <c r="AP19" s="39">
        <f t="shared" si="5"/>
        <v>0</v>
      </c>
    </row>
    <row r="20" ht="21" hidden="1" customHeight="1" spans="1:42">
      <c r="A20" s="59" t="s">
        <v>565</v>
      </c>
      <c r="B20" s="63" t="s">
        <v>165</v>
      </c>
      <c r="C20" s="65" t="s">
        <v>508</v>
      </c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36">
        <f t="shared" si="6"/>
        <v>0</v>
      </c>
      <c r="AJ20" s="36">
        <f t="shared" si="7"/>
        <v>0</v>
      </c>
      <c r="AK20" s="36">
        <f t="shared" si="8"/>
        <v>0</v>
      </c>
      <c r="AL20" s="36">
        <f t="shared" si="9"/>
        <v>0</v>
      </c>
      <c r="AM20" s="38">
        <f t="shared" si="4"/>
        <v>0</v>
      </c>
      <c r="AN20" s="38" t="s">
        <v>168</v>
      </c>
      <c r="AO20" s="38">
        <v>16</v>
      </c>
      <c r="AP20" s="39">
        <f t="shared" si="5"/>
        <v>0</v>
      </c>
    </row>
    <row r="21" ht="21" hidden="1" customHeight="1" spans="1:42">
      <c r="A21" s="59" t="s">
        <v>566</v>
      </c>
      <c r="B21" s="63" t="s">
        <v>16</v>
      </c>
      <c r="C21" s="65" t="s">
        <v>567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36">
        <f t="shared" si="6"/>
        <v>0</v>
      </c>
      <c r="AJ21" s="36">
        <f t="shared" si="7"/>
        <v>0</v>
      </c>
      <c r="AK21" s="36">
        <f t="shared" si="8"/>
        <v>0</v>
      </c>
      <c r="AL21" s="36">
        <f t="shared" si="9"/>
        <v>0</v>
      </c>
      <c r="AM21" s="38">
        <f t="shared" si="4"/>
        <v>0</v>
      </c>
      <c r="AN21" s="38" t="s">
        <v>337</v>
      </c>
      <c r="AO21" s="38">
        <v>16</v>
      </c>
      <c r="AP21" s="39">
        <f t="shared" si="5"/>
        <v>0</v>
      </c>
    </row>
    <row r="22" ht="21" hidden="1" customHeight="1" spans="1:42">
      <c r="A22" s="59" t="s">
        <v>568</v>
      </c>
      <c r="B22" s="63" t="s">
        <v>16</v>
      </c>
      <c r="C22" s="65" t="s">
        <v>750</v>
      </c>
      <c r="D22" s="62" t="s">
        <v>12</v>
      </c>
      <c r="E22" s="62"/>
      <c r="F22" s="62"/>
      <c r="G22" s="62" t="s">
        <v>11</v>
      </c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36">
        <f t="shared" si="6"/>
        <v>1</v>
      </c>
      <c r="AJ22" s="36">
        <f t="shared" si="7"/>
        <v>1</v>
      </c>
      <c r="AK22" s="36">
        <f t="shared" si="8"/>
        <v>0</v>
      </c>
      <c r="AL22" s="36">
        <f t="shared" si="9"/>
        <v>0</v>
      </c>
      <c r="AM22" s="67">
        <f t="shared" si="4"/>
        <v>2</v>
      </c>
      <c r="AN22" s="66" t="s">
        <v>751</v>
      </c>
      <c r="AO22" s="38">
        <v>16</v>
      </c>
      <c r="AP22" s="39">
        <f t="shared" si="5"/>
        <v>0.125</v>
      </c>
    </row>
    <row r="23" ht="21" hidden="1" customHeight="1" spans="1:42">
      <c r="A23" s="59" t="s">
        <v>569</v>
      </c>
      <c r="B23" s="63" t="s">
        <v>564</v>
      </c>
      <c r="C23" s="65" t="s">
        <v>567</v>
      </c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36">
        <f t="shared" si="6"/>
        <v>0</v>
      </c>
      <c r="AJ23" s="36">
        <f t="shared" si="7"/>
        <v>0</v>
      </c>
      <c r="AK23" s="36">
        <f t="shared" si="8"/>
        <v>0</v>
      </c>
      <c r="AL23" s="36">
        <f t="shared" si="9"/>
        <v>0</v>
      </c>
      <c r="AM23" s="66">
        <f t="shared" si="4"/>
        <v>0</v>
      </c>
      <c r="AN23" s="66" t="s">
        <v>460</v>
      </c>
      <c r="AO23" s="68">
        <v>16</v>
      </c>
      <c r="AP23" s="39">
        <f t="shared" si="5"/>
        <v>0</v>
      </c>
    </row>
    <row r="24" ht="21" hidden="1" customHeight="1" spans="1:42">
      <c r="A24" s="59" t="s">
        <v>570</v>
      </c>
      <c r="B24" s="63" t="s">
        <v>16</v>
      </c>
      <c r="C24" s="65" t="s">
        <v>571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36">
        <f t="shared" si="6"/>
        <v>0</v>
      </c>
      <c r="AJ24" s="36">
        <f t="shared" si="7"/>
        <v>0</v>
      </c>
      <c r="AK24" s="36">
        <f t="shared" si="8"/>
        <v>0</v>
      </c>
      <c r="AL24" s="36">
        <f t="shared" si="9"/>
        <v>0</v>
      </c>
      <c r="AM24" s="36">
        <f t="shared" si="4"/>
        <v>0</v>
      </c>
      <c r="AN24" s="36" t="s">
        <v>305</v>
      </c>
      <c r="AO24" s="38">
        <v>16</v>
      </c>
      <c r="AP24" s="39">
        <f t="shared" si="5"/>
        <v>0</v>
      </c>
    </row>
    <row r="25" ht="21" hidden="1" customHeight="1" spans="1:42">
      <c r="A25" s="59" t="s">
        <v>572</v>
      </c>
      <c r="B25" s="63" t="s">
        <v>564</v>
      </c>
      <c r="C25" s="65" t="s">
        <v>573</v>
      </c>
      <c r="D25" s="62" t="s">
        <v>11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 t="s">
        <v>12</v>
      </c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36">
        <f t="shared" si="6"/>
        <v>1</v>
      </c>
      <c r="AJ25" s="36">
        <f t="shared" si="7"/>
        <v>1</v>
      </c>
      <c r="AK25" s="36">
        <f t="shared" si="8"/>
        <v>0</v>
      </c>
      <c r="AL25" s="36">
        <f t="shared" si="9"/>
        <v>0</v>
      </c>
      <c r="AM25" s="38">
        <f t="shared" si="4"/>
        <v>2</v>
      </c>
      <c r="AN25" s="52" t="s">
        <v>208</v>
      </c>
      <c r="AO25" s="38">
        <v>16</v>
      </c>
      <c r="AP25" s="39">
        <f t="shared" si="5"/>
        <v>0.125</v>
      </c>
    </row>
    <row r="26" ht="21" hidden="1" customHeight="1" spans="1:42">
      <c r="A26" s="59" t="s">
        <v>574</v>
      </c>
      <c r="B26" s="63" t="s">
        <v>16</v>
      </c>
      <c r="C26" s="65" t="s">
        <v>322</v>
      </c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 t="s">
        <v>11</v>
      </c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36">
        <f t="shared" si="6"/>
        <v>1</v>
      </c>
      <c r="AJ26" s="36">
        <f t="shared" si="7"/>
        <v>0</v>
      </c>
      <c r="AK26" s="36">
        <f t="shared" si="8"/>
        <v>0</v>
      </c>
      <c r="AL26" s="36">
        <f t="shared" si="9"/>
        <v>0</v>
      </c>
      <c r="AM26" s="38">
        <f t="shared" si="4"/>
        <v>1</v>
      </c>
      <c r="AN26" s="69" t="s">
        <v>239</v>
      </c>
      <c r="AO26" s="38">
        <v>16</v>
      </c>
      <c r="AP26" s="39">
        <f t="shared" si="5"/>
        <v>0.0625</v>
      </c>
    </row>
    <row r="27" ht="21" hidden="1" customHeight="1" spans="1:42">
      <c r="A27" s="59" t="s">
        <v>575</v>
      </c>
      <c r="B27" s="63" t="s">
        <v>16</v>
      </c>
      <c r="C27" s="65" t="s">
        <v>276</v>
      </c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36">
        <f t="shared" si="6"/>
        <v>0</v>
      </c>
      <c r="AJ27" s="36">
        <f t="shared" si="7"/>
        <v>0</v>
      </c>
      <c r="AK27" s="36">
        <f t="shared" si="8"/>
        <v>0</v>
      </c>
      <c r="AL27" s="36">
        <f t="shared" si="9"/>
        <v>0</v>
      </c>
      <c r="AM27" s="38">
        <f t="shared" si="4"/>
        <v>0</v>
      </c>
      <c r="AN27" s="66" t="s">
        <v>382</v>
      </c>
      <c r="AO27" s="38">
        <v>16</v>
      </c>
      <c r="AP27" s="39">
        <f t="shared" si="5"/>
        <v>0</v>
      </c>
    </row>
    <row r="28" ht="21" hidden="1" customHeight="1" spans="1:42">
      <c r="A28" s="59" t="s">
        <v>577</v>
      </c>
      <c r="B28" s="63" t="s">
        <v>165</v>
      </c>
      <c r="C28" s="65" t="s">
        <v>276</v>
      </c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36">
        <f t="shared" si="6"/>
        <v>0</v>
      </c>
      <c r="AJ28" s="36">
        <f t="shared" si="7"/>
        <v>0</v>
      </c>
      <c r="AK28" s="36">
        <f t="shared" si="8"/>
        <v>0</v>
      </c>
      <c r="AL28" s="36">
        <f t="shared" si="9"/>
        <v>0</v>
      </c>
      <c r="AM28" s="38">
        <f t="shared" si="4"/>
        <v>0</v>
      </c>
      <c r="AN28" s="66"/>
      <c r="AO28" s="38">
        <v>16</v>
      </c>
      <c r="AP28" s="39">
        <f t="shared" si="5"/>
        <v>0</v>
      </c>
    </row>
    <row r="29" ht="21" hidden="1" customHeight="1" spans="1:42">
      <c r="A29" s="59" t="s">
        <v>578</v>
      </c>
      <c r="B29" s="63" t="s">
        <v>527</v>
      </c>
      <c r="C29" s="65" t="s">
        <v>276</v>
      </c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36">
        <f t="shared" si="6"/>
        <v>0</v>
      </c>
      <c r="AJ29" s="36">
        <f t="shared" si="7"/>
        <v>0</v>
      </c>
      <c r="AK29" s="36">
        <f t="shared" si="8"/>
        <v>0</v>
      </c>
      <c r="AL29" s="36">
        <f t="shared" si="9"/>
        <v>0</v>
      </c>
      <c r="AM29" s="38">
        <f t="shared" si="4"/>
        <v>0</v>
      </c>
      <c r="AN29" s="66" t="s">
        <v>193</v>
      </c>
      <c r="AO29" s="38">
        <v>16</v>
      </c>
      <c r="AP29" s="39">
        <f t="shared" si="5"/>
        <v>0</v>
      </c>
    </row>
    <row r="30" ht="21" hidden="1" customHeight="1" spans="1:42">
      <c r="A30" s="59" t="s">
        <v>579</v>
      </c>
      <c r="B30" s="63" t="s">
        <v>564</v>
      </c>
      <c r="C30" s="65" t="s">
        <v>227</v>
      </c>
      <c r="D30" s="62" t="s">
        <v>11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36">
        <f t="shared" si="6"/>
        <v>1</v>
      </c>
      <c r="AJ30" s="36">
        <f t="shared" si="7"/>
        <v>0</v>
      </c>
      <c r="AK30" s="36">
        <f t="shared" si="8"/>
        <v>0</v>
      </c>
      <c r="AL30" s="36">
        <f t="shared" si="9"/>
        <v>0</v>
      </c>
      <c r="AM30" s="38">
        <f t="shared" si="4"/>
        <v>1</v>
      </c>
      <c r="AN30" s="70" t="s">
        <v>382</v>
      </c>
      <c r="AO30" s="38">
        <v>16</v>
      </c>
      <c r="AP30" s="39">
        <f t="shared" si="5"/>
        <v>0.0625</v>
      </c>
    </row>
    <row r="31" ht="21" hidden="1" customHeight="1" spans="1:42">
      <c r="A31" s="59" t="s">
        <v>580</v>
      </c>
      <c r="B31" s="63" t="s">
        <v>564</v>
      </c>
      <c r="C31" s="65" t="s">
        <v>227</v>
      </c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36">
        <f t="shared" si="6"/>
        <v>0</v>
      </c>
      <c r="AJ31" s="36">
        <f t="shared" si="7"/>
        <v>0</v>
      </c>
      <c r="AK31" s="36">
        <f t="shared" si="8"/>
        <v>0</v>
      </c>
      <c r="AL31" s="36">
        <f t="shared" si="9"/>
        <v>0</v>
      </c>
      <c r="AM31" s="38">
        <f t="shared" si="4"/>
        <v>0</v>
      </c>
      <c r="AN31" s="69" t="s">
        <v>171</v>
      </c>
      <c r="AO31" s="38">
        <v>16</v>
      </c>
      <c r="AP31" s="39">
        <f t="shared" si="5"/>
        <v>0</v>
      </c>
    </row>
    <row r="32" ht="21" hidden="1" customHeight="1" spans="1:42">
      <c r="A32" s="59" t="s">
        <v>581</v>
      </c>
      <c r="B32" s="63" t="s">
        <v>16</v>
      </c>
      <c r="C32" s="65" t="s">
        <v>394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36">
        <f t="shared" si="6"/>
        <v>0</v>
      </c>
      <c r="AJ32" s="36">
        <f t="shared" si="7"/>
        <v>0</v>
      </c>
      <c r="AK32" s="36">
        <f t="shared" si="8"/>
        <v>0</v>
      </c>
      <c r="AL32" s="36">
        <f t="shared" si="9"/>
        <v>0</v>
      </c>
      <c r="AM32" s="38">
        <f t="shared" si="4"/>
        <v>0</v>
      </c>
      <c r="AN32" s="69" t="s">
        <v>201</v>
      </c>
      <c r="AO32" s="38">
        <v>16</v>
      </c>
      <c r="AP32" s="39">
        <f t="shared" si="5"/>
        <v>0</v>
      </c>
    </row>
    <row r="33" ht="21" hidden="1" customHeight="1" spans="1:42">
      <c r="A33" s="59" t="s">
        <v>583</v>
      </c>
      <c r="B33" s="63" t="s">
        <v>16</v>
      </c>
      <c r="C33" s="65" t="s">
        <v>394</v>
      </c>
      <c r="D33" s="62"/>
      <c r="E33" s="62"/>
      <c r="F33" s="62"/>
      <c r="G33" s="62"/>
      <c r="H33" s="62" t="s">
        <v>12</v>
      </c>
      <c r="I33" s="62"/>
      <c r="J33" s="62"/>
      <c r="K33" s="62"/>
      <c r="L33" s="62"/>
      <c r="M33" s="62"/>
      <c r="N33" s="62"/>
      <c r="O33" s="62"/>
      <c r="P33" s="62" t="s">
        <v>11</v>
      </c>
      <c r="Q33" s="62"/>
      <c r="R33" s="62" t="s">
        <v>11</v>
      </c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36">
        <f t="shared" si="6"/>
        <v>2</v>
      </c>
      <c r="AJ33" s="36">
        <f t="shared" si="7"/>
        <v>1</v>
      </c>
      <c r="AK33" s="36">
        <f t="shared" si="8"/>
        <v>0</v>
      </c>
      <c r="AL33" s="36">
        <f t="shared" si="9"/>
        <v>0</v>
      </c>
      <c r="AM33" s="38">
        <f t="shared" si="4"/>
        <v>3</v>
      </c>
      <c r="AN33" s="66" t="s">
        <v>336</v>
      </c>
      <c r="AO33" s="38">
        <v>16</v>
      </c>
      <c r="AP33" s="39">
        <f t="shared" si="5"/>
        <v>0.1875</v>
      </c>
    </row>
    <row r="34" ht="21" hidden="1" customHeight="1" spans="1:42">
      <c r="A34" s="59" t="s">
        <v>584</v>
      </c>
      <c r="B34" s="63" t="s">
        <v>16</v>
      </c>
      <c r="C34" s="65" t="s">
        <v>394</v>
      </c>
      <c r="D34" s="62"/>
      <c r="E34" s="62"/>
      <c r="F34" s="62" t="s">
        <v>13</v>
      </c>
      <c r="G34" s="62"/>
      <c r="H34" s="62"/>
      <c r="I34" s="62"/>
      <c r="J34" s="62"/>
      <c r="K34" s="62"/>
      <c r="L34" s="62" t="s">
        <v>11</v>
      </c>
      <c r="M34" s="62" t="s">
        <v>11</v>
      </c>
      <c r="N34" s="62"/>
      <c r="O34" s="62" t="s">
        <v>13</v>
      </c>
      <c r="P34" s="62" t="s">
        <v>13</v>
      </c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36">
        <f t="shared" si="6"/>
        <v>2</v>
      </c>
      <c r="AJ34" s="36">
        <f t="shared" si="7"/>
        <v>0</v>
      </c>
      <c r="AK34" s="36">
        <f t="shared" si="8"/>
        <v>3</v>
      </c>
      <c r="AL34" s="36">
        <f t="shared" si="9"/>
        <v>0</v>
      </c>
      <c r="AM34" s="38">
        <f>SUM(AH34:AL34)</f>
        <v>5</v>
      </c>
      <c r="AN34" s="71" t="s">
        <v>752</v>
      </c>
      <c r="AO34" s="38">
        <v>16</v>
      </c>
      <c r="AP34" s="39">
        <f t="shared" si="5"/>
        <v>0.3125</v>
      </c>
    </row>
    <row r="35" ht="21" hidden="1" customHeight="1" spans="1:42">
      <c r="A35" s="59" t="s">
        <v>585</v>
      </c>
      <c r="B35" s="63" t="s">
        <v>16</v>
      </c>
      <c r="C35" s="65" t="s">
        <v>394</v>
      </c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36">
        <f t="shared" si="6"/>
        <v>0</v>
      </c>
      <c r="AJ35" s="36">
        <f t="shared" si="7"/>
        <v>0</v>
      </c>
      <c r="AK35" s="36">
        <f t="shared" si="8"/>
        <v>0</v>
      </c>
      <c r="AL35" s="36">
        <f t="shared" si="9"/>
        <v>0</v>
      </c>
      <c r="AM35" s="67">
        <f t="shared" si="4"/>
        <v>0</v>
      </c>
      <c r="AN35" s="67" t="s">
        <v>336</v>
      </c>
      <c r="AO35" s="38">
        <v>16</v>
      </c>
      <c r="AP35" s="72">
        <f t="shared" si="5"/>
        <v>0</v>
      </c>
    </row>
    <row r="36" ht="21" hidden="1" customHeight="1" spans="1:42">
      <c r="A36" s="59" t="s">
        <v>586</v>
      </c>
      <c r="B36" s="63" t="s">
        <v>16</v>
      </c>
      <c r="C36" s="65" t="s">
        <v>394</v>
      </c>
      <c r="D36" s="62"/>
      <c r="E36" s="62"/>
      <c r="F36" s="62"/>
      <c r="G36" s="62"/>
      <c r="H36" s="62"/>
      <c r="I36" s="62"/>
      <c r="J36" s="62"/>
      <c r="K36" s="62"/>
      <c r="L36" s="62"/>
      <c r="M36" s="62" t="s">
        <v>12</v>
      </c>
      <c r="N36" s="62"/>
      <c r="O36" s="62"/>
      <c r="P36" s="62"/>
      <c r="Q36" s="62" t="s">
        <v>12</v>
      </c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36">
        <f t="shared" si="6"/>
        <v>0</v>
      </c>
      <c r="AJ36" s="36">
        <f t="shared" si="7"/>
        <v>2</v>
      </c>
      <c r="AK36" s="36">
        <f t="shared" si="8"/>
        <v>0</v>
      </c>
      <c r="AL36" s="36">
        <f t="shared" si="9"/>
        <v>0</v>
      </c>
      <c r="AM36" s="38">
        <f t="shared" si="4"/>
        <v>2</v>
      </c>
      <c r="AN36" s="66" t="s">
        <v>193</v>
      </c>
      <c r="AO36" s="38">
        <v>26</v>
      </c>
      <c r="AP36" s="39">
        <f t="shared" si="5"/>
        <v>0.0769230769230769</v>
      </c>
    </row>
    <row r="37" ht="21" hidden="1" customHeight="1" spans="1:42">
      <c r="A37" s="59" t="s">
        <v>587</v>
      </c>
      <c r="B37" s="63" t="s">
        <v>564</v>
      </c>
      <c r="C37" s="65" t="s">
        <v>394</v>
      </c>
      <c r="D37" s="62"/>
      <c r="E37" s="62"/>
      <c r="F37" s="62"/>
      <c r="G37" s="62"/>
      <c r="H37" s="62"/>
      <c r="I37" s="62" t="s">
        <v>11</v>
      </c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36">
        <f t="shared" si="6"/>
        <v>1</v>
      </c>
      <c r="AJ37" s="36">
        <f t="shared" si="7"/>
        <v>0</v>
      </c>
      <c r="AK37" s="36">
        <f t="shared" si="8"/>
        <v>0</v>
      </c>
      <c r="AL37" s="36">
        <f t="shared" si="9"/>
        <v>0</v>
      </c>
      <c r="AM37" s="38">
        <f t="shared" si="4"/>
        <v>1</v>
      </c>
      <c r="AN37" s="66" t="s">
        <v>193</v>
      </c>
      <c r="AO37" s="38">
        <v>26</v>
      </c>
      <c r="AP37" s="39">
        <f t="shared" si="5"/>
        <v>0.0384615384615385</v>
      </c>
    </row>
    <row r="38" ht="21" hidden="1" customHeight="1" spans="1:42">
      <c r="A38" s="59" t="s">
        <v>588</v>
      </c>
      <c r="B38" s="63" t="s">
        <v>16</v>
      </c>
      <c r="C38" s="65" t="s">
        <v>355</v>
      </c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36">
        <f t="shared" si="6"/>
        <v>0</v>
      </c>
      <c r="AJ38" s="36">
        <f t="shared" si="7"/>
        <v>0</v>
      </c>
      <c r="AK38" s="36">
        <f t="shared" si="8"/>
        <v>0</v>
      </c>
      <c r="AL38" s="36">
        <f t="shared" si="9"/>
        <v>0</v>
      </c>
      <c r="AM38" s="38">
        <f t="shared" si="4"/>
        <v>0</v>
      </c>
      <c r="AN38" s="38" t="s">
        <v>25</v>
      </c>
      <c r="AO38" s="38">
        <v>26</v>
      </c>
      <c r="AP38" s="39">
        <f t="shared" si="5"/>
        <v>0</v>
      </c>
    </row>
    <row r="39" ht="21" hidden="1" customHeight="1" spans="1:42">
      <c r="A39" s="59" t="s">
        <v>589</v>
      </c>
      <c r="B39" s="63" t="s">
        <v>16</v>
      </c>
      <c r="C39" s="73" t="s">
        <v>355</v>
      </c>
      <c r="D39" s="62"/>
      <c r="E39" s="62" t="s">
        <v>11</v>
      </c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36">
        <f t="shared" si="6"/>
        <v>1</v>
      </c>
      <c r="AJ39" s="36">
        <f t="shared" si="7"/>
        <v>0</v>
      </c>
      <c r="AK39" s="36">
        <f t="shared" si="8"/>
        <v>0</v>
      </c>
      <c r="AL39" s="36">
        <f t="shared" si="9"/>
        <v>0</v>
      </c>
      <c r="AM39" s="38">
        <f t="shared" si="4"/>
        <v>1</v>
      </c>
      <c r="AN39" s="38" t="s">
        <v>25</v>
      </c>
      <c r="AO39" s="38">
        <v>26</v>
      </c>
      <c r="AP39" s="39">
        <f t="shared" si="5"/>
        <v>0.0384615384615385</v>
      </c>
    </row>
    <row r="40" ht="21" hidden="1" customHeight="1" spans="1:42">
      <c r="A40" s="59" t="s">
        <v>590</v>
      </c>
      <c r="B40" s="60" t="s">
        <v>16</v>
      </c>
      <c r="C40" s="61" t="s">
        <v>355</v>
      </c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 t="s">
        <v>11</v>
      </c>
      <c r="U40" s="62" t="s">
        <v>11</v>
      </c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38">
        <f t="shared" si="6"/>
        <v>2</v>
      </c>
      <c r="AJ40" s="38">
        <f t="shared" si="7"/>
        <v>0</v>
      </c>
      <c r="AK40" s="38">
        <f t="shared" si="8"/>
        <v>0</v>
      </c>
      <c r="AL40" s="36">
        <f t="shared" si="9"/>
        <v>0</v>
      </c>
      <c r="AM40" s="38">
        <f t="shared" si="4"/>
        <v>2</v>
      </c>
      <c r="AN40" s="66" t="s">
        <v>753</v>
      </c>
      <c r="AO40" s="38">
        <v>26</v>
      </c>
      <c r="AP40" s="39">
        <f t="shared" si="5"/>
        <v>0.0769230769230769</v>
      </c>
    </row>
    <row r="41" ht="21" hidden="1" customHeight="1" spans="1:42">
      <c r="A41" s="59" t="s">
        <v>591</v>
      </c>
      <c r="B41" s="63" t="s">
        <v>16</v>
      </c>
      <c r="C41" s="64" t="s">
        <v>308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36">
        <f t="shared" si="6"/>
        <v>0</v>
      </c>
      <c r="AJ41" s="36">
        <f t="shared" si="7"/>
        <v>0</v>
      </c>
      <c r="AK41" s="36">
        <f t="shared" si="8"/>
        <v>0</v>
      </c>
      <c r="AL41" s="36">
        <f t="shared" si="9"/>
        <v>0</v>
      </c>
      <c r="AM41" s="38">
        <f t="shared" si="4"/>
        <v>0</v>
      </c>
      <c r="AN41" s="74" t="s">
        <v>466</v>
      </c>
      <c r="AO41" s="38">
        <v>26</v>
      </c>
      <c r="AP41" s="39">
        <f t="shared" si="5"/>
        <v>0</v>
      </c>
    </row>
    <row r="42" ht="21" hidden="1" customHeight="1" spans="1:42">
      <c r="A42" s="59" t="s">
        <v>592</v>
      </c>
      <c r="B42" s="63" t="s">
        <v>16</v>
      </c>
      <c r="C42" s="65" t="s">
        <v>308</v>
      </c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36">
        <f t="shared" si="6"/>
        <v>0</v>
      </c>
      <c r="AJ42" s="36">
        <f t="shared" si="7"/>
        <v>0</v>
      </c>
      <c r="AK42" s="36">
        <f t="shared" si="8"/>
        <v>0</v>
      </c>
      <c r="AL42" s="36">
        <f t="shared" si="9"/>
        <v>0</v>
      </c>
      <c r="AM42" s="38">
        <f t="shared" si="4"/>
        <v>0</v>
      </c>
      <c r="AN42" s="66" t="s">
        <v>425</v>
      </c>
      <c r="AO42" s="38">
        <v>26</v>
      </c>
      <c r="AP42" s="39">
        <f t="shared" si="5"/>
        <v>0</v>
      </c>
    </row>
    <row r="43" ht="21" hidden="1" customHeight="1" spans="1:42">
      <c r="A43" s="59" t="s">
        <v>594</v>
      </c>
      <c r="B43" s="63" t="s">
        <v>16</v>
      </c>
      <c r="C43" s="65" t="s">
        <v>252</v>
      </c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36">
        <f t="shared" si="6"/>
        <v>0</v>
      </c>
      <c r="AJ43" s="36">
        <f t="shared" si="7"/>
        <v>0</v>
      </c>
      <c r="AK43" s="36">
        <f t="shared" si="8"/>
        <v>0</v>
      </c>
      <c r="AL43" s="36">
        <f t="shared" si="9"/>
        <v>0</v>
      </c>
      <c r="AM43" s="38">
        <f t="shared" si="4"/>
        <v>0</v>
      </c>
      <c r="AN43" s="75" t="s">
        <v>427</v>
      </c>
      <c r="AO43" s="38">
        <v>26</v>
      </c>
      <c r="AP43" s="39">
        <f t="shared" si="5"/>
        <v>0</v>
      </c>
    </row>
    <row r="44" ht="21" hidden="1" customHeight="1" spans="1:42">
      <c r="A44" s="59" t="s">
        <v>595</v>
      </c>
      <c r="B44" s="63" t="s">
        <v>564</v>
      </c>
      <c r="C44" s="65" t="s">
        <v>596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36">
        <f t="shared" si="6"/>
        <v>0</v>
      </c>
      <c r="AJ44" s="36">
        <f t="shared" si="7"/>
        <v>0</v>
      </c>
      <c r="AK44" s="36">
        <f t="shared" si="8"/>
        <v>0</v>
      </c>
      <c r="AL44" s="36">
        <f t="shared" si="9"/>
        <v>0</v>
      </c>
      <c r="AM44" s="38">
        <f t="shared" si="4"/>
        <v>0</v>
      </c>
      <c r="AN44" s="38"/>
      <c r="AO44" s="38">
        <v>26</v>
      </c>
      <c r="AP44" s="39">
        <f t="shared" si="5"/>
        <v>0</v>
      </c>
    </row>
    <row r="45" ht="21" hidden="1" customHeight="1" spans="1:42">
      <c r="A45" s="59" t="s">
        <v>597</v>
      </c>
      <c r="B45" s="63" t="s">
        <v>564</v>
      </c>
      <c r="C45" s="65" t="s">
        <v>395</v>
      </c>
      <c r="D45" s="62"/>
      <c r="E45" s="62"/>
      <c r="F45" s="62" t="s">
        <v>11</v>
      </c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36">
        <f t="shared" si="6"/>
        <v>1</v>
      </c>
      <c r="AJ45" s="36">
        <f t="shared" si="7"/>
        <v>0</v>
      </c>
      <c r="AK45" s="36">
        <f t="shared" si="8"/>
        <v>0</v>
      </c>
      <c r="AL45" s="36">
        <f t="shared" si="9"/>
        <v>0</v>
      </c>
      <c r="AM45" s="38">
        <f>SUM(AH45:AL45)</f>
        <v>1</v>
      </c>
      <c r="AN45" s="71" t="s">
        <v>749</v>
      </c>
      <c r="AO45" s="38">
        <v>26</v>
      </c>
      <c r="AP45" s="39">
        <f t="shared" si="5"/>
        <v>0.0384615384615385</v>
      </c>
    </row>
    <row r="46" ht="21" hidden="1" customHeight="1" spans="1:42">
      <c r="A46" s="59" t="s">
        <v>598</v>
      </c>
      <c r="B46" s="63" t="s">
        <v>16</v>
      </c>
      <c r="C46" s="65" t="s">
        <v>515</v>
      </c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36">
        <f t="shared" si="6"/>
        <v>0</v>
      </c>
      <c r="AJ46" s="36">
        <f t="shared" si="7"/>
        <v>0</v>
      </c>
      <c r="AK46" s="36">
        <f t="shared" si="8"/>
        <v>0</v>
      </c>
      <c r="AL46" s="36">
        <f t="shared" si="9"/>
        <v>0</v>
      </c>
      <c r="AM46" s="38">
        <f t="shared" si="4"/>
        <v>0</v>
      </c>
      <c r="AN46" s="38"/>
      <c r="AO46" s="38">
        <v>26</v>
      </c>
      <c r="AP46" s="39">
        <f t="shared" si="5"/>
        <v>0</v>
      </c>
    </row>
    <row r="47" ht="21" hidden="1" customHeight="1" spans="1:42">
      <c r="A47" s="59" t="s">
        <v>599</v>
      </c>
      <c r="B47" s="63" t="s">
        <v>16</v>
      </c>
      <c r="C47" s="65" t="s">
        <v>515</v>
      </c>
      <c r="D47" s="62"/>
      <c r="E47" s="62" t="s">
        <v>557</v>
      </c>
      <c r="F47" s="62" t="s">
        <v>11</v>
      </c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 t="s">
        <v>12</v>
      </c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36">
        <f t="shared" si="6"/>
        <v>1</v>
      </c>
      <c r="AJ47" s="36">
        <f t="shared" si="7"/>
        <v>1</v>
      </c>
      <c r="AK47" s="36">
        <f t="shared" si="8"/>
        <v>0</v>
      </c>
      <c r="AL47" s="36">
        <f t="shared" si="9"/>
        <v>1</v>
      </c>
      <c r="AM47" s="38">
        <f>SUM(AH47:AL47)</f>
        <v>3</v>
      </c>
      <c r="AN47" s="71" t="s">
        <v>753</v>
      </c>
      <c r="AO47" s="38">
        <v>26</v>
      </c>
      <c r="AP47" s="39">
        <f t="shared" si="5"/>
        <v>0.115384615384615</v>
      </c>
    </row>
    <row r="48" ht="21" hidden="1" customHeight="1" spans="1:42">
      <c r="A48" s="59" t="s">
        <v>600</v>
      </c>
      <c r="B48" s="63" t="s">
        <v>16</v>
      </c>
      <c r="C48" s="65" t="s">
        <v>515</v>
      </c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36">
        <f t="shared" si="6"/>
        <v>0</v>
      </c>
      <c r="AJ48" s="36">
        <f t="shared" si="7"/>
        <v>0</v>
      </c>
      <c r="AK48" s="36">
        <f t="shared" si="8"/>
        <v>0</v>
      </c>
      <c r="AL48" s="36">
        <f t="shared" si="9"/>
        <v>0</v>
      </c>
      <c r="AM48" s="38">
        <f t="shared" si="4"/>
        <v>0</v>
      </c>
      <c r="AN48" s="38"/>
      <c r="AO48" s="38">
        <v>26</v>
      </c>
      <c r="AP48" s="39">
        <f t="shared" si="5"/>
        <v>0</v>
      </c>
    </row>
    <row r="49" ht="21" hidden="1" customHeight="1" spans="1:42">
      <c r="A49" s="59" t="s">
        <v>601</v>
      </c>
      <c r="B49" s="63" t="s">
        <v>16</v>
      </c>
      <c r="C49" s="76" t="s">
        <v>503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 t="s">
        <v>11</v>
      </c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36">
        <f t="shared" ref="AI49:AI80" si="10">COUNTIF(B49:AF49,"S")</f>
        <v>1</v>
      </c>
      <c r="AJ49" s="36">
        <f t="shared" ref="AJ49:AJ80" si="11">COUNTIF(B49:AF49,"I")</f>
        <v>0</v>
      </c>
      <c r="AK49" s="36">
        <f t="shared" ref="AK49:AK80" si="12">COUNTIF(B49:AF49,"A")</f>
        <v>0</v>
      </c>
      <c r="AL49" s="36">
        <f t="shared" ref="AL49:AL80" si="13">COUNTIF(B49:AF49,"PA")</f>
        <v>0</v>
      </c>
      <c r="AM49" s="38">
        <f t="shared" si="4"/>
        <v>1</v>
      </c>
      <c r="AN49" s="66" t="s">
        <v>382</v>
      </c>
      <c r="AO49" s="38">
        <v>26</v>
      </c>
      <c r="AP49" s="39">
        <f t="shared" si="5"/>
        <v>0.0384615384615385</v>
      </c>
    </row>
    <row r="50" ht="21" hidden="1" customHeight="1" spans="1:42">
      <c r="A50" s="59" t="s">
        <v>602</v>
      </c>
      <c r="B50" s="63" t="s">
        <v>16</v>
      </c>
      <c r="C50" s="76" t="s">
        <v>503</v>
      </c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36">
        <f t="shared" si="10"/>
        <v>0</v>
      </c>
      <c r="AJ50" s="36">
        <f t="shared" si="11"/>
        <v>0</v>
      </c>
      <c r="AK50" s="36">
        <f t="shared" si="12"/>
        <v>0</v>
      </c>
      <c r="AL50" s="36">
        <f t="shared" si="13"/>
        <v>0</v>
      </c>
      <c r="AM50" s="38">
        <f t="shared" si="4"/>
        <v>0</v>
      </c>
      <c r="AN50" s="66" t="s">
        <v>467</v>
      </c>
      <c r="AO50" s="38">
        <v>26</v>
      </c>
      <c r="AP50" s="39">
        <f t="shared" si="5"/>
        <v>0</v>
      </c>
    </row>
    <row r="51" ht="21" hidden="1" customHeight="1" spans="1:42">
      <c r="A51" s="59" t="s">
        <v>603</v>
      </c>
      <c r="B51" s="63" t="s">
        <v>16</v>
      </c>
      <c r="C51" s="76" t="s">
        <v>505</v>
      </c>
      <c r="D51" s="62" t="s">
        <v>11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36">
        <f t="shared" si="10"/>
        <v>1</v>
      </c>
      <c r="AJ51" s="36">
        <f t="shared" si="11"/>
        <v>0</v>
      </c>
      <c r="AK51" s="36">
        <f t="shared" si="12"/>
        <v>0</v>
      </c>
      <c r="AL51" s="36">
        <f t="shared" si="13"/>
        <v>0</v>
      </c>
      <c r="AM51" s="38">
        <f t="shared" si="4"/>
        <v>1</v>
      </c>
      <c r="AN51" s="38" t="s">
        <v>272</v>
      </c>
      <c r="AO51" s="38">
        <v>26</v>
      </c>
      <c r="AP51" s="39">
        <f t="shared" si="5"/>
        <v>0.0384615384615385</v>
      </c>
    </row>
    <row r="52" ht="21" hidden="1" customHeight="1" spans="1:42">
      <c r="A52" s="59" t="s">
        <v>604</v>
      </c>
      <c r="B52" s="63" t="s">
        <v>16</v>
      </c>
      <c r="C52" s="76" t="s">
        <v>350</v>
      </c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36">
        <f t="shared" si="10"/>
        <v>0</v>
      </c>
      <c r="AJ52" s="36">
        <f t="shared" si="11"/>
        <v>0</v>
      </c>
      <c r="AK52" s="36">
        <f t="shared" si="12"/>
        <v>0</v>
      </c>
      <c r="AL52" s="36">
        <f t="shared" si="13"/>
        <v>0</v>
      </c>
      <c r="AM52" s="38">
        <f t="shared" si="4"/>
        <v>0</v>
      </c>
      <c r="AN52" s="66" t="s">
        <v>193</v>
      </c>
      <c r="AO52" s="38">
        <v>26</v>
      </c>
      <c r="AP52" s="39">
        <f t="shared" si="5"/>
        <v>0</v>
      </c>
    </row>
    <row r="53" ht="21" hidden="1" customHeight="1" spans="1:42">
      <c r="A53" s="59" t="s">
        <v>605</v>
      </c>
      <c r="B53" s="63" t="s">
        <v>564</v>
      </c>
      <c r="C53" s="65" t="s">
        <v>395</v>
      </c>
      <c r="D53" s="62"/>
      <c r="E53" s="62"/>
      <c r="F53" s="62"/>
      <c r="G53" s="62" t="s">
        <v>557</v>
      </c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36">
        <f t="shared" si="10"/>
        <v>0</v>
      </c>
      <c r="AJ53" s="36">
        <f t="shared" si="11"/>
        <v>0</v>
      </c>
      <c r="AK53" s="36">
        <f t="shared" si="12"/>
        <v>0</v>
      </c>
      <c r="AL53" s="36">
        <f t="shared" si="13"/>
        <v>1</v>
      </c>
      <c r="AM53" s="38">
        <f t="shared" si="4"/>
        <v>0</v>
      </c>
      <c r="AN53" s="66" t="s">
        <v>754</v>
      </c>
      <c r="AO53" s="38">
        <v>26</v>
      </c>
      <c r="AP53" s="39">
        <f t="shared" si="5"/>
        <v>0</v>
      </c>
    </row>
    <row r="54" ht="21" hidden="1" customHeight="1" spans="1:42">
      <c r="A54" s="59" t="s">
        <v>606</v>
      </c>
      <c r="B54" s="63" t="s">
        <v>564</v>
      </c>
      <c r="C54" s="65" t="s">
        <v>395</v>
      </c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36">
        <f t="shared" si="10"/>
        <v>0</v>
      </c>
      <c r="AJ54" s="36">
        <f t="shared" si="11"/>
        <v>0</v>
      </c>
      <c r="AK54" s="36">
        <f t="shared" si="12"/>
        <v>0</v>
      </c>
      <c r="AL54" s="36">
        <f t="shared" si="13"/>
        <v>0</v>
      </c>
      <c r="AM54" s="38">
        <f t="shared" si="4"/>
        <v>0</v>
      </c>
      <c r="AN54" s="38" t="s">
        <v>25</v>
      </c>
      <c r="AO54" s="38">
        <v>26</v>
      </c>
      <c r="AP54" s="39">
        <f t="shared" si="5"/>
        <v>0</v>
      </c>
    </row>
    <row r="55" ht="21" hidden="1" customHeight="1" spans="1:42">
      <c r="A55" s="59" t="s">
        <v>607</v>
      </c>
      <c r="B55" s="63" t="s">
        <v>165</v>
      </c>
      <c r="C55" s="76" t="s">
        <v>271</v>
      </c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36">
        <f t="shared" si="10"/>
        <v>0</v>
      </c>
      <c r="AJ55" s="36">
        <f t="shared" si="11"/>
        <v>0</v>
      </c>
      <c r="AK55" s="36">
        <f t="shared" si="12"/>
        <v>0</v>
      </c>
      <c r="AL55" s="36">
        <f t="shared" si="13"/>
        <v>0</v>
      </c>
      <c r="AM55" s="38">
        <f t="shared" si="4"/>
        <v>0</v>
      </c>
      <c r="AN55" s="66" t="s">
        <v>193</v>
      </c>
      <c r="AO55" s="38">
        <v>26</v>
      </c>
      <c r="AP55" s="39">
        <f t="shared" si="5"/>
        <v>0</v>
      </c>
    </row>
    <row r="56" ht="21" hidden="1" customHeight="1" spans="1:42">
      <c r="A56" s="59" t="s">
        <v>608</v>
      </c>
      <c r="B56" s="63" t="s">
        <v>16</v>
      </c>
      <c r="C56" s="77" t="s">
        <v>271</v>
      </c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36">
        <f t="shared" si="10"/>
        <v>0</v>
      </c>
      <c r="AJ56" s="36">
        <f t="shared" si="11"/>
        <v>0</v>
      </c>
      <c r="AK56" s="36">
        <f t="shared" si="12"/>
        <v>0</v>
      </c>
      <c r="AL56" s="36">
        <f t="shared" si="13"/>
        <v>0</v>
      </c>
      <c r="AM56" s="38">
        <f t="shared" si="4"/>
        <v>0</v>
      </c>
      <c r="AN56" s="66" t="s">
        <v>193</v>
      </c>
      <c r="AO56" s="38">
        <v>26</v>
      </c>
      <c r="AP56" s="39">
        <f t="shared" si="5"/>
        <v>0</v>
      </c>
    </row>
    <row r="57" ht="21" hidden="1" customHeight="1" spans="1:42">
      <c r="A57" s="59" t="s">
        <v>609</v>
      </c>
      <c r="B57" s="60" t="s">
        <v>165</v>
      </c>
      <c r="C57" s="78" t="s">
        <v>350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 t="s">
        <v>11</v>
      </c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38">
        <f t="shared" si="10"/>
        <v>1</v>
      </c>
      <c r="AJ57" s="38">
        <f t="shared" si="11"/>
        <v>0</v>
      </c>
      <c r="AK57" s="38">
        <f t="shared" si="12"/>
        <v>0</v>
      </c>
      <c r="AL57" s="36">
        <f t="shared" si="13"/>
        <v>0</v>
      </c>
      <c r="AM57" s="67">
        <f t="shared" si="4"/>
        <v>1</v>
      </c>
      <c r="AN57" s="79" t="s">
        <v>749</v>
      </c>
      <c r="AO57" s="38">
        <v>26</v>
      </c>
      <c r="AP57" s="39">
        <f t="shared" si="5"/>
        <v>0.0384615384615385</v>
      </c>
    </row>
    <row r="58" ht="21" hidden="1" customHeight="1" spans="1:42">
      <c r="A58" s="59" t="s">
        <v>610</v>
      </c>
      <c r="B58" s="63" t="s">
        <v>16</v>
      </c>
      <c r="C58" s="80" t="s">
        <v>271</v>
      </c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36">
        <f t="shared" si="10"/>
        <v>0</v>
      </c>
      <c r="AJ58" s="36">
        <f t="shared" si="11"/>
        <v>0</v>
      </c>
      <c r="AK58" s="36">
        <f t="shared" si="12"/>
        <v>0</v>
      </c>
      <c r="AL58" s="36">
        <f t="shared" si="13"/>
        <v>0</v>
      </c>
      <c r="AM58" s="66">
        <f t="shared" si="4"/>
        <v>0</v>
      </c>
      <c r="AN58" s="66" t="s">
        <v>429</v>
      </c>
      <c r="AO58" s="68">
        <v>26</v>
      </c>
      <c r="AP58" s="39">
        <f t="shared" si="5"/>
        <v>0</v>
      </c>
    </row>
    <row r="59" ht="21" hidden="1" customHeight="1" spans="1:42">
      <c r="A59" s="59" t="s">
        <v>611</v>
      </c>
      <c r="B59" s="63" t="s">
        <v>16</v>
      </c>
      <c r="C59" s="76" t="s">
        <v>344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36">
        <f t="shared" si="10"/>
        <v>0</v>
      </c>
      <c r="AJ59" s="36">
        <f t="shared" si="11"/>
        <v>0</v>
      </c>
      <c r="AK59" s="36">
        <f t="shared" si="12"/>
        <v>0</v>
      </c>
      <c r="AL59" s="36">
        <f t="shared" si="13"/>
        <v>0</v>
      </c>
      <c r="AM59" s="36">
        <f t="shared" si="4"/>
        <v>0</v>
      </c>
      <c r="AN59" s="66" t="s">
        <v>430</v>
      </c>
      <c r="AO59" s="38">
        <v>26</v>
      </c>
      <c r="AP59" s="39">
        <f t="shared" si="5"/>
        <v>0</v>
      </c>
    </row>
    <row r="60" ht="21" hidden="1" customHeight="1" spans="1:42">
      <c r="A60" s="59" t="s">
        <v>612</v>
      </c>
      <c r="B60" s="59" t="s">
        <v>165</v>
      </c>
      <c r="C60" s="76" t="s">
        <v>344</v>
      </c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36">
        <f t="shared" si="10"/>
        <v>0</v>
      </c>
      <c r="AJ60" s="36">
        <f t="shared" si="11"/>
        <v>0</v>
      </c>
      <c r="AK60" s="36">
        <f t="shared" si="12"/>
        <v>0</v>
      </c>
      <c r="AL60" s="36">
        <f t="shared" si="13"/>
        <v>0</v>
      </c>
      <c r="AM60" s="38">
        <f t="shared" si="4"/>
        <v>0</v>
      </c>
      <c r="AN60" s="66" t="s">
        <v>193</v>
      </c>
      <c r="AO60" s="38">
        <v>26</v>
      </c>
      <c r="AP60" s="39">
        <f t="shared" si="5"/>
        <v>0</v>
      </c>
    </row>
    <row r="61" ht="21" hidden="1" customHeight="1" spans="1:42">
      <c r="A61" s="59" t="s">
        <v>613</v>
      </c>
      <c r="B61" s="63" t="s">
        <v>16</v>
      </c>
      <c r="C61" s="76" t="s">
        <v>344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36">
        <f t="shared" si="10"/>
        <v>0</v>
      </c>
      <c r="AJ61" s="36">
        <f t="shared" si="11"/>
        <v>0</v>
      </c>
      <c r="AK61" s="36">
        <f t="shared" si="12"/>
        <v>0</v>
      </c>
      <c r="AL61" s="36">
        <f t="shared" si="13"/>
        <v>0</v>
      </c>
      <c r="AM61" s="38">
        <f t="shared" si="4"/>
        <v>0</v>
      </c>
      <c r="AN61" s="66" t="s">
        <v>431</v>
      </c>
      <c r="AO61" s="38">
        <v>26</v>
      </c>
      <c r="AP61" s="39">
        <f t="shared" si="5"/>
        <v>0</v>
      </c>
    </row>
    <row r="62" ht="21" hidden="1" customHeight="1" spans="1:42">
      <c r="A62" s="59" t="s">
        <v>614</v>
      </c>
      <c r="B62" s="63" t="s">
        <v>16</v>
      </c>
      <c r="C62" s="76" t="s">
        <v>344</v>
      </c>
      <c r="D62" s="62"/>
      <c r="E62" s="62"/>
      <c r="F62" s="62"/>
      <c r="G62" s="62"/>
      <c r="H62" s="62" t="s">
        <v>11</v>
      </c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36">
        <f t="shared" si="10"/>
        <v>1</v>
      </c>
      <c r="AJ62" s="36">
        <f t="shared" si="11"/>
        <v>0</v>
      </c>
      <c r="AK62" s="36">
        <f t="shared" si="12"/>
        <v>0</v>
      </c>
      <c r="AL62" s="36">
        <f t="shared" si="13"/>
        <v>0</v>
      </c>
      <c r="AM62" s="38">
        <f t="shared" si="4"/>
        <v>1</v>
      </c>
      <c r="AN62" s="75" t="s">
        <v>388</v>
      </c>
      <c r="AO62" s="38">
        <v>26</v>
      </c>
      <c r="AP62" s="39">
        <f t="shared" si="5"/>
        <v>0.0384615384615385</v>
      </c>
    </row>
    <row r="63" ht="21" hidden="1" customHeight="1" spans="1:42">
      <c r="A63" s="59" t="s">
        <v>615</v>
      </c>
      <c r="B63" s="63" t="s">
        <v>165</v>
      </c>
      <c r="C63" s="76" t="s">
        <v>344</v>
      </c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36">
        <f t="shared" si="10"/>
        <v>0</v>
      </c>
      <c r="AJ63" s="36">
        <f t="shared" si="11"/>
        <v>0</v>
      </c>
      <c r="AK63" s="36">
        <f t="shared" si="12"/>
        <v>0</v>
      </c>
      <c r="AL63" s="36">
        <f t="shared" si="13"/>
        <v>0</v>
      </c>
      <c r="AM63" s="38">
        <f t="shared" si="4"/>
        <v>0</v>
      </c>
      <c r="AN63" s="81" t="s">
        <v>193</v>
      </c>
      <c r="AO63" s="38">
        <v>26</v>
      </c>
      <c r="AP63" s="39">
        <f t="shared" si="5"/>
        <v>0</v>
      </c>
    </row>
    <row r="64" ht="21" hidden="1" customHeight="1" spans="1:42">
      <c r="A64" s="59" t="s">
        <v>616</v>
      </c>
      <c r="B64" s="63" t="s">
        <v>564</v>
      </c>
      <c r="C64" s="76" t="s">
        <v>231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36">
        <f t="shared" si="10"/>
        <v>0</v>
      </c>
      <c r="AJ64" s="36">
        <f t="shared" si="11"/>
        <v>0</v>
      </c>
      <c r="AK64" s="36">
        <f t="shared" si="12"/>
        <v>0</v>
      </c>
      <c r="AL64" s="36">
        <f t="shared" si="13"/>
        <v>0</v>
      </c>
      <c r="AM64" s="38">
        <f t="shared" si="4"/>
        <v>0</v>
      </c>
      <c r="AN64" s="66" t="s">
        <v>193</v>
      </c>
      <c r="AO64" s="38">
        <v>26</v>
      </c>
      <c r="AP64" s="39">
        <f t="shared" si="5"/>
        <v>0</v>
      </c>
    </row>
    <row r="65" ht="21" hidden="1" customHeight="1" spans="1:42">
      <c r="A65" s="59" t="s">
        <v>617</v>
      </c>
      <c r="B65" s="63" t="s">
        <v>564</v>
      </c>
      <c r="C65" s="76" t="s">
        <v>231</v>
      </c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36">
        <f t="shared" si="10"/>
        <v>0</v>
      </c>
      <c r="AJ65" s="36">
        <f t="shared" si="11"/>
        <v>0</v>
      </c>
      <c r="AK65" s="36">
        <f t="shared" si="12"/>
        <v>0</v>
      </c>
      <c r="AL65" s="36">
        <f t="shared" si="13"/>
        <v>0</v>
      </c>
      <c r="AM65" s="38">
        <f t="shared" si="4"/>
        <v>0</v>
      </c>
      <c r="AN65" s="66" t="s">
        <v>433</v>
      </c>
      <c r="AO65" s="38">
        <v>26</v>
      </c>
      <c r="AP65" s="39">
        <f t="shared" si="5"/>
        <v>0</v>
      </c>
    </row>
    <row r="66" ht="21" hidden="1" customHeight="1" spans="1:42">
      <c r="A66" s="59" t="s">
        <v>618</v>
      </c>
      <c r="B66" s="63" t="s">
        <v>564</v>
      </c>
      <c r="C66" s="76" t="s">
        <v>231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36">
        <f t="shared" si="10"/>
        <v>0</v>
      </c>
      <c r="AJ66" s="36">
        <f t="shared" si="11"/>
        <v>0</v>
      </c>
      <c r="AK66" s="36">
        <f t="shared" si="12"/>
        <v>0</v>
      </c>
      <c r="AL66" s="36">
        <f t="shared" si="13"/>
        <v>0</v>
      </c>
      <c r="AM66" s="67">
        <f t="shared" si="4"/>
        <v>0</v>
      </c>
      <c r="AN66" s="67"/>
      <c r="AO66" s="38">
        <v>26</v>
      </c>
      <c r="AP66" s="39">
        <f t="shared" si="5"/>
        <v>0</v>
      </c>
    </row>
    <row r="67" ht="21" customHeight="1" spans="1:42">
      <c r="A67" s="59" t="s">
        <v>619</v>
      </c>
      <c r="B67" s="63" t="s">
        <v>564</v>
      </c>
      <c r="C67" s="76" t="s">
        <v>231</v>
      </c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 t="s">
        <v>11</v>
      </c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36">
        <f t="shared" si="10"/>
        <v>1</v>
      </c>
      <c r="AJ67" s="36">
        <f t="shared" si="11"/>
        <v>0</v>
      </c>
      <c r="AK67" s="36">
        <f t="shared" si="12"/>
        <v>0</v>
      </c>
      <c r="AL67" s="36">
        <f t="shared" si="13"/>
        <v>0</v>
      </c>
      <c r="AM67" s="66">
        <f t="shared" si="4"/>
        <v>1</v>
      </c>
      <c r="AN67" s="66" t="s">
        <v>753</v>
      </c>
      <c r="AO67" s="68">
        <v>26</v>
      </c>
      <c r="AP67" s="39">
        <f t="shared" si="5"/>
        <v>0.0384615384615385</v>
      </c>
    </row>
    <row r="68" ht="21" hidden="1" customHeight="1" spans="1:42">
      <c r="A68" s="59" t="s">
        <v>620</v>
      </c>
      <c r="B68" s="63" t="s">
        <v>564</v>
      </c>
      <c r="C68" s="76" t="s">
        <v>231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36">
        <f t="shared" si="10"/>
        <v>0</v>
      </c>
      <c r="AJ68" s="36">
        <f t="shared" si="11"/>
        <v>0</v>
      </c>
      <c r="AK68" s="36">
        <f t="shared" si="12"/>
        <v>0</v>
      </c>
      <c r="AL68" s="36">
        <f t="shared" si="13"/>
        <v>0</v>
      </c>
      <c r="AM68" s="36">
        <f t="shared" si="4"/>
        <v>0</v>
      </c>
      <c r="AN68" s="66" t="s">
        <v>382</v>
      </c>
      <c r="AO68" s="38">
        <v>26</v>
      </c>
      <c r="AP68" s="39">
        <f t="shared" si="5"/>
        <v>0</v>
      </c>
    </row>
    <row r="69" ht="21" hidden="1" customHeight="1" spans="1:42">
      <c r="A69" s="59" t="s">
        <v>621</v>
      </c>
      <c r="B69" s="63" t="s">
        <v>622</v>
      </c>
      <c r="C69" s="76" t="s">
        <v>217</v>
      </c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36">
        <f t="shared" si="10"/>
        <v>0</v>
      </c>
      <c r="AJ69" s="36">
        <f t="shared" si="11"/>
        <v>0</v>
      </c>
      <c r="AK69" s="36">
        <f t="shared" si="12"/>
        <v>0</v>
      </c>
      <c r="AL69" s="36">
        <f t="shared" si="13"/>
        <v>0</v>
      </c>
      <c r="AM69" s="38">
        <f t="shared" si="4"/>
        <v>0</v>
      </c>
      <c r="AN69" s="66" t="s">
        <v>389</v>
      </c>
      <c r="AO69" s="38">
        <v>26</v>
      </c>
      <c r="AP69" s="39">
        <f t="shared" si="5"/>
        <v>0</v>
      </c>
    </row>
    <row r="70" ht="21" hidden="1" customHeight="1" spans="1:42">
      <c r="A70" s="59" t="s">
        <v>623</v>
      </c>
      <c r="B70" s="63" t="s">
        <v>622</v>
      </c>
      <c r="C70" s="65" t="s">
        <v>624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36">
        <f t="shared" si="10"/>
        <v>0</v>
      </c>
      <c r="AJ70" s="36">
        <f t="shared" si="11"/>
        <v>0</v>
      </c>
      <c r="AK70" s="36">
        <f t="shared" si="12"/>
        <v>0</v>
      </c>
      <c r="AL70" s="36">
        <f t="shared" si="13"/>
        <v>0</v>
      </c>
      <c r="AM70" s="38">
        <f t="shared" si="4"/>
        <v>0</v>
      </c>
      <c r="AN70" s="38" t="s">
        <v>390</v>
      </c>
      <c r="AO70" s="38">
        <v>26</v>
      </c>
      <c r="AP70" s="39">
        <f t="shared" si="5"/>
        <v>0</v>
      </c>
    </row>
    <row r="71" ht="21" hidden="1" customHeight="1" spans="1:42">
      <c r="A71" s="59" t="s">
        <v>625</v>
      </c>
      <c r="B71" s="63" t="s">
        <v>622</v>
      </c>
      <c r="C71" s="76" t="s">
        <v>271</v>
      </c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36">
        <f t="shared" si="10"/>
        <v>0</v>
      </c>
      <c r="AJ71" s="36">
        <f t="shared" si="11"/>
        <v>0</v>
      </c>
      <c r="AK71" s="36">
        <f t="shared" si="12"/>
        <v>0</v>
      </c>
      <c r="AL71" s="36">
        <f t="shared" si="13"/>
        <v>0</v>
      </c>
      <c r="AM71" s="38">
        <f t="shared" ref="AM71:AM134" si="14">SUM(AH71:AK71)</f>
        <v>0</v>
      </c>
      <c r="AN71" s="38" t="s">
        <v>228</v>
      </c>
      <c r="AO71" s="38">
        <v>26</v>
      </c>
      <c r="AP71" s="39">
        <f t="shared" ref="AP71:AP85" si="15">AM71/AO71</f>
        <v>0</v>
      </c>
    </row>
    <row r="72" ht="21" hidden="1" customHeight="1" spans="1:42">
      <c r="A72" s="59" t="s">
        <v>626</v>
      </c>
      <c r="B72" s="63" t="s">
        <v>16</v>
      </c>
      <c r="C72" s="76" t="s">
        <v>196</v>
      </c>
      <c r="D72" s="62"/>
      <c r="E72" s="62"/>
      <c r="F72" s="62"/>
      <c r="G72" s="62"/>
      <c r="H72" s="62"/>
      <c r="I72" s="62"/>
      <c r="J72" s="62"/>
      <c r="K72" s="62"/>
      <c r="L72" s="62" t="s">
        <v>11</v>
      </c>
      <c r="M72" s="62"/>
      <c r="N72" s="62"/>
      <c r="O72" s="62" t="s">
        <v>13</v>
      </c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36">
        <f t="shared" si="10"/>
        <v>1</v>
      </c>
      <c r="AJ72" s="36">
        <f t="shared" si="11"/>
        <v>0</v>
      </c>
      <c r="AK72" s="36">
        <f t="shared" si="12"/>
        <v>1</v>
      </c>
      <c r="AL72" s="36">
        <f t="shared" si="13"/>
        <v>0</v>
      </c>
      <c r="AM72" s="38">
        <f>SUM(AH72:AL72)</f>
        <v>2</v>
      </c>
      <c r="AN72" s="82" t="s">
        <v>382</v>
      </c>
      <c r="AO72" s="38">
        <v>26</v>
      </c>
      <c r="AP72" s="39">
        <f t="shared" si="15"/>
        <v>0.0769230769230769</v>
      </c>
    </row>
    <row r="73" ht="21" hidden="1" customHeight="1" spans="1:42">
      <c r="A73" s="59" t="s">
        <v>627</v>
      </c>
      <c r="B73" s="63" t="s">
        <v>622</v>
      </c>
      <c r="C73" s="76" t="s">
        <v>271</v>
      </c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36">
        <f t="shared" si="10"/>
        <v>0</v>
      </c>
      <c r="AJ73" s="36">
        <f t="shared" si="11"/>
        <v>0</v>
      </c>
      <c r="AK73" s="36">
        <f t="shared" si="12"/>
        <v>0</v>
      </c>
      <c r="AL73" s="36">
        <f t="shared" si="13"/>
        <v>0</v>
      </c>
      <c r="AM73" s="38">
        <f t="shared" si="14"/>
        <v>0</v>
      </c>
      <c r="AN73" s="38" t="s">
        <v>171</v>
      </c>
      <c r="AO73" s="38">
        <v>26</v>
      </c>
      <c r="AP73" s="39">
        <f t="shared" si="15"/>
        <v>0</v>
      </c>
    </row>
    <row r="74" ht="21" hidden="1" customHeight="1" spans="1:42">
      <c r="A74" s="59" t="s">
        <v>628</v>
      </c>
      <c r="B74" s="63" t="s">
        <v>622</v>
      </c>
      <c r="C74" s="76" t="s">
        <v>624</v>
      </c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36">
        <f t="shared" si="10"/>
        <v>0</v>
      </c>
      <c r="AJ74" s="36">
        <f t="shared" si="11"/>
        <v>0</v>
      </c>
      <c r="AK74" s="36">
        <f t="shared" si="12"/>
        <v>0</v>
      </c>
      <c r="AL74" s="36">
        <f t="shared" si="13"/>
        <v>0</v>
      </c>
      <c r="AM74" s="38">
        <f t="shared" si="14"/>
        <v>0</v>
      </c>
      <c r="AN74" s="38" t="s">
        <v>228</v>
      </c>
      <c r="AO74" s="38">
        <v>26</v>
      </c>
      <c r="AP74" s="39">
        <f t="shared" si="15"/>
        <v>0</v>
      </c>
    </row>
    <row r="75" ht="21" hidden="1" customHeight="1" spans="1:42">
      <c r="A75" s="59" t="s">
        <v>629</v>
      </c>
      <c r="B75" s="63" t="s">
        <v>59</v>
      </c>
      <c r="C75" s="76" t="s">
        <v>236</v>
      </c>
      <c r="D75" s="62" t="s">
        <v>11</v>
      </c>
      <c r="E75" s="62"/>
      <c r="F75" s="62" t="s">
        <v>12</v>
      </c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36">
        <f t="shared" si="10"/>
        <v>1</v>
      </c>
      <c r="AJ75" s="36">
        <f t="shared" si="11"/>
        <v>1</v>
      </c>
      <c r="AK75" s="36">
        <f t="shared" si="12"/>
        <v>0</v>
      </c>
      <c r="AL75" s="36">
        <f t="shared" si="13"/>
        <v>0</v>
      </c>
      <c r="AM75" s="38">
        <f>SUM(AH75:AL75)</f>
        <v>2</v>
      </c>
      <c r="AN75" s="71" t="s">
        <v>755</v>
      </c>
      <c r="AO75" s="38">
        <v>26</v>
      </c>
      <c r="AP75" s="39">
        <f t="shared" si="15"/>
        <v>0.0769230769230769</v>
      </c>
    </row>
    <row r="76" ht="21" hidden="1" customHeight="1" spans="1:42">
      <c r="A76" s="59" t="s">
        <v>630</v>
      </c>
      <c r="B76" s="63" t="s">
        <v>16</v>
      </c>
      <c r="C76" s="76" t="s">
        <v>236</v>
      </c>
      <c r="D76" s="62"/>
      <c r="E76" s="62"/>
      <c r="F76" s="62"/>
      <c r="G76" s="62"/>
      <c r="H76" s="62"/>
      <c r="I76" s="62" t="s">
        <v>557</v>
      </c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36">
        <f t="shared" si="10"/>
        <v>0</v>
      </c>
      <c r="AJ76" s="36">
        <f t="shared" si="11"/>
        <v>0</v>
      </c>
      <c r="AK76" s="36">
        <f t="shared" si="12"/>
        <v>0</v>
      </c>
      <c r="AL76" s="36">
        <f t="shared" si="13"/>
        <v>1</v>
      </c>
      <c r="AM76" s="67">
        <f t="shared" si="14"/>
        <v>0</v>
      </c>
      <c r="AN76" s="67" t="s">
        <v>475</v>
      </c>
      <c r="AO76" s="38">
        <v>26</v>
      </c>
      <c r="AP76" s="39">
        <f t="shared" si="15"/>
        <v>0</v>
      </c>
    </row>
    <row r="77" ht="21" hidden="1" customHeight="1" spans="1:42">
      <c r="A77" s="59" t="s">
        <v>631</v>
      </c>
      <c r="B77" s="63" t="s">
        <v>16</v>
      </c>
      <c r="C77" s="76" t="s">
        <v>236</v>
      </c>
      <c r="D77" s="62" t="s">
        <v>11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 t="s">
        <v>11</v>
      </c>
      <c r="S77" s="62" t="s">
        <v>11</v>
      </c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36">
        <f t="shared" si="10"/>
        <v>3</v>
      </c>
      <c r="AJ77" s="36">
        <f t="shared" si="11"/>
        <v>0</v>
      </c>
      <c r="AK77" s="36">
        <f t="shared" si="12"/>
        <v>0</v>
      </c>
      <c r="AL77" s="36">
        <f t="shared" si="13"/>
        <v>0</v>
      </c>
      <c r="AM77" s="66">
        <f t="shared" si="14"/>
        <v>3</v>
      </c>
      <c r="AN77" s="66" t="s">
        <v>391</v>
      </c>
      <c r="AO77" s="68">
        <v>26</v>
      </c>
      <c r="AP77" s="39">
        <f t="shared" si="15"/>
        <v>0.115384615384615</v>
      </c>
    </row>
    <row r="78" ht="21" hidden="1" customHeight="1" spans="1:42">
      <c r="A78" s="59" t="s">
        <v>632</v>
      </c>
      <c r="B78" s="63" t="s">
        <v>16</v>
      </c>
      <c r="C78" s="76" t="s">
        <v>236</v>
      </c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36">
        <f t="shared" si="10"/>
        <v>0</v>
      </c>
      <c r="AJ78" s="36">
        <f t="shared" si="11"/>
        <v>0</v>
      </c>
      <c r="AK78" s="36">
        <f t="shared" si="12"/>
        <v>0</v>
      </c>
      <c r="AL78" s="36">
        <f t="shared" si="13"/>
        <v>0</v>
      </c>
      <c r="AM78" s="36">
        <f t="shared" si="14"/>
        <v>0</v>
      </c>
      <c r="AN78" s="66" t="s">
        <v>382</v>
      </c>
      <c r="AO78" s="38">
        <v>26</v>
      </c>
      <c r="AP78" s="39">
        <f t="shared" si="15"/>
        <v>0</v>
      </c>
    </row>
    <row r="79" ht="21" hidden="1" customHeight="1" spans="1:42">
      <c r="A79" s="59" t="s">
        <v>633</v>
      </c>
      <c r="B79" s="63" t="s">
        <v>165</v>
      </c>
      <c r="C79" s="76" t="s">
        <v>242</v>
      </c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36">
        <f t="shared" si="10"/>
        <v>0</v>
      </c>
      <c r="AJ79" s="36">
        <f t="shared" si="11"/>
        <v>0</v>
      </c>
      <c r="AK79" s="36">
        <f t="shared" si="12"/>
        <v>0</v>
      </c>
      <c r="AL79" s="36">
        <f t="shared" si="13"/>
        <v>0</v>
      </c>
      <c r="AM79" s="38">
        <f t="shared" si="14"/>
        <v>0</v>
      </c>
      <c r="AN79" s="38" t="s">
        <v>278</v>
      </c>
      <c r="AO79" s="38">
        <v>26</v>
      </c>
      <c r="AP79" s="39">
        <f t="shared" si="15"/>
        <v>0</v>
      </c>
    </row>
    <row r="80" ht="21" hidden="1" customHeight="1" spans="1:42">
      <c r="A80" s="59" t="s">
        <v>634</v>
      </c>
      <c r="B80" s="63" t="s">
        <v>165</v>
      </c>
      <c r="C80" s="76" t="s">
        <v>242</v>
      </c>
      <c r="D80" s="62"/>
      <c r="E80" s="62"/>
      <c r="F80" s="62"/>
      <c r="G80" s="62"/>
      <c r="H80" s="62"/>
      <c r="I80" s="62"/>
      <c r="J80" s="62"/>
      <c r="K80" s="62" t="s">
        <v>11</v>
      </c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36">
        <f t="shared" si="10"/>
        <v>1</v>
      </c>
      <c r="AJ80" s="36">
        <f t="shared" si="11"/>
        <v>0</v>
      </c>
      <c r="AK80" s="36">
        <f t="shared" si="12"/>
        <v>0</v>
      </c>
      <c r="AL80" s="36">
        <f t="shared" si="13"/>
        <v>0</v>
      </c>
      <c r="AM80" s="38">
        <f t="shared" si="14"/>
        <v>1</v>
      </c>
      <c r="AN80" s="79" t="s">
        <v>749</v>
      </c>
      <c r="AO80" s="38">
        <v>26</v>
      </c>
      <c r="AP80" s="39">
        <f t="shared" si="15"/>
        <v>0.0384615384615385</v>
      </c>
    </row>
    <row r="81" ht="21" hidden="1" customHeight="1" spans="1:42">
      <c r="A81" s="59" t="s">
        <v>635</v>
      </c>
      <c r="B81" s="63" t="s">
        <v>16</v>
      </c>
      <c r="C81" s="76" t="s">
        <v>242</v>
      </c>
      <c r="D81" s="62" t="s">
        <v>11</v>
      </c>
      <c r="E81" s="62"/>
      <c r="F81" s="62"/>
      <c r="G81" s="62"/>
      <c r="H81" s="62"/>
      <c r="I81" s="62"/>
      <c r="J81" s="62"/>
      <c r="K81" s="62" t="s">
        <v>11</v>
      </c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36">
        <f t="shared" ref="AI81:AI125" si="16">COUNTIF(B81:AF81,"S")</f>
        <v>2</v>
      </c>
      <c r="AJ81" s="36">
        <f t="shared" ref="AJ81:AJ125" si="17">COUNTIF(B81:AF81,"I")</f>
        <v>0</v>
      </c>
      <c r="AK81" s="36">
        <f t="shared" ref="AK81:AK125" si="18">COUNTIF(B81:AF81,"A")</f>
        <v>0</v>
      </c>
      <c r="AL81" s="36">
        <f t="shared" ref="AL81:AL125" si="19">COUNTIF(B81:AF81,"PA")</f>
        <v>0</v>
      </c>
      <c r="AM81" s="38">
        <f t="shared" si="14"/>
        <v>2</v>
      </c>
      <c r="AN81" s="79" t="s">
        <v>749</v>
      </c>
      <c r="AO81" s="38">
        <v>26</v>
      </c>
      <c r="AP81" s="39">
        <f t="shared" si="15"/>
        <v>0.0769230769230769</v>
      </c>
    </row>
    <row r="82" ht="21" hidden="1" customHeight="1" spans="1:42">
      <c r="A82" s="59" t="s">
        <v>636</v>
      </c>
      <c r="B82" s="63" t="s">
        <v>16</v>
      </c>
      <c r="C82" s="76" t="s">
        <v>242</v>
      </c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 t="s">
        <v>11</v>
      </c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36">
        <f t="shared" si="16"/>
        <v>1</v>
      </c>
      <c r="AJ82" s="36">
        <f t="shared" si="17"/>
        <v>0</v>
      </c>
      <c r="AK82" s="36">
        <f t="shared" si="18"/>
        <v>0</v>
      </c>
      <c r="AL82" s="36">
        <f t="shared" si="19"/>
        <v>0</v>
      </c>
      <c r="AM82" s="38">
        <f t="shared" si="14"/>
        <v>1</v>
      </c>
      <c r="AN82" s="38" t="s">
        <v>749</v>
      </c>
      <c r="AO82" s="38">
        <v>26</v>
      </c>
      <c r="AP82" s="39">
        <f t="shared" si="15"/>
        <v>0.0384615384615385</v>
      </c>
    </row>
    <row r="83" ht="21" hidden="1" customHeight="1" spans="1:42">
      <c r="A83" s="59" t="s">
        <v>637</v>
      </c>
      <c r="B83" s="63" t="s">
        <v>16</v>
      </c>
      <c r="C83" s="76" t="s">
        <v>242</v>
      </c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 t="s">
        <v>11</v>
      </c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36">
        <f t="shared" si="16"/>
        <v>1</v>
      </c>
      <c r="AJ83" s="36">
        <f t="shared" si="17"/>
        <v>0</v>
      </c>
      <c r="AK83" s="36">
        <f t="shared" si="18"/>
        <v>0</v>
      </c>
      <c r="AL83" s="36">
        <f t="shared" si="19"/>
        <v>0</v>
      </c>
      <c r="AM83" s="38">
        <f t="shared" si="14"/>
        <v>1</v>
      </c>
      <c r="AN83" s="38"/>
      <c r="AO83" s="38">
        <v>26</v>
      </c>
      <c r="AP83" s="39">
        <f t="shared" si="15"/>
        <v>0.0384615384615385</v>
      </c>
    </row>
    <row r="84" ht="21" hidden="1" customHeight="1" spans="1:42">
      <c r="A84" s="59" t="s">
        <v>638</v>
      </c>
      <c r="B84" s="63" t="s">
        <v>16</v>
      </c>
      <c r="C84" s="76" t="s">
        <v>242</v>
      </c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 t="s">
        <v>12</v>
      </c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36">
        <f t="shared" si="16"/>
        <v>0</v>
      </c>
      <c r="AJ84" s="36">
        <f t="shared" si="17"/>
        <v>1</v>
      </c>
      <c r="AK84" s="36">
        <f t="shared" si="18"/>
        <v>0</v>
      </c>
      <c r="AL84" s="36">
        <f t="shared" si="19"/>
        <v>0</v>
      </c>
      <c r="AM84" s="38">
        <f t="shared" si="14"/>
        <v>1</v>
      </c>
      <c r="AN84" s="38" t="s">
        <v>194</v>
      </c>
      <c r="AO84" s="38">
        <v>26</v>
      </c>
      <c r="AP84" s="39">
        <f t="shared" si="15"/>
        <v>0.0384615384615385</v>
      </c>
    </row>
    <row r="85" ht="21" hidden="1" customHeight="1" spans="1:42">
      <c r="A85" s="59" t="s">
        <v>639</v>
      </c>
      <c r="B85" s="63" t="s">
        <v>16</v>
      </c>
      <c r="C85" s="76" t="s">
        <v>242</v>
      </c>
      <c r="D85" s="62" t="s">
        <v>11</v>
      </c>
      <c r="E85" s="62" t="s">
        <v>11</v>
      </c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36">
        <f t="shared" si="16"/>
        <v>2</v>
      </c>
      <c r="AJ85" s="36">
        <f t="shared" si="17"/>
        <v>0</v>
      </c>
      <c r="AK85" s="36">
        <f t="shared" si="18"/>
        <v>0</v>
      </c>
      <c r="AL85" s="36">
        <f t="shared" si="19"/>
        <v>0</v>
      </c>
      <c r="AM85" s="38">
        <f t="shared" si="14"/>
        <v>2</v>
      </c>
      <c r="AN85" s="81" t="s">
        <v>120</v>
      </c>
      <c r="AO85" s="38">
        <v>26</v>
      </c>
      <c r="AP85" s="39">
        <f t="shared" si="15"/>
        <v>0.0769230769230769</v>
      </c>
    </row>
    <row r="86" ht="21" hidden="1" customHeight="1" spans="1:42">
      <c r="A86" s="59" t="s">
        <v>640</v>
      </c>
      <c r="B86" s="63" t="s">
        <v>16</v>
      </c>
      <c r="C86" s="59" t="s">
        <v>242</v>
      </c>
      <c r="D86" s="62"/>
      <c r="E86" s="62"/>
      <c r="F86" s="62"/>
      <c r="G86" s="62" t="s">
        <v>11</v>
      </c>
      <c r="H86" s="62" t="s">
        <v>11</v>
      </c>
      <c r="I86" s="62" t="s">
        <v>11</v>
      </c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36">
        <f t="shared" si="16"/>
        <v>3</v>
      </c>
      <c r="AJ86" s="36">
        <f t="shared" si="17"/>
        <v>0</v>
      </c>
      <c r="AK86" s="36">
        <f t="shared" si="18"/>
        <v>0</v>
      </c>
      <c r="AL86" s="36">
        <f t="shared" si="19"/>
        <v>0</v>
      </c>
      <c r="AM86" s="67">
        <f t="shared" si="14"/>
        <v>3</v>
      </c>
      <c r="AN86" s="66" t="s">
        <v>752</v>
      </c>
      <c r="AO86" s="38"/>
      <c r="AP86" s="39"/>
    </row>
    <row r="87" ht="21" hidden="1" customHeight="1" spans="1:42">
      <c r="A87" s="59" t="s">
        <v>641</v>
      </c>
      <c r="B87" s="63" t="s">
        <v>16</v>
      </c>
      <c r="C87" s="59" t="s">
        <v>242</v>
      </c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36">
        <f t="shared" si="16"/>
        <v>0</v>
      </c>
      <c r="AJ87" s="36">
        <f t="shared" si="17"/>
        <v>0</v>
      </c>
      <c r="AK87" s="36">
        <f t="shared" si="18"/>
        <v>0</v>
      </c>
      <c r="AL87" s="36">
        <f t="shared" si="19"/>
        <v>0</v>
      </c>
      <c r="AM87" s="66">
        <f t="shared" si="14"/>
        <v>0</v>
      </c>
      <c r="AN87" s="66" t="s">
        <v>336</v>
      </c>
      <c r="AO87" s="68"/>
      <c r="AP87" s="39"/>
    </row>
    <row r="88" ht="21" hidden="1" customHeight="1" spans="1:42">
      <c r="A88" s="59" t="s">
        <v>642</v>
      </c>
      <c r="B88" s="63" t="s">
        <v>59</v>
      </c>
      <c r="C88" s="59" t="s">
        <v>242</v>
      </c>
      <c r="D88" s="62"/>
      <c r="E88" s="62"/>
      <c r="F88" s="62"/>
      <c r="G88" s="62"/>
      <c r="H88" s="62"/>
      <c r="I88" s="62"/>
      <c r="J88" s="62"/>
      <c r="K88" s="62"/>
      <c r="L88" s="62"/>
      <c r="M88" s="62" t="s">
        <v>11</v>
      </c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36">
        <f t="shared" si="16"/>
        <v>1</v>
      </c>
      <c r="AJ88" s="36">
        <f t="shared" si="17"/>
        <v>0</v>
      </c>
      <c r="AK88" s="36">
        <f t="shared" si="18"/>
        <v>0</v>
      </c>
      <c r="AL88" s="36">
        <f t="shared" si="19"/>
        <v>0</v>
      </c>
      <c r="AM88" s="36">
        <f t="shared" si="14"/>
        <v>1</v>
      </c>
      <c r="AN88" s="66" t="s">
        <v>382</v>
      </c>
      <c r="AO88" s="38"/>
      <c r="AP88" s="39"/>
    </row>
    <row r="89" ht="21" hidden="1" customHeight="1" spans="1:42">
      <c r="A89" s="59" t="s">
        <v>643</v>
      </c>
      <c r="B89" s="63" t="s">
        <v>165</v>
      </c>
      <c r="C89" s="59" t="s">
        <v>242</v>
      </c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36">
        <f t="shared" si="16"/>
        <v>0</v>
      </c>
      <c r="AJ89" s="36">
        <f t="shared" si="17"/>
        <v>0</v>
      </c>
      <c r="AK89" s="36">
        <f t="shared" si="18"/>
        <v>0</v>
      </c>
      <c r="AL89" s="36">
        <f t="shared" si="19"/>
        <v>0</v>
      </c>
      <c r="AM89" s="38">
        <f t="shared" si="14"/>
        <v>0</v>
      </c>
      <c r="AN89" s="70" t="s">
        <v>428</v>
      </c>
      <c r="AO89" s="38">
        <v>26</v>
      </c>
      <c r="AP89" s="39">
        <f t="shared" ref="AP89:AP95" si="20">AM89/AO89</f>
        <v>0</v>
      </c>
    </row>
    <row r="90" ht="21" hidden="1" customHeight="1" spans="1:42">
      <c r="A90" s="59" t="s">
        <v>644</v>
      </c>
      <c r="B90" s="63" t="s">
        <v>165</v>
      </c>
      <c r="C90" s="59" t="s">
        <v>153</v>
      </c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36">
        <f t="shared" si="16"/>
        <v>0</v>
      </c>
      <c r="AJ90" s="36">
        <f t="shared" si="17"/>
        <v>0</v>
      </c>
      <c r="AK90" s="36">
        <f t="shared" si="18"/>
        <v>0</v>
      </c>
      <c r="AL90" s="36">
        <f t="shared" si="19"/>
        <v>0</v>
      </c>
      <c r="AM90" s="38">
        <f t="shared" si="14"/>
        <v>0</v>
      </c>
      <c r="AN90" s="66" t="s">
        <v>193</v>
      </c>
      <c r="AO90" s="38">
        <v>26</v>
      </c>
      <c r="AP90" s="39">
        <f t="shared" si="20"/>
        <v>0</v>
      </c>
    </row>
    <row r="91" ht="21" hidden="1" customHeight="1" spans="1:42">
      <c r="A91" s="59" t="s">
        <v>645</v>
      </c>
      <c r="B91" s="63" t="s">
        <v>16</v>
      </c>
      <c r="C91" s="59" t="s">
        <v>153</v>
      </c>
      <c r="D91" s="62"/>
      <c r="E91" s="62"/>
      <c r="F91" s="62"/>
      <c r="G91" s="62" t="s">
        <v>13</v>
      </c>
      <c r="H91" s="62"/>
      <c r="I91" s="62"/>
      <c r="J91" s="62" t="s">
        <v>11</v>
      </c>
      <c r="K91" s="62"/>
      <c r="L91" s="62"/>
      <c r="M91" s="62"/>
      <c r="N91" s="62"/>
      <c r="O91" s="62"/>
      <c r="P91" s="62"/>
      <c r="Q91" s="62"/>
      <c r="R91" s="62" t="s">
        <v>13</v>
      </c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36">
        <f t="shared" si="16"/>
        <v>1</v>
      </c>
      <c r="AJ91" s="36">
        <f t="shared" si="17"/>
        <v>0</v>
      </c>
      <c r="AK91" s="36">
        <f t="shared" si="18"/>
        <v>2</v>
      </c>
      <c r="AL91" s="36">
        <f t="shared" si="19"/>
        <v>0</v>
      </c>
      <c r="AM91" s="38">
        <f t="shared" si="14"/>
        <v>3</v>
      </c>
      <c r="AN91" s="38" t="s">
        <v>756</v>
      </c>
      <c r="AO91" s="38">
        <v>26</v>
      </c>
      <c r="AP91" s="39">
        <f t="shared" si="20"/>
        <v>0.115384615384615</v>
      </c>
    </row>
    <row r="92" ht="21" hidden="1" customHeight="1" spans="1:42">
      <c r="A92" s="59" t="s">
        <v>646</v>
      </c>
      <c r="B92" s="63" t="s">
        <v>16</v>
      </c>
      <c r="C92" s="59" t="s">
        <v>153</v>
      </c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36">
        <f t="shared" si="16"/>
        <v>0</v>
      </c>
      <c r="AJ92" s="36">
        <f t="shared" si="17"/>
        <v>0</v>
      </c>
      <c r="AK92" s="36">
        <f t="shared" si="18"/>
        <v>0</v>
      </c>
      <c r="AL92" s="36">
        <f t="shared" si="19"/>
        <v>0</v>
      </c>
      <c r="AM92" s="83">
        <f t="shared" si="14"/>
        <v>0</v>
      </c>
      <c r="AN92" s="38" t="s">
        <v>228</v>
      </c>
      <c r="AO92" s="38">
        <v>26</v>
      </c>
      <c r="AP92" s="39">
        <f t="shared" si="20"/>
        <v>0</v>
      </c>
    </row>
    <row r="93" ht="21" hidden="1" customHeight="1" spans="1:42">
      <c r="A93" s="59" t="s">
        <v>647</v>
      </c>
      <c r="B93" s="63" t="s">
        <v>165</v>
      </c>
      <c r="C93" s="59" t="s">
        <v>267</v>
      </c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36">
        <f t="shared" si="16"/>
        <v>0</v>
      </c>
      <c r="AJ93" s="36">
        <f t="shared" si="17"/>
        <v>0</v>
      </c>
      <c r="AK93" s="36">
        <f t="shared" si="18"/>
        <v>0</v>
      </c>
      <c r="AL93" s="36">
        <f t="shared" si="19"/>
        <v>0</v>
      </c>
      <c r="AM93" s="83">
        <f t="shared" si="14"/>
        <v>0</v>
      </c>
      <c r="AN93" s="81" t="s">
        <v>125</v>
      </c>
      <c r="AO93" s="38">
        <v>26</v>
      </c>
      <c r="AP93" s="39">
        <f t="shared" si="20"/>
        <v>0</v>
      </c>
    </row>
    <row r="94" ht="21" hidden="1" customHeight="1" spans="1:42">
      <c r="A94" s="59" t="s">
        <v>648</v>
      </c>
      <c r="B94" s="63" t="s">
        <v>165</v>
      </c>
      <c r="C94" s="59" t="s">
        <v>267</v>
      </c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36">
        <f t="shared" si="16"/>
        <v>0</v>
      </c>
      <c r="AJ94" s="36">
        <f t="shared" si="17"/>
        <v>0</v>
      </c>
      <c r="AK94" s="36">
        <f t="shared" si="18"/>
        <v>0</v>
      </c>
      <c r="AL94" s="36">
        <f t="shared" si="19"/>
        <v>0</v>
      </c>
      <c r="AM94" s="38">
        <f t="shared" si="14"/>
        <v>0</v>
      </c>
      <c r="AN94" s="81">
        <v>45946</v>
      </c>
      <c r="AO94" s="38">
        <v>26</v>
      </c>
      <c r="AP94" s="39">
        <f t="shared" si="20"/>
        <v>0</v>
      </c>
    </row>
    <row r="95" ht="21" hidden="1" customHeight="1" spans="1:42">
      <c r="A95" s="59" t="s">
        <v>649</v>
      </c>
      <c r="B95" s="63" t="s">
        <v>165</v>
      </c>
      <c r="C95" s="59" t="s">
        <v>267</v>
      </c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36">
        <f t="shared" si="16"/>
        <v>0</v>
      </c>
      <c r="AJ95" s="36">
        <f t="shared" si="17"/>
        <v>0</v>
      </c>
      <c r="AK95" s="36">
        <f t="shared" si="18"/>
        <v>0</v>
      </c>
      <c r="AL95" s="36">
        <f t="shared" si="19"/>
        <v>0</v>
      </c>
      <c r="AM95" s="83">
        <f t="shared" si="14"/>
        <v>0</v>
      </c>
      <c r="AN95" s="66" t="s">
        <v>193</v>
      </c>
      <c r="AO95" s="38">
        <v>26</v>
      </c>
      <c r="AP95" s="39">
        <f t="shared" si="20"/>
        <v>0</v>
      </c>
    </row>
    <row r="96" ht="21" hidden="1" customHeight="1" spans="1:42">
      <c r="A96" s="59" t="s">
        <v>650</v>
      </c>
      <c r="B96" s="63" t="s">
        <v>165</v>
      </c>
      <c r="C96" s="59" t="s">
        <v>219</v>
      </c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36">
        <f t="shared" si="16"/>
        <v>0</v>
      </c>
      <c r="AJ96" s="36">
        <f t="shared" si="17"/>
        <v>0</v>
      </c>
      <c r="AK96" s="36">
        <f t="shared" si="18"/>
        <v>0</v>
      </c>
      <c r="AL96" s="36">
        <f t="shared" si="19"/>
        <v>0</v>
      </c>
      <c r="AM96" s="38">
        <f t="shared" si="14"/>
        <v>0</v>
      </c>
      <c r="AN96" s="38" t="s">
        <v>228</v>
      </c>
      <c r="AO96" s="38"/>
      <c r="AP96" s="39"/>
    </row>
    <row r="97" ht="21" hidden="1" customHeight="1" spans="1:42">
      <c r="A97" s="59" t="s">
        <v>652</v>
      </c>
      <c r="B97" s="63" t="s">
        <v>16</v>
      </c>
      <c r="C97" s="59" t="s">
        <v>219</v>
      </c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36">
        <f t="shared" si="16"/>
        <v>0</v>
      </c>
      <c r="AJ97" s="36">
        <f t="shared" si="17"/>
        <v>0</v>
      </c>
      <c r="AK97" s="36">
        <f t="shared" si="18"/>
        <v>0</v>
      </c>
      <c r="AL97" s="36">
        <f t="shared" si="19"/>
        <v>0</v>
      </c>
      <c r="AM97" s="38">
        <f t="shared" si="14"/>
        <v>0</v>
      </c>
      <c r="AN97" s="38"/>
      <c r="AO97" s="38"/>
      <c r="AP97" s="39"/>
    </row>
    <row r="98" ht="21" hidden="1" customHeight="1" spans="1:42">
      <c r="A98" s="59" t="s">
        <v>653</v>
      </c>
      <c r="B98" s="63" t="s">
        <v>16</v>
      </c>
      <c r="C98" s="59" t="s">
        <v>219</v>
      </c>
      <c r="D98" s="62"/>
      <c r="E98" s="62" t="s">
        <v>557</v>
      </c>
      <c r="F98" s="62"/>
      <c r="G98" s="62"/>
      <c r="H98" s="62"/>
      <c r="I98" s="62" t="s">
        <v>11</v>
      </c>
      <c r="J98" s="62"/>
      <c r="K98" s="62" t="s">
        <v>11</v>
      </c>
      <c r="L98" s="62" t="s">
        <v>11</v>
      </c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36">
        <f t="shared" si="16"/>
        <v>3</v>
      </c>
      <c r="AJ98" s="36">
        <f t="shared" si="17"/>
        <v>0</v>
      </c>
      <c r="AK98" s="36">
        <f t="shared" si="18"/>
        <v>0</v>
      </c>
      <c r="AL98" s="36">
        <f t="shared" si="19"/>
        <v>1</v>
      </c>
      <c r="AM98" s="38">
        <f>SUM(AH98:AL98)</f>
        <v>4</v>
      </c>
      <c r="AN98" s="71" t="s">
        <v>757</v>
      </c>
      <c r="AO98" s="38">
        <v>26</v>
      </c>
      <c r="AP98" s="39">
        <f t="shared" ref="AP98:AP103" si="21">AM98/AO98</f>
        <v>0.153846153846154</v>
      </c>
    </row>
    <row r="99" ht="21" hidden="1" customHeight="1" spans="1:42">
      <c r="A99" s="59" t="s">
        <v>655</v>
      </c>
      <c r="B99" s="63" t="s">
        <v>16</v>
      </c>
      <c r="C99" s="59" t="s">
        <v>215</v>
      </c>
      <c r="D99" s="62"/>
      <c r="E99" s="62"/>
      <c r="F99" s="62" t="s">
        <v>11</v>
      </c>
      <c r="G99" s="62" t="s">
        <v>11</v>
      </c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36">
        <f t="shared" si="16"/>
        <v>2</v>
      </c>
      <c r="AJ99" s="36">
        <f t="shared" si="17"/>
        <v>0</v>
      </c>
      <c r="AK99" s="36">
        <f t="shared" si="18"/>
        <v>0</v>
      </c>
      <c r="AL99" s="36">
        <f t="shared" si="19"/>
        <v>0</v>
      </c>
      <c r="AM99" s="38">
        <f>SUM(AH99:AL99)</f>
        <v>2</v>
      </c>
      <c r="AN99" s="71" t="s">
        <v>753</v>
      </c>
      <c r="AO99" s="38">
        <v>26</v>
      </c>
      <c r="AP99" s="39">
        <f t="shared" si="21"/>
        <v>0.0769230769230769</v>
      </c>
    </row>
    <row r="100" ht="21" hidden="1" customHeight="1" spans="1:42">
      <c r="A100" s="59" t="s">
        <v>656</v>
      </c>
      <c r="B100" s="63" t="s">
        <v>16</v>
      </c>
      <c r="C100" s="59" t="s">
        <v>215</v>
      </c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36">
        <f t="shared" si="16"/>
        <v>0</v>
      </c>
      <c r="AJ100" s="36">
        <f t="shared" si="17"/>
        <v>0</v>
      </c>
      <c r="AK100" s="36">
        <f t="shared" si="18"/>
        <v>0</v>
      </c>
      <c r="AL100" s="36">
        <f t="shared" si="19"/>
        <v>0</v>
      </c>
      <c r="AM100" s="38">
        <f t="shared" si="14"/>
        <v>0</v>
      </c>
      <c r="AN100" s="66" t="s">
        <v>336</v>
      </c>
      <c r="AO100" s="38">
        <v>26</v>
      </c>
      <c r="AP100" s="39">
        <f t="shared" si="21"/>
        <v>0</v>
      </c>
    </row>
    <row r="101" ht="21" hidden="1" customHeight="1" spans="1:42">
      <c r="A101" s="59" t="s">
        <v>657</v>
      </c>
      <c r="B101" s="63" t="s">
        <v>16</v>
      </c>
      <c r="C101" s="59" t="s">
        <v>215</v>
      </c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36">
        <f t="shared" si="16"/>
        <v>0</v>
      </c>
      <c r="AJ101" s="36">
        <f t="shared" si="17"/>
        <v>0</v>
      </c>
      <c r="AK101" s="36">
        <f t="shared" si="18"/>
        <v>0</v>
      </c>
      <c r="AL101" s="36">
        <f t="shared" si="19"/>
        <v>0</v>
      </c>
      <c r="AM101" s="38">
        <f t="shared" si="14"/>
        <v>0</v>
      </c>
      <c r="AN101" s="66" t="s">
        <v>193</v>
      </c>
      <c r="AO101" s="38">
        <v>26</v>
      </c>
      <c r="AP101" s="39">
        <f t="shared" si="21"/>
        <v>0</v>
      </c>
    </row>
    <row r="102" ht="21" hidden="1" customHeight="1" spans="1:42">
      <c r="A102" s="59" t="s">
        <v>658</v>
      </c>
      <c r="B102" s="63" t="s">
        <v>16</v>
      </c>
      <c r="C102" s="59" t="s">
        <v>215</v>
      </c>
      <c r="D102" s="62"/>
      <c r="E102" s="62"/>
      <c r="F102" s="62"/>
      <c r="G102" s="62"/>
      <c r="H102" s="62" t="s">
        <v>12</v>
      </c>
      <c r="I102" s="62" t="s">
        <v>11</v>
      </c>
      <c r="J102" s="62" t="s">
        <v>11</v>
      </c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36">
        <f t="shared" si="16"/>
        <v>2</v>
      </c>
      <c r="AJ102" s="36">
        <f t="shared" si="17"/>
        <v>1</v>
      </c>
      <c r="AK102" s="36">
        <f t="shared" si="18"/>
        <v>0</v>
      </c>
      <c r="AL102" s="36">
        <f t="shared" si="19"/>
        <v>0</v>
      </c>
      <c r="AM102" s="38">
        <f t="shared" si="14"/>
        <v>3</v>
      </c>
      <c r="AN102" s="38"/>
      <c r="AO102" s="38">
        <v>26</v>
      </c>
      <c r="AP102" s="39">
        <f t="shared" si="21"/>
        <v>0.115384615384615</v>
      </c>
    </row>
    <row r="103" ht="21" hidden="1" customHeight="1" spans="1:42">
      <c r="A103" s="59" t="s">
        <v>659</v>
      </c>
      <c r="B103" s="63" t="s">
        <v>16</v>
      </c>
      <c r="C103" s="59" t="s">
        <v>215</v>
      </c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 t="s">
        <v>11</v>
      </c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36">
        <f t="shared" si="16"/>
        <v>1</v>
      </c>
      <c r="AJ103" s="36">
        <f t="shared" si="17"/>
        <v>0</v>
      </c>
      <c r="AK103" s="36">
        <f t="shared" si="18"/>
        <v>0</v>
      </c>
      <c r="AL103" s="36">
        <f t="shared" si="19"/>
        <v>0</v>
      </c>
      <c r="AM103" s="38">
        <f t="shared" si="14"/>
        <v>1</v>
      </c>
      <c r="AN103" s="79" t="s">
        <v>749</v>
      </c>
      <c r="AO103" s="38">
        <v>26</v>
      </c>
      <c r="AP103" s="39">
        <f t="shared" si="21"/>
        <v>0.0384615384615385</v>
      </c>
    </row>
    <row r="104" ht="21" hidden="1" customHeight="1" spans="1:42">
      <c r="A104" s="59" t="s">
        <v>660</v>
      </c>
      <c r="B104" s="63" t="s">
        <v>16</v>
      </c>
      <c r="C104" s="59" t="s">
        <v>215</v>
      </c>
      <c r="D104" s="62"/>
      <c r="E104" s="62"/>
      <c r="F104" s="62"/>
      <c r="G104" s="62"/>
      <c r="H104" s="62"/>
      <c r="I104" s="62"/>
      <c r="J104" s="62"/>
      <c r="K104" s="62"/>
      <c r="L104" s="62" t="s">
        <v>11</v>
      </c>
      <c r="M104" s="62" t="s">
        <v>11</v>
      </c>
      <c r="N104" s="62"/>
      <c r="O104" s="62" t="s">
        <v>11</v>
      </c>
      <c r="P104" s="62"/>
      <c r="Q104" s="62" t="s">
        <v>11</v>
      </c>
      <c r="R104" s="62"/>
      <c r="S104" s="62"/>
      <c r="T104" s="62"/>
      <c r="U104" s="62"/>
      <c r="V104" s="62" t="s">
        <v>11</v>
      </c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36">
        <f t="shared" si="16"/>
        <v>5</v>
      </c>
      <c r="AJ104" s="36">
        <f t="shared" si="17"/>
        <v>0</v>
      </c>
      <c r="AK104" s="36">
        <f t="shared" si="18"/>
        <v>0</v>
      </c>
      <c r="AL104" s="36">
        <f t="shared" si="19"/>
        <v>0</v>
      </c>
      <c r="AM104" s="38">
        <f>SUM(AH104:AL104)</f>
        <v>5</v>
      </c>
      <c r="AN104" s="84" t="s">
        <v>753</v>
      </c>
      <c r="AO104" s="38"/>
      <c r="AP104" s="39"/>
    </row>
    <row r="105" ht="21" hidden="1" customHeight="1" spans="1:42">
      <c r="A105" s="59" t="s">
        <v>661</v>
      </c>
      <c r="B105" s="63" t="s">
        <v>16</v>
      </c>
      <c r="C105" s="59" t="s">
        <v>215</v>
      </c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36">
        <f t="shared" si="16"/>
        <v>0</v>
      </c>
      <c r="AJ105" s="36">
        <f t="shared" si="17"/>
        <v>0</v>
      </c>
      <c r="AK105" s="36">
        <f t="shared" si="18"/>
        <v>0</v>
      </c>
      <c r="AL105" s="36">
        <f t="shared" si="19"/>
        <v>0</v>
      </c>
      <c r="AM105" s="38">
        <f t="shared" si="14"/>
        <v>0</v>
      </c>
      <c r="AN105" s="38" t="s">
        <v>25</v>
      </c>
      <c r="AO105" s="38"/>
      <c r="AP105" s="39"/>
    </row>
    <row r="106" ht="21" hidden="1" customHeight="1" spans="1:42">
      <c r="A106" s="59" t="s">
        <v>662</v>
      </c>
      <c r="B106" s="63" t="s">
        <v>16</v>
      </c>
      <c r="C106" s="59" t="s">
        <v>215</v>
      </c>
      <c r="D106" s="62"/>
      <c r="E106" s="62"/>
      <c r="F106" s="62"/>
      <c r="G106" s="62"/>
      <c r="H106" s="62"/>
      <c r="I106" s="62" t="s">
        <v>13</v>
      </c>
      <c r="J106" s="62"/>
      <c r="K106" s="62"/>
      <c r="L106" s="62"/>
      <c r="M106" s="62"/>
      <c r="N106" s="62"/>
      <c r="O106" s="62"/>
      <c r="P106" s="62" t="s">
        <v>11</v>
      </c>
      <c r="Q106" s="62" t="s">
        <v>11</v>
      </c>
      <c r="R106" s="62" t="s">
        <v>557</v>
      </c>
      <c r="S106" s="62"/>
      <c r="T106" s="62"/>
      <c r="U106" s="62"/>
      <c r="V106" s="62" t="s">
        <v>11</v>
      </c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36">
        <f t="shared" si="16"/>
        <v>3</v>
      </c>
      <c r="AJ106" s="36">
        <f t="shared" si="17"/>
        <v>0</v>
      </c>
      <c r="AK106" s="36">
        <f t="shared" si="18"/>
        <v>1</v>
      </c>
      <c r="AL106" s="36">
        <f t="shared" si="19"/>
        <v>1</v>
      </c>
      <c r="AM106" s="38">
        <f t="shared" si="14"/>
        <v>4</v>
      </c>
      <c r="AN106" s="81" t="s">
        <v>749</v>
      </c>
      <c r="AO106" s="38">
        <v>26</v>
      </c>
      <c r="AP106" s="39">
        <f t="shared" ref="AP106:AP111" si="22">AM106/AO106</f>
        <v>0.153846153846154</v>
      </c>
    </row>
    <row r="107" ht="21" hidden="1" customHeight="1" spans="1:42">
      <c r="A107" s="59" t="s">
        <v>663</v>
      </c>
      <c r="B107" s="63" t="s">
        <v>16</v>
      </c>
      <c r="C107" s="59" t="s">
        <v>215</v>
      </c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36">
        <f t="shared" si="16"/>
        <v>0</v>
      </c>
      <c r="AJ107" s="36">
        <f t="shared" si="17"/>
        <v>0</v>
      </c>
      <c r="AK107" s="36">
        <f t="shared" si="18"/>
        <v>0</v>
      </c>
      <c r="AL107" s="36">
        <f t="shared" si="19"/>
        <v>0</v>
      </c>
      <c r="AM107" s="38">
        <f t="shared" si="14"/>
        <v>0</v>
      </c>
      <c r="AN107" s="38" t="s">
        <v>173</v>
      </c>
      <c r="AO107" s="38">
        <v>26</v>
      </c>
      <c r="AP107" s="39">
        <f t="shared" si="22"/>
        <v>0</v>
      </c>
    </row>
    <row r="108" ht="21" hidden="1" customHeight="1" spans="1:42">
      <c r="A108" s="59" t="s">
        <v>665</v>
      </c>
      <c r="B108" s="85" t="s">
        <v>16</v>
      </c>
      <c r="C108" s="59" t="s">
        <v>238</v>
      </c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36">
        <f t="shared" si="16"/>
        <v>0</v>
      </c>
      <c r="AJ108" s="36">
        <f t="shared" si="17"/>
        <v>0</v>
      </c>
      <c r="AK108" s="36">
        <f t="shared" si="18"/>
        <v>0</v>
      </c>
      <c r="AL108" s="36">
        <f t="shared" si="19"/>
        <v>0</v>
      </c>
      <c r="AM108" s="83">
        <f t="shared" si="14"/>
        <v>0</v>
      </c>
      <c r="AN108" s="69" t="s">
        <v>275</v>
      </c>
      <c r="AO108" s="38">
        <v>26</v>
      </c>
      <c r="AP108" s="39">
        <f t="shared" si="22"/>
        <v>0</v>
      </c>
    </row>
    <row r="109" ht="21" hidden="1" customHeight="1" spans="1:42">
      <c r="A109" s="59" t="s">
        <v>666</v>
      </c>
      <c r="B109" s="63" t="s">
        <v>16</v>
      </c>
      <c r="C109" s="59" t="s">
        <v>238</v>
      </c>
      <c r="D109" s="62"/>
      <c r="E109" s="62"/>
      <c r="F109" s="62"/>
      <c r="G109" s="62"/>
      <c r="H109" s="62"/>
      <c r="I109" s="62" t="s">
        <v>11</v>
      </c>
      <c r="J109" s="62"/>
      <c r="K109" s="62" t="s">
        <v>11</v>
      </c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36">
        <f t="shared" si="16"/>
        <v>2</v>
      </c>
      <c r="AJ109" s="36">
        <f t="shared" si="17"/>
        <v>0</v>
      </c>
      <c r="AK109" s="36">
        <f t="shared" si="18"/>
        <v>0</v>
      </c>
      <c r="AL109" s="36">
        <f t="shared" si="19"/>
        <v>0</v>
      </c>
      <c r="AM109" s="38">
        <f t="shared" si="14"/>
        <v>2</v>
      </c>
      <c r="AN109" s="86" t="s">
        <v>757</v>
      </c>
      <c r="AO109" s="38">
        <v>26</v>
      </c>
      <c r="AP109" s="39">
        <f t="shared" si="22"/>
        <v>0.0769230769230769</v>
      </c>
    </row>
    <row r="110" ht="21" hidden="1" customHeight="1" spans="1:42">
      <c r="A110" s="59" t="s">
        <v>667</v>
      </c>
      <c r="B110" s="63" t="s">
        <v>564</v>
      </c>
      <c r="C110" s="87" t="s">
        <v>238</v>
      </c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36">
        <f t="shared" si="16"/>
        <v>0</v>
      </c>
      <c r="AJ110" s="36">
        <f t="shared" si="17"/>
        <v>0</v>
      </c>
      <c r="AK110" s="36">
        <f t="shared" si="18"/>
        <v>0</v>
      </c>
      <c r="AL110" s="36">
        <f t="shared" si="19"/>
        <v>0</v>
      </c>
      <c r="AM110" s="38">
        <f t="shared" si="14"/>
        <v>0</v>
      </c>
      <c r="AN110" s="66"/>
      <c r="AO110" s="38">
        <v>26</v>
      </c>
      <c r="AP110" s="39">
        <f t="shared" si="22"/>
        <v>0</v>
      </c>
    </row>
    <row r="111" ht="21" hidden="1" customHeight="1" spans="1:42">
      <c r="A111" s="59" t="s">
        <v>668</v>
      </c>
      <c r="B111" s="60" t="s">
        <v>165</v>
      </c>
      <c r="C111" s="88" t="s">
        <v>205</v>
      </c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 t="s">
        <v>11</v>
      </c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36">
        <f t="shared" si="16"/>
        <v>1</v>
      </c>
      <c r="AJ111" s="36">
        <f t="shared" si="17"/>
        <v>0</v>
      </c>
      <c r="AK111" s="36">
        <f t="shared" si="18"/>
        <v>0</v>
      </c>
      <c r="AL111" s="36">
        <f t="shared" si="19"/>
        <v>0</v>
      </c>
      <c r="AM111" s="38">
        <f t="shared" si="14"/>
        <v>1</v>
      </c>
      <c r="AN111" s="38" t="s">
        <v>749</v>
      </c>
      <c r="AO111" s="38">
        <v>26</v>
      </c>
      <c r="AP111" s="39">
        <f t="shared" si="22"/>
        <v>0.0384615384615385</v>
      </c>
    </row>
    <row r="112" ht="21" hidden="1" customHeight="1" spans="1:42">
      <c r="A112" s="59" t="s">
        <v>669</v>
      </c>
      <c r="B112" s="63" t="s">
        <v>16</v>
      </c>
      <c r="C112" s="89" t="s">
        <v>180</v>
      </c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36">
        <f t="shared" si="16"/>
        <v>0</v>
      </c>
      <c r="AJ112" s="36">
        <f t="shared" si="17"/>
        <v>0</v>
      </c>
      <c r="AK112" s="36">
        <f t="shared" si="18"/>
        <v>0</v>
      </c>
      <c r="AL112" s="36">
        <f t="shared" si="19"/>
        <v>0</v>
      </c>
      <c r="AM112" s="83">
        <f t="shared" si="14"/>
        <v>0</v>
      </c>
      <c r="AN112" s="38" t="s">
        <v>228</v>
      </c>
      <c r="AO112" s="38"/>
      <c r="AP112" s="39"/>
    </row>
    <row r="113" ht="21" hidden="1" customHeight="1" spans="1:42">
      <c r="A113" s="59" t="s">
        <v>670</v>
      </c>
      <c r="B113" s="63" t="s">
        <v>16</v>
      </c>
      <c r="C113" s="59" t="s">
        <v>180</v>
      </c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 t="s">
        <v>11</v>
      </c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36">
        <f t="shared" si="16"/>
        <v>1</v>
      </c>
      <c r="AJ113" s="36">
        <f t="shared" si="17"/>
        <v>0</v>
      </c>
      <c r="AK113" s="36">
        <f t="shared" si="18"/>
        <v>0</v>
      </c>
      <c r="AL113" s="36">
        <f t="shared" si="19"/>
        <v>0</v>
      </c>
      <c r="AM113" s="38">
        <f t="shared" si="14"/>
        <v>1</v>
      </c>
      <c r="AN113" s="66" t="s">
        <v>193</v>
      </c>
      <c r="AO113" s="38"/>
      <c r="AP113" s="39"/>
    </row>
    <row r="114" ht="21" hidden="1" customHeight="1" spans="1:42">
      <c r="A114" s="59" t="s">
        <v>671</v>
      </c>
      <c r="B114" s="63" t="s">
        <v>165</v>
      </c>
      <c r="C114" s="59" t="s">
        <v>180</v>
      </c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36">
        <f t="shared" si="16"/>
        <v>0</v>
      </c>
      <c r="AJ114" s="36">
        <f t="shared" si="17"/>
        <v>0</v>
      </c>
      <c r="AK114" s="36">
        <f t="shared" si="18"/>
        <v>0</v>
      </c>
      <c r="AL114" s="36">
        <f t="shared" si="19"/>
        <v>0</v>
      </c>
      <c r="AM114" s="38">
        <f t="shared" si="14"/>
        <v>0</v>
      </c>
      <c r="AN114" s="66" t="s">
        <v>171</v>
      </c>
      <c r="AO114" s="38"/>
      <c r="AP114" s="39"/>
    </row>
    <row r="115" ht="21" hidden="1" customHeight="1" spans="1:42">
      <c r="A115" s="59" t="s">
        <v>672</v>
      </c>
      <c r="B115" s="63" t="s">
        <v>16</v>
      </c>
      <c r="C115" s="59" t="s">
        <v>180</v>
      </c>
      <c r="D115" s="62"/>
      <c r="E115" s="62"/>
      <c r="F115" s="62"/>
      <c r="G115" s="62"/>
      <c r="H115" s="62"/>
      <c r="I115" s="62"/>
      <c r="J115" s="62"/>
      <c r="K115" s="62"/>
      <c r="L115" s="62" t="s">
        <v>11</v>
      </c>
      <c r="M115" s="62" t="s">
        <v>11</v>
      </c>
      <c r="N115" s="62"/>
      <c r="O115" s="62"/>
      <c r="P115" s="62"/>
      <c r="Q115" s="62"/>
      <c r="R115" s="62"/>
      <c r="S115" s="62"/>
      <c r="T115" s="62" t="s">
        <v>557</v>
      </c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36">
        <f t="shared" si="16"/>
        <v>2</v>
      </c>
      <c r="AJ115" s="36">
        <f t="shared" si="17"/>
        <v>0</v>
      </c>
      <c r="AK115" s="36">
        <f t="shared" si="18"/>
        <v>0</v>
      </c>
      <c r="AL115" s="36">
        <f t="shared" si="19"/>
        <v>1</v>
      </c>
      <c r="AM115" s="38">
        <f>SUM(AH115:AL115)</f>
        <v>3</v>
      </c>
      <c r="AN115" s="71" t="s">
        <v>758</v>
      </c>
      <c r="AO115" s="38"/>
      <c r="AP115" s="39"/>
    </row>
    <row r="116" ht="21" hidden="1" customHeight="1" spans="1:42">
      <c r="A116" s="59" t="s">
        <v>673</v>
      </c>
      <c r="B116" s="63" t="s">
        <v>16</v>
      </c>
      <c r="C116" s="59" t="s">
        <v>180</v>
      </c>
      <c r="D116" s="62"/>
      <c r="E116" s="62"/>
      <c r="F116" s="62" t="s">
        <v>11</v>
      </c>
      <c r="G116" s="62" t="s">
        <v>11</v>
      </c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36">
        <f t="shared" si="16"/>
        <v>2</v>
      </c>
      <c r="AJ116" s="36">
        <f t="shared" si="17"/>
        <v>0</v>
      </c>
      <c r="AK116" s="36">
        <f t="shared" si="18"/>
        <v>0</v>
      </c>
      <c r="AL116" s="36">
        <f t="shared" si="19"/>
        <v>0</v>
      </c>
      <c r="AM116" s="38">
        <f>SUM(AH116:AL116)</f>
        <v>2</v>
      </c>
      <c r="AN116" s="71" t="s">
        <v>753</v>
      </c>
      <c r="AO116" s="38"/>
      <c r="AP116" s="39"/>
    </row>
    <row r="117" ht="21" hidden="1" customHeight="1" spans="1:42">
      <c r="A117" s="59" t="s">
        <v>627</v>
      </c>
      <c r="B117" s="63" t="s">
        <v>165</v>
      </c>
      <c r="C117" s="59" t="s">
        <v>180</v>
      </c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36">
        <f t="shared" si="16"/>
        <v>0</v>
      </c>
      <c r="AJ117" s="36">
        <f t="shared" si="17"/>
        <v>0</v>
      </c>
      <c r="AK117" s="36">
        <f t="shared" si="18"/>
        <v>0</v>
      </c>
      <c r="AL117" s="36">
        <f t="shared" si="19"/>
        <v>0</v>
      </c>
      <c r="AM117" s="83">
        <f t="shared" si="14"/>
        <v>0</v>
      </c>
      <c r="AN117" s="38" t="s">
        <v>214</v>
      </c>
      <c r="AO117" s="38"/>
      <c r="AP117" s="39"/>
    </row>
    <row r="118" ht="21" hidden="1" customHeight="1" spans="1:42">
      <c r="A118" s="59" t="s">
        <v>674</v>
      </c>
      <c r="B118" s="63" t="s">
        <v>165</v>
      </c>
      <c r="C118" s="59" t="s">
        <v>180</v>
      </c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36">
        <f t="shared" si="16"/>
        <v>0</v>
      </c>
      <c r="AJ118" s="36">
        <f t="shared" si="17"/>
        <v>0</v>
      </c>
      <c r="AK118" s="36">
        <f t="shared" si="18"/>
        <v>0</v>
      </c>
      <c r="AL118" s="36">
        <f t="shared" si="19"/>
        <v>0</v>
      </c>
      <c r="AM118" s="83">
        <f t="shared" si="14"/>
        <v>0</v>
      </c>
      <c r="AN118" s="38" t="s">
        <v>25</v>
      </c>
      <c r="AO118" s="38">
        <v>26</v>
      </c>
      <c r="AP118" s="39">
        <f>AM118/AO118</f>
        <v>0</v>
      </c>
    </row>
    <row r="119" ht="21" hidden="1" customHeight="1" spans="1:42">
      <c r="A119" s="59" t="s">
        <v>675</v>
      </c>
      <c r="B119" s="63" t="s">
        <v>676</v>
      </c>
      <c r="C119" s="59" t="s">
        <v>180</v>
      </c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 t="s">
        <v>11</v>
      </c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36">
        <f t="shared" si="16"/>
        <v>1</v>
      </c>
      <c r="AJ119" s="36">
        <f t="shared" si="17"/>
        <v>0</v>
      </c>
      <c r="AK119" s="36">
        <f t="shared" si="18"/>
        <v>0</v>
      </c>
      <c r="AL119" s="36">
        <f t="shared" si="19"/>
        <v>0</v>
      </c>
      <c r="AM119" s="38">
        <f t="shared" si="14"/>
        <v>1</v>
      </c>
      <c r="AN119" s="66" t="s">
        <v>193</v>
      </c>
      <c r="AO119" s="38"/>
      <c r="AP119" s="39"/>
    </row>
    <row r="120" ht="21" hidden="1" customHeight="1" spans="1:42">
      <c r="A120" s="59" t="s">
        <v>677</v>
      </c>
      <c r="B120" s="63" t="s">
        <v>16</v>
      </c>
      <c r="C120" s="87" t="s">
        <v>180</v>
      </c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 t="s">
        <v>11</v>
      </c>
      <c r="Q120" s="62" t="s">
        <v>11</v>
      </c>
      <c r="R120" s="62" t="s">
        <v>11</v>
      </c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36">
        <f t="shared" si="16"/>
        <v>3</v>
      </c>
      <c r="AJ120" s="36">
        <f t="shared" si="17"/>
        <v>0</v>
      </c>
      <c r="AK120" s="36">
        <f t="shared" si="18"/>
        <v>0</v>
      </c>
      <c r="AL120" s="36">
        <f t="shared" si="19"/>
        <v>0</v>
      </c>
      <c r="AM120" s="38">
        <f t="shared" si="14"/>
        <v>3</v>
      </c>
      <c r="AN120" s="38" t="s">
        <v>228</v>
      </c>
      <c r="AO120" s="38"/>
      <c r="AP120" s="39"/>
    </row>
    <row r="121" ht="21" hidden="1" customHeight="1" spans="1:42">
      <c r="A121" s="59" t="s">
        <v>678</v>
      </c>
      <c r="B121" s="60" t="s">
        <v>16</v>
      </c>
      <c r="C121" s="88" t="s">
        <v>215</v>
      </c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 t="s">
        <v>11</v>
      </c>
      <c r="R121" s="62" t="s">
        <v>11</v>
      </c>
      <c r="S121" s="62" t="s">
        <v>11</v>
      </c>
      <c r="T121" s="62"/>
      <c r="U121" s="62" t="s">
        <v>557</v>
      </c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38">
        <f t="shared" si="16"/>
        <v>3</v>
      </c>
      <c r="AJ121" s="38">
        <f t="shared" si="17"/>
        <v>0</v>
      </c>
      <c r="AK121" s="38">
        <f t="shared" si="18"/>
        <v>0</v>
      </c>
      <c r="AL121" s="36">
        <f t="shared" si="19"/>
        <v>1</v>
      </c>
      <c r="AM121" s="38">
        <f t="shared" si="14"/>
        <v>3</v>
      </c>
      <c r="AN121" s="38" t="s">
        <v>758</v>
      </c>
      <c r="AO121" s="38"/>
      <c r="AP121" s="39"/>
    </row>
    <row r="122" ht="21" hidden="1" customHeight="1" spans="1:42">
      <c r="A122" s="59" t="s">
        <v>679</v>
      </c>
      <c r="B122" s="63" t="s">
        <v>165</v>
      </c>
      <c r="C122" s="89" t="s">
        <v>180</v>
      </c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36">
        <f t="shared" si="16"/>
        <v>0</v>
      </c>
      <c r="AJ122" s="36">
        <f t="shared" si="17"/>
        <v>0</v>
      </c>
      <c r="AK122" s="36">
        <f t="shared" si="18"/>
        <v>0</v>
      </c>
      <c r="AL122" s="36">
        <f t="shared" si="19"/>
        <v>0</v>
      </c>
      <c r="AM122" s="38">
        <f t="shared" si="14"/>
        <v>0</v>
      </c>
      <c r="AN122" s="66" t="s">
        <v>193</v>
      </c>
      <c r="AO122" s="38"/>
      <c r="AP122" s="39"/>
    </row>
    <row r="123" ht="21" hidden="1" customHeight="1" spans="1:42">
      <c r="A123" s="59" t="s">
        <v>680</v>
      </c>
      <c r="B123" s="63" t="s">
        <v>59</v>
      </c>
      <c r="C123" s="59" t="s">
        <v>180</v>
      </c>
      <c r="D123" s="62"/>
      <c r="E123" s="62"/>
      <c r="F123" s="62"/>
      <c r="G123" s="62"/>
      <c r="H123" s="62"/>
      <c r="I123" s="62" t="s">
        <v>11</v>
      </c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36">
        <f t="shared" si="16"/>
        <v>1</v>
      </c>
      <c r="AJ123" s="36">
        <f t="shared" si="17"/>
        <v>0</v>
      </c>
      <c r="AK123" s="36">
        <f t="shared" si="18"/>
        <v>0</v>
      </c>
      <c r="AL123" s="36">
        <f t="shared" si="19"/>
        <v>0</v>
      </c>
      <c r="AM123" s="83">
        <f t="shared" si="14"/>
        <v>1</v>
      </c>
      <c r="AN123" s="38" t="s">
        <v>25</v>
      </c>
      <c r="AO123" s="38"/>
      <c r="AP123" s="39"/>
    </row>
    <row r="124" ht="21" hidden="1" customHeight="1" spans="1:42">
      <c r="A124" s="59" t="s">
        <v>682</v>
      </c>
      <c r="B124" s="63" t="s">
        <v>59</v>
      </c>
      <c r="C124" s="59" t="s">
        <v>180</v>
      </c>
      <c r="D124" s="62"/>
      <c r="E124" s="62"/>
      <c r="F124" s="62"/>
      <c r="G124" s="62"/>
      <c r="H124" s="62"/>
      <c r="I124" s="62"/>
      <c r="J124" s="62"/>
      <c r="K124" s="62"/>
      <c r="L124" s="62" t="s">
        <v>557</v>
      </c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36">
        <f t="shared" si="16"/>
        <v>0</v>
      </c>
      <c r="AJ124" s="36">
        <f t="shared" si="17"/>
        <v>0</v>
      </c>
      <c r="AK124" s="36">
        <f t="shared" si="18"/>
        <v>0</v>
      </c>
      <c r="AL124" s="36">
        <f t="shared" si="19"/>
        <v>1</v>
      </c>
      <c r="AM124" s="38">
        <f>SUM(AH124:AL124)</f>
        <v>1</v>
      </c>
      <c r="AN124" s="71" t="s">
        <v>758</v>
      </c>
      <c r="AO124" s="38"/>
      <c r="AP124" s="39"/>
    </row>
    <row r="125" ht="21" hidden="1" customHeight="1" spans="1:42">
      <c r="A125" s="59" t="s">
        <v>683</v>
      </c>
      <c r="B125" s="63" t="s">
        <v>165</v>
      </c>
      <c r="C125" s="59" t="s">
        <v>180</v>
      </c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36">
        <f t="shared" si="16"/>
        <v>0</v>
      </c>
      <c r="AJ125" s="36">
        <f t="shared" si="17"/>
        <v>0</v>
      </c>
      <c r="AK125" s="36">
        <f t="shared" si="18"/>
        <v>0</v>
      </c>
      <c r="AL125" s="36">
        <f t="shared" si="19"/>
        <v>0</v>
      </c>
      <c r="AM125" s="38">
        <f t="shared" si="14"/>
        <v>0</v>
      </c>
      <c r="AN125" s="38" t="s">
        <v>207</v>
      </c>
      <c r="AO125" s="38"/>
      <c r="AP125" s="39"/>
    </row>
    <row r="126" ht="21" hidden="1" customHeight="1" spans="1:42">
      <c r="A126" s="59" t="s">
        <v>686</v>
      </c>
      <c r="B126" s="63" t="s">
        <v>20</v>
      </c>
      <c r="C126" s="59" t="s">
        <v>112</v>
      </c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36">
        <f t="shared" ref="AI126:AI155" si="23">COUNTIF(B126:AF126,"S")</f>
        <v>0</v>
      </c>
      <c r="AJ126" s="36">
        <f t="shared" ref="AJ126:AJ155" si="24">COUNTIF(B126:AF126,"I")</f>
        <v>0</v>
      </c>
      <c r="AK126" s="36">
        <f t="shared" ref="AK126:AK155" si="25">COUNTIF(B126:AF126,"A")</f>
        <v>0</v>
      </c>
      <c r="AL126" s="36">
        <f t="shared" ref="AL126:AL155" si="26">COUNTIF(B126:AF126,"PA")</f>
        <v>0</v>
      </c>
      <c r="AM126" s="83">
        <f t="shared" si="14"/>
        <v>0</v>
      </c>
      <c r="AN126" s="38"/>
      <c r="AO126" s="38"/>
      <c r="AP126" s="39"/>
    </row>
    <row r="127" ht="21" hidden="1" customHeight="1" spans="1:42">
      <c r="A127" s="59" t="s">
        <v>688</v>
      </c>
      <c r="B127" s="63" t="s">
        <v>16</v>
      </c>
      <c r="C127" s="59" t="s">
        <v>112</v>
      </c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 t="s">
        <v>13</v>
      </c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36">
        <f t="shared" si="23"/>
        <v>0</v>
      </c>
      <c r="AJ127" s="36">
        <f t="shared" si="24"/>
        <v>0</v>
      </c>
      <c r="AK127" s="36">
        <f t="shared" si="25"/>
        <v>1</v>
      </c>
      <c r="AL127" s="36">
        <f t="shared" si="26"/>
        <v>0</v>
      </c>
      <c r="AM127" s="38">
        <f t="shared" si="14"/>
        <v>1</v>
      </c>
      <c r="AN127" s="38" t="s">
        <v>759</v>
      </c>
      <c r="AO127" s="38"/>
      <c r="AP127" s="39"/>
    </row>
    <row r="128" ht="21" hidden="1" customHeight="1" spans="1:42">
      <c r="A128" s="59" t="s">
        <v>689</v>
      </c>
      <c r="B128" s="63" t="s">
        <v>16</v>
      </c>
      <c r="C128" s="59" t="s">
        <v>112</v>
      </c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36">
        <f t="shared" si="23"/>
        <v>0</v>
      </c>
      <c r="AJ128" s="36">
        <f t="shared" si="24"/>
        <v>0</v>
      </c>
      <c r="AK128" s="36">
        <f t="shared" si="25"/>
        <v>0</v>
      </c>
      <c r="AL128" s="36">
        <f t="shared" si="26"/>
        <v>0</v>
      </c>
      <c r="AM128" s="83">
        <f t="shared" si="14"/>
        <v>0</v>
      </c>
      <c r="AN128" s="38" t="s">
        <v>25</v>
      </c>
      <c r="AO128" s="38"/>
      <c r="AP128" s="39"/>
    </row>
    <row r="129" ht="21" hidden="1" customHeight="1" spans="1:42">
      <c r="A129" s="59" t="s">
        <v>690</v>
      </c>
      <c r="B129" s="63" t="s">
        <v>16</v>
      </c>
      <c r="C129" s="63" t="s">
        <v>112</v>
      </c>
      <c r="D129" s="62"/>
      <c r="E129" s="62"/>
      <c r="F129" s="62"/>
      <c r="G129" s="62" t="s">
        <v>13</v>
      </c>
      <c r="H129" s="62"/>
      <c r="I129" s="62"/>
      <c r="J129" s="62"/>
      <c r="K129" s="62"/>
      <c r="L129" s="62"/>
      <c r="M129" s="62"/>
      <c r="N129" s="62"/>
      <c r="O129" s="62" t="s">
        <v>13</v>
      </c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36">
        <f t="shared" si="23"/>
        <v>0</v>
      </c>
      <c r="AJ129" s="36">
        <f t="shared" si="24"/>
        <v>0</v>
      </c>
      <c r="AK129" s="36">
        <f t="shared" si="25"/>
        <v>2</v>
      </c>
      <c r="AL129" s="36">
        <f t="shared" si="26"/>
        <v>0</v>
      </c>
      <c r="AM129" s="38">
        <f t="shared" si="14"/>
        <v>2</v>
      </c>
      <c r="AN129" s="38" t="s">
        <v>756</v>
      </c>
      <c r="AO129" s="38"/>
      <c r="AP129" s="39"/>
    </row>
    <row r="130" ht="21" hidden="1" customHeight="1" spans="1:42">
      <c r="A130" s="59" t="s">
        <v>693</v>
      </c>
      <c r="B130" s="63" t="s">
        <v>165</v>
      </c>
      <c r="C130" s="63" t="s">
        <v>112</v>
      </c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 t="s">
        <v>13</v>
      </c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36">
        <f t="shared" si="23"/>
        <v>0</v>
      </c>
      <c r="AJ130" s="36">
        <f t="shared" si="24"/>
        <v>0</v>
      </c>
      <c r="AK130" s="36">
        <f t="shared" si="25"/>
        <v>1</v>
      </c>
      <c r="AL130" s="36">
        <f t="shared" si="26"/>
        <v>0</v>
      </c>
      <c r="AM130" s="38">
        <f t="shared" si="14"/>
        <v>1</v>
      </c>
      <c r="AN130" s="66" t="s">
        <v>336</v>
      </c>
      <c r="AO130" s="38"/>
      <c r="AP130" s="39"/>
    </row>
    <row r="131" ht="21" hidden="1" customHeight="1" spans="1:42">
      <c r="A131" s="59" t="s">
        <v>694</v>
      </c>
      <c r="B131" s="63" t="s">
        <v>16</v>
      </c>
      <c r="C131" s="63" t="s">
        <v>112</v>
      </c>
      <c r="D131" s="62"/>
      <c r="E131" s="62" t="s">
        <v>11</v>
      </c>
      <c r="F131" s="62" t="s">
        <v>557</v>
      </c>
      <c r="G131" s="62"/>
      <c r="H131" s="62"/>
      <c r="I131" s="62"/>
      <c r="J131" s="62"/>
      <c r="K131" s="62"/>
      <c r="L131" s="62" t="s">
        <v>11</v>
      </c>
      <c r="M131" s="62"/>
      <c r="N131" s="62"/>
      <c r="O131" s="62"/>
      <c r="P131" s="62"/>
      <c r="Q131" s="62"/>
      <c r="R131" s="62"/>
      <c r="S131" s="62"/>
      <c r="T131" s="62"/>
      <c r="U131" s="62"/>
      <c r="V131" s="62" t="s">
        <v>557</v>
      </c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36">
        <f t="shared" si="23"/>
        <v>2</v>
      </c>
      <c r="AJ131" s="36">
        <f t="shared" si="24"/>
        <v>0</v>
      </c>
      <c r="AK131" s="36">
        <f t="shared" si="25"/>
        <v>0</v>
      </c>
      <c r="AL131" s="36">
        <f t="shared" si="26"/>
        <v>2</v>
      </c>
      <c r="AM131" s="38">
        <f>SUM(AH131:AL131)</f>
        <v>4</v>
      </c>
      <c r="AN131" s="84" t="s">
        <v>758</v>
      </c>
      <c r="AO131" s="38"/>
      <c r="AP131" s="39"/>
    </row>
    <row r="132" ht="21" hidden="1" customHeight="1" spans="1:42">
      <c r="A132" s="59" t="s">
        <v>695</v>
      </c>
      <c r="B132" s="63" t="s">
        <v>16</v>
      </c>
      <c r="C132" s="63" t="s">
        <v>112</v>
      </c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36">
        <f t="shared" si="23"/>
        <v>0</v>
      </c>
      <c r="AJ132" s="36">
        <f t="shared" si="24"/>
        <v>0</v>
      </c>
      <c r="AK132" s="36">
        <f t="shared" si="25"/>
        <v>0</v>
      </c>
      <c r="AL132" s="36">
        <f t="shared" si="26"/>
        <v>0</v>
      </c>
      <c r="AM132" s="66">
        <f t="shared" ref="AM132:AM139" si="27">SUM(AH132:AK132)</f>
        <v>0</v>
      </c>
      <c r="AN132" s="66" t="s">
        <v>336</v>
      </c>
      <c r="AO132" s="68"/>
      <c r="AP132" s="39"/>
    </row>
    <row r="133" ht="21" hidden="1" customHeight="1" spans="1:42">
      <c r="A133" s="59" t="s">
        <v>696</v>
      </c>
      <c r="B133" s="63" t="s">
        <v>16</v>
      </c>
      <c r="C133" s="90" t="s">
        <v>112</v>
      </c>
      <c r="D133" s="62"/>
      <c r="E133" s="62" t="s">
        <v>13</v>
      </c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36">
        <f t="shared" si="23"/>
        <v>0</v>
      </c>
      <c r="AJ133" s="36">
        <f t="shared" si="24"/>
        <v>0</v>
      </c>
      <c r="AK133" s="36">
        <f t="shared" si="25"/>
        <v>1</v>
      </c>
      <c r="AL133" s="36">
        <f t="shared" si="26"/>
        <v>0</v>
      </c>
      <c r="AM133" s="36">
        <f t="shared" si="27"/>
        <v>1</v>
      </c>
      <c r="AN133" s="36" t="s">
        <v>228</v>
      </c>
      <c r="AO133" s="38"/>
      <c r="AP133" s="39"/>
    </row>
    <row r="134" ht="21" hidden="1" customHeight="1" spans="1:42">
      <c r="A134" s="59" t="s">
        <v>697</v>
      </c>
      <c r="B134" s="60" t="s">
        <v>534</v>
      </c>
      <c r="C134" s="88" t="s">
        <v>238</v>
      </c>
      <c r="D134" s="62"/>
      <c r="E134" s="62"/>
      <c r="F134" s="62"/>
      <c r="G134" s="62" t="s">
        <v>12</v>
      </c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 t="s">
        <v>11</v>
      </c>
      <c r="T134" s="62" t="s">
        <v>13</v>
      </c>
      <c r="U134" s="62" t="s">
        <v>13</v>
      </c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38">
        <f t="shared" si="23"/>
        <v>1</v>
      </c>
      <c r="AJ134" s="38">
        <f t="shared" si="24"/>
        <v>1</v>
      </c>
      <c r="AK134" s="38">
        <f t="shared" si="25"/>
        <v>2</v>
      </c>
      <c r="AL134" s="36">
        <f t="shared" si="26"/>
        <v>0</v>
      </c>
      <c r="AM134" s="38">
        <f t="shared" si="27"/>
        <v>4</v>
      </c>
      <c r="AN134" s="79" t="s">
        <v>759</v>
      </c>
      <c r="AO134" s="38"/>
      <c r="AP134" s="39"/>
    </row>
    <row r="135" ht="21" hidden="1" customHeight="1" spans="1:42">
      <c r="A135" s="59" t="s">
        <v>698</v>
      </c>
      <c r="B135" s="91" t="s">
        <v>16</v>
      </c>
      <c r="C135" s="88" t="s">
        <v>238</v>
      </c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 t="s">
        <v>11</v>
      </c>
      <c r="P135" s="62"/>
      <c r="Q135" s="62"/>
      <c r="R135" s="62"/>
      <c r="S135" s="62"/>
      <c r="T135" s="62"/>
      <c r="U135" s="62" t="s">
        <v>11</v>
      </c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38">
        <f t="shared" si="23"/>
        <v>2</v>
      </c>
      <c r="AJ135" s="38">
        <f t="shared" si="24"/>
        <v>0</v>
      </c>
      <c r="AK135" s="38">
        <f t="shared" si="25"/>
        <v>0</v>
      </c>
      <c r="AL135" s="36">
        <f t="shared" si="26"/>
        <v>0</v>
      </c>
      <c r="AM135" s="38">
        <f t="shared" si="27"/>
        <v>2</v>
      </c>
      <c r="AN135" s="79" t="s">
        <v>749</v>
      </c>
      <c r="AO135" s="38"/>
      <c r="AP135" s="39"/>
    </row>
    <row r="136" ht="21" hidden="1" customHeight="1" spans="1:42">
      <c r="A136" s="92" t="s">
        <v>701</v>
      </c>
      <c r="B136" s="92" t="s">
        <v>165</v>
      </c>
      <c r="C136" s="93" t="s">
        <v>112</v>
      </c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36">
        <f t="shared" si="23"/>
        <v>0</v>
      </c>
      <c r="AJ136" s="36">
        <f t="shared" si="24"/>
        <v>0</v>
      </c>
      <c r="AK136" s="36">
        <f t="shared" si="25"/>
        <v>0</v>
      </c>
      <c r="AL136" s="36">
        <f t="shared" si="26"/>
        <v>0</v>
      </c>
      <c r="AM136" s="38">
        <f t="shared" si="27"/>
        <v>0</v>
      </c>
      <c r="AN136" s="66" t="s">
        <v>438</v>
      </c>
      <c r="AO136" s="38"/>
      <c r="AP136" s="39"/>
    </row>
    <row r="137" ht="21" hidden="1" customHeight="1" spans="1:42">
      <c r="A137" s="59" t="s">
        <v>524</v>
      </c>
      <c r="B137" s="94" t="s">
        <v>702</v>
      </c>
      <c r="C137" s="59" t="s">
        <v>112</v>
      </c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36">
        <f t="shared" si="23"/>
        <v>0</v>
      </c>
      <c r="AJ137" s="36">
        <f t="shared" si="24"/>
        <v>0</v>
      </c>
      <c r="AK137" s="36">
        <f t="shared" si="25"/>
        <v>0</v>
      </c>
      <c r="AL137" s="36">
        <f t="shared" si="26"/>
        <v>0</v>
      </c>
      <c r="AM137" s="38">
        <f t="shared" si="27"/>
        <v>0</v>
      </c>
      <c r="AN137" s="38"/>
      <c r="AO137" s="38"/>
      <c r="AP137" s="39"/>
    </row>
    <row r="138" ht="21" hidden="1" customHeight="1" spans="1:42">
      <c r="A138" s="59" t="s">
        <v>703</v>
      </c>
      <c r="B138" s="59" t="s">
        <v>534</v>
      </c>
      <c r="C138" s="59" t="s">
        <v>112</v>
      </c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 t="s">
        <v>11</v>
      </c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36">
        <f t="shared" si="23"/>
        <v>1</v>
      </c>
      <c r="AJ138" s="36">
        <f t="shared" si="24"/>
        <v>0</v>
      </c>
      <c r="AK138" s="36">
        <f t="shared" si="25"/>
        <v>0</v>
      </c>
      <c r="AL138" s="36">
        <f t="shared" si="26"/>
        <v>0</v>
      </c>
      <c r="AM138" s="38">
        <f t="shared" si="27"/>
        <v>1</v>
      </c>
      <c r="AN138" s="38" t="s">
        <v>25</v>
      </c>
      <c r="AO138" s="38"/>
      <c r="AP138" s="39"/>
    </row>
    <row r="139" ht="21" hidden="1" customHeight="1" spans="1:42">
      <c r="A139" s="59" t="s">
        <v>704</v>
      </c>
      <c r="B139" s="59" t="s">
        <v>534</v>
      </c>
      <c r="C139" s="59" t="s">
        <v>112</v>
      </c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 t="s">
        <v>11</v>
      </c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36">
        <f t="shared" si="23"/>
        <v>1</v>
      </c>
      <c r="AJ139" s="36">
        <f t="shared" si="24"/>
        <v>0</v>
      </c>
      <c r="AK139" s="36">
        <f t="shared" si="25"/>
        <v>0</v>
      </c>
      <c r="AL139" s="36">
        <f t="shared" si="26"/>
        <v>0</v>
      </c>
      <c r="AM139" s="38">
        <f t="shared" si="27"/>
        <v>1</v>
      </c>
      <c r="AN139" s="38" t="s">
        <v>214</v>
      </c>
      <c r="AO139" s="38"/>
      <c r="AP139" s="39"/>
    </row>
    <row r="140" ht="21" hidden="1" customHeight="1" spans="1:42">
      <c r="A140" s="59" t="s">
        <v>705</v>
      </c>
      <c r="B140" s="59" t="s">
        <v>16</v>
      </c>
      <c r="C140" s="87" t="s">
        <v>112</v>
      </c>
      <c r="D140" s="62"/>
      <c r="E140" s="62"/>
      <c r="F140" s="62" t="s">
        <v>13</v>
      </c>
      <c r="G140" s="62" t="s">
        <v>11</v>
      </c>
      <c r="H140" s="62"/>
      <c r="I140" s="62"/>
      <c r="J140" s="62" t="s">
        <v>11</v>
      </c>
      <c r="K140" s="62"/>
      <c r="L140" s="62" t="s">
        <v>11</v>
      </c>
      <c r="M140" s="62"/>
      <c r="N140" s="62"/>
      <c r="O140" s="62"/>
      <c r="P140" s="62"/>
      <c r="Q140" s="62"/>
      <c r="R140" s="62"/>
      <c r="S140" s="62"/>
      <c r="T140" s="62" t="s">
        <v>13</v>
      </c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36">
        <f t="shared" si="23"/>
        <v>3</v>
      </c>
      <c r="AJ140" s="36">
        <f t="shared" si="24"/>
        <v>0</v>
      </c>
      <c r="AK140" s="36">
        <f t="shared" si="25"/>
        <v>2</v>
      </c>
      <c r="AL140" s="36">
        <f t="shared" si="26"/>
        <v>0</v>
      </c>
      <c r="AM140" s="38">
        <f>SUM(AH140:AL140)</f>
        <v>5</v>
      </c>
      <c r="AN140" s="66" t="s">
        <v>759</v>
      </c>
      <c r="AO140" s="38">
        <v>16</v>
      </c>
      <c r="AP140" s="39">
        <f>AM140/AO140</f>
        <v>0.3125</v>
      </c>
    </row>
    <row r="141" ht="21" hidden="1" customHeight="1" spans="1:42">
      <c r="A141" s="59" t="s">
        <v>708</v>
      </c>
      <c r="B141" s="91" t="s">
        <v>16</v>
      </c>
      <c r="C141" s="88" t="s">
        <v>238</v>
      </c>
      <c r="D141" s="62"/>
      <c r="E141" s="62"/>
      <c r="F141" s="62" t="s">
        <v>13</v>
      </c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 t="s">
        <v>11</v>
      </c>
      <c r="R141" s="62"/>
      <c r="S141" s="62"/>
      <c r="T141" s="62"/>
      <c r="U141" s="62" t="s">
        <v>13</v>
      </c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38">
        <f t="shared" si="23"/>
        <v>1</v>
      </c>
      <c r="AJ141" s="38">
        <f t="shared" si="24"/>
        <v>0</v>
      </c>
      <c r="AK141" s="38">
        <f t="shared" si="25"/>
        <v>2</v>
      </c>
      <c r="AL141" s="36">
        <f t="shared" si="26"/>
        <v>0</v>
      </c>
      <c r="AM141" s="38">
        <f>SUM(AH141:AL141)</f>
        <v>3</v>
      </c>
      <c r="AN141" s="66" t="s">
        <v>759</v>
      </c>
      <c r="AO141" s="38"/>
      <c r="AP141" s="39"/>
    </row>
    <row r="142" ht="21" hidden="1" customHeight="1" spans="1:42">
      <c r="A142" s="59" t="s">
        <v>525</v>
      </c>
      <c r="B142" s="59" t="s">
        <v>211</v>
      </c>
      <c r="C142" s="89" t="s">
        <v>178</v>
      </c>
      <c r="D142" s="62" t="s">
        <v>11</v>
      </c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36">
        <f t="shared" si="23"/>
        <v>1</v>
      </c>
      <c r="AJ142" s="36">
        <f t="shared" si="24"/>
        <v>0</v>
      </c>
      <c r="AK142" s="36">
        <f t="shared" si="25"/>
        <v>0</v>
      </c>
      <c r="AL142" s="36">
        <f t="shared" si="26"/>
        <v>0</v>
      </c>
      <c r="AM142" s="38">
        <f>SUM(AH142:AK142)</f>
        <v>1</v>
      </c>
      <c r="AN142" s="38"/>
      <c r="AO142" s="38"/>
      <c r="AP142" s="39"/>
    </row>
    <row r="143" ht="19" hidden="1" customHeight="1" spans="1:42">
      <c r="A143" s="76" t="s">
        <v>529</v>
      </c>
      <c r="B143" s="76" t="s">
        <v>165</v>
      </c>
      <c r="C143" s="76" t="s">
        <v>178</v>
      </c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 t="s">
        <v>11</v>
      </c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36">
        <f t="shared" si="23"/>
        <v>1</v>
      </c>
      <c r="AJ143" s="36">
        <f t="shared" si="24"/>
        <v>0</v>
      </c>
      <c r="AK143" s="36">
        <f t="shared" si="25"/>
        <v>0</v>
      </c>
      <c r="AL143" s="36">
        <f t="shared" si="26"/>
        <v>0</v>
      </c>
      <c r="AM143" s="38">
        <f>SUM(AH143:AK143)</f>
        <v>1</v>
      </c>
      <c r="AN143" s="38" t="s">
        <v>749</v>
      </c>
      <c r="AO143" s="38"/>
      <c r="AP143" s="39"/>
    </row>
    <row r="144" ht="21" hidden="1" customHeight="1" spans="1:42">
      <c r="A144" s="76" t="s">
        <v>530</v>
      </c>
      <c r="B144" s="76" t="s">
        <v>165</v>
      </c>
      <c r="C144" s="76" t="s">
        <v>178</v>
      </c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36">
        <f t="shared" si="23"/>
        <v>0</v>
      </c>
      <c r="AJ144" s="36">
        <f t="shared" si="24"/>
        <v>0</v>
      </c>
      <c r="AK144" s="36">
        <f t="shared" si="25"/>
        <v>0</v>
      </c>
      <c r="AL144" s="36">
        <f t="shared" si="26"/>
        <v>0</v>
      </c>
      <c r="AM144" s="38">
        <f>SUM(AH144:AK144)</f>
        <v>0</v>
      </c>
      <c r="AN144" s="74" t="s">
        <v>440</v>
      </c>
      <c r="AO144" s="38"/>
      <c r="AP144" s="39"/>
    </row>
    <row r="145" ht="21" hidden="1" customHeight="1" spans="1:42">
      <c r="A145" s="59" t="s">
        <v>531</v>
      </c>
      <c r="B145" s="59" t="s">
        <v>16</v>
      </c>
      <c r="C145" s="59" t="s">
        <v>178</v>
      </c>
      <c r="D145" s="62"/>
      <c r="E145" s="62"/>
      <c r="F145" s="62"/>
      <c r="G145" s="62"/>
      <c r="H145" s="62"/>
      <c r="I145" s="62"/>
      <c r="J145" s="62"/>
      <c r="K145" s="62"/>
      <c r="L145" s="62" t="s">
        <v>11</v>
      </c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36">
        <f t="shared" si="23"/>
        <v>1</v>
      </c>
      <c r="AJ145" s="36">
        <f t="shared" si="24"/>
        <v>0</v>
      </c>
      <c r="AK145" s="36">
        <f t="shared" si="25"/>
        <v>0</v>
      </c>
      <c r="AL145" s="36">
        <f t="shared" si="26"/>
        <v>0</v>
      </c>
      <c r="AM145" s="38">
        <f>SUM(AH145:AL145)</f>
        <v>1</v>
      </c>
      <c r="AN145" s="71" t="s">
        <v>752</v>
      </c>
      <c r="AO145" s="38"/>
      <c r="AP145" s="39"/>
    </row>
    <row r="146" ht="21" hidden="1" customHeight="1" spans="1:42">
      <c r="A146" s="63" t="s">
        <v>533</v>
      </c>
      <c r="B146" s="63" t="s">
        <v>534</v>
      </c>
      <c r="C146" s="63" t="s">
        <v>178</v>
      </c>
      <c r="D146" s="62"/>
      <c r="E146" s="62"/>
      <c r="F146" s="62"/>
      <c r="G146" s="62"/>
      <c r="H146" s="62" t="s">
        <v>12</v>
      </c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 t="s">
        <v>11</v>
      </c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36">
        <f t="shared" si="23"/>
        <v>1</v>
      </c>
      <c r="AJ146" s="36">
        <f t="shared" si="24"/>
        <v>1</v>
      </c>
      <c r="AK146" s="36">
        <f t="shared" si="25"/>
        <v>0</v>
      </c>
      <c r="AL146" s="36">
        <f t="shared" si="26"/>
        <v>0</v>
      </c>
      <c r="AM146" s="38">
        <f t="shared" ref="AM146:AM154" si="28">SUM(AH146:AK146)</f>
        <v>2</v>
      </c>
      <c r="AN146" s="38"/>
      <c r="AO146" s="38"/>
      <c r="AP146" s="39"/>
    </row>
    <row r="147" ht="21" hidden="1" customHeight="1" spans="1:42">
      <c r="A147" s="63" t="s">
        <v>535</v>
      </c>
      <c r="B147" s="85" t="s">
        <v>16</v>
      </c>
      <c r="C147" s="90" t="s">
        <v>178</v>
      </c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 t="s">
        <v>12</v>
      </c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36">
        <f t="shared" si="23"/>
        <v>0</v>
      </c>
      <c r="AJ147" s="36">
        <f t="shared" si="24"/>
        <v>1</v>
      </c>
      <c r="AK147" s="36">
        <f t="shared" si="25"/>
        <v>0</v>
      </c>
      <c r="AL147" s="36">
        <f t="shared" si="26"/>
        <v>0</v>
      </c>
      <c r="AM147" s="38">
        <f t="shared" si="28"/>
        <v>1</v>
      </c>
      <c r="AN147" s="66" t="s">
        <v>441</v>
      </c>
      <c r="AO147" s="38"/>
      <c r="AP147" s="39"/>
    </row>
    <row r="148" ht="21" hidden="1" customHeight="1" spans="1:42">
      <c r="A148" s="63" t="s">
        <v>536</v>
      </c>
      <c r="B148" s="60" t="s">
        <v>16</v>
      </c>
      <c r="C148" s="88" t="s">
        <v>180</v>
      </c>
      <c r="D148" s="62"/>
      <c r="E148" s="62"/>
      <c r="F148" s="62"/>
      <c r="G148" s="62"/>
      <c r="H148" s="62" t="s">
        <v>11</v>
      </c>
      <c r="I148" s="62"/>
      <c r="J148" s="62"/>
      <c r="K148" s="62"/>
      <c r="L148" s="62"/>
      <c r="M148" s="62" t="s">
        <v>11</v>
      </c>
      <c r="N148" s="62"/>
      <c r="O148" s="62"/>
      <c r="P148" s="62" t="s">
        <v>11</v>
      </c>
      <c r="Q148" s="62"/>
      <c r="R148" s="62"/>
      <c r="S148" s="62"/>
      <c r="T148" s="62"/>
      <c r="U148" s="62" t="s">
        <v>11</v>
      </c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38">
        <f t="shared" si="23"/>
        <v>4</v>
      </c>
      <c r="AJ148" s="38">
        <f t="shared" si="24"/>
        <v>0</v>
      </c>
      <c r="AK148" s="38">
        <f t="shared" si="25"/>
        <v>0</v>
      </c>
      <c r="AL148" s="36">
        <f t="shared" si="26"/>
        <v>0</v>
      </c>
      <c r="AM148" s="38">
        <f t="shared" si="28"/>
        <v>4</v>
      </c>
      <c r="AN148" s="79" t="s">
        <v>749</v>
      </c>
      <c r="AO148" s="38"/>
      <c r="AP148" s="39"/>
    </row>
    <row r="149" ht="21" customHeight="1" spans="1:42">
      <c r="A149" s="63" t="s">
        <v>537</v>
      </c>
      <c r="B149" s="63" t="s">
        <v>16</v>
      </c>
      <c r="C149" s="95" t="s">
        <v>178</v>
      </c>
      <c r="D149" s="62"/>
      <c r="E149" s="62"/>
      <c r="F149" s="62"/>
      <c r="G149" s="62"/>
      <c r="H149" s="62"/>
      <c r="I149" s="62"/>
      <c r="J149" s="62" t="s">
        <v>11</v>
      </c>
      <c r="K149" s="62"/>
      <c r="L149" s="62"/>
      <c r="M149" s="62"/>
      <c r="N149" s="62"/>
      <c r="O149" s="62"/>
      <c r="P149" s="62"/>
      <c r="Q149" s="62"/>
      <c r="R149" s="62" t="s">
        <v>13</v>
      </c>
      <c r="S149" s="62"/>
      <c r="T149" s="62"/>
      <c r="U149" s="62"/>
      <c r="V149" s="62"/>
      <c r="W149" s="62" t="s">
        <v>12</v>
      </c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36">
        <f t="shared" si="23"/>
        <v>1</v>
      </c>
      <c r="AJ149" s="36">
        <f t="shared" si="24"/>
        <v>1</v>
      </c>
      <c r="AK149" s="36">
        <f t="shared" si="25"/>
        <v>1</v>
      </c>
      <c r="AL149" s="36">
        <f t="shared" si="26"/>
        <v>0</v>
      </c>
      <c r="AM149" s="38">
        <f t="shared" si="28"/>
        <v>3</v>
      </c>
      <c r="AN149" s="66" t="s">
        <v>760</v>
      </c>
      <c r="AO149" s="38"/>
      <c r="AP149" s="39"/>
    </row>
    <row r="150" ht="21" hidden="1" customHeight="1" spans="1:42">
      <c r="A150" s="63" t="s">
        <v>538</v>
      </c>
      <c r="B150" s="85" t="s">
        <v>16</v>
      </c>
      <c r="C150" s="63" t="s">
        <v>178</v>
      </c>
      <c r="D150" s="62"/>
      <c r="E150" s="62"/>
      <c r="F150" s="62"/>
      <c r="G150" s="62"/>
      <c r="H150" s="62" t="s">
        <v>11</v>
      </c>
      <c r="I150" s="62"/>
      <c r="J150" s="62"/>
      <c r="K150" s="62"/>
      <c r="L150" s="62"/>
      <c r="M150" s="62"/>
      <c r="N150" s="62"/>
      <c r="O150" s="62"/>
      <c r="P150" s="62"/>
      <c r="Q150" s="62" t="s">
        <v>11</v>
      </c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36">
        <f t="shared" si="23"/>
        <v>2</v>
      </c>
      <c r="AJ150" s="36">
        <f t="shared" si="24"/>
        <v>0</v>
      </c>
      <c r="AK150" s="36">
        <f t="shared" si="25"/>
        <v>0</v>
      </c>
      <c r="AL150" s="36">
        <f t="shared" si="26"/>
        <v>0</v>
      </c>
      <c r="AM150" s="38">
        <f t="shared" si="28"/>
        <v>2</v>
      </c>
      <c r="AN150" s="38" t="s">
        <v>282</v>
      </c>
      <c r="AO150" s="38"/>
      <c r="AP150" s="39"/>
    </row>
    <row r="151" ht="21" hidden="1" customHeight="1" spans="1:42">
      <c r="A151" s="63" t="s">
        <v>539</v>
      </c>
      <c r="B151" s="85" t="s">
        <v>16</v>
      </c>
      <c r="C151" s="63" t="s">
        <v>178</v>
      </c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 t="s">
        <v>11</v>
      </c>
      <c r="P151" s="62"/>
      <c r="Q151" s="62"/>
      <c r="R151" s="62"/>
      <c r="S151" s="62"/>
      <c r="T151" s="62" t="s">
        <v>11</v>
      </c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36">
        <f t="shared" si="23"/>
        <v>2</v>
      </c>
      <c r="AJ151" s="36">
        <f t="shared" si="24"/>
        <v>0</v>
      </c>
      <c r="AK151" s="36">
        <f t="shared" si="25"/>
        <v>0</v>
      </c>
      <c r="AL151" s="36">
        <f t="shared" si="26"/>
        <v>0</v>
      </c>
      <c r="AM151" s="38">
        <f t="shared" si="28"/>
        <v>2</v>
      </c>
      <c r="AN151" s="79" t="s">
        <v>749</v>
      </c>
      <c r="AO151" s="38"/>
      <c r="AP151" s="39"/>
    </row>
    <row r="152" ht="21" hidden="1" customHeight="1" spans="1:42">
      <c r="A152" s="63" t="s">
        <v>540</v>
      </c>
      <c r="B152" s="85" t="s">
        <v>16</v>
      </c>
      <c r="C152" s="63" t="s">
        <v>178</v>
      </c>
      <c r="D152" s="62"/>
      <c r="E152" s="62"/>
      <c r="F152" s="62"/>
      <c r="G152" s="62"/>
      <c r="H152" s="62" t="s">
        <v>557</v>
      </c>
      <c r="I152" s="62" t="s">
        <v>11</v>
      </c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36">
        <f t="shared" si="23"/>
        <v>1</v>
      </c>
      <c r="AJ152" s="36">
        <f t="shared" si="24"/>
        <v>0</v>
      </c>
      <c r="AK152" s="36">
        <f t="shared" si="25"/>
        <v>0</v>
      </c>
      <c r="AL152" s="36">
        <f t="shared" si="26"/>
        <v>1</v>
      </c>
      <c r="AM152" s="38">
        <f t="shared" si="28"/>
        <v>1</v>
      </c>
      <c r="AN152" s="52" t="s">
        <v>171</v>
      </c>
      <c r="AO152" s="38"/>
      <c r="AP152" s="39"/>
    </row>
    <row r="153" ht="21" hidden="1" customHeight="1" spans="1:42">
      <c r="A153" s="63" t="s">
        <v>542</v>
      </c>
      <c r="B153" s="85" t="s">
        <v>165</v>
      </c>
      <c r="C153" s="63" t="s">
        <v>178</v>
      </c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 t="s">
        <v>11</v>
      </c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36">
        <f t="shared" si="23"/>
        <v>1</v>
      </c>
      <c r="AJ153" s="36">
        <f t="shared" si="24"/>
        <v>0</v>
      </c>
      <c r="AK153" s="36">
        <f t="shared" si="25"/>
        <v>0</v>
      </c>
      <c r="AL153" s="36">
        <f t="shared" si="26"/>
        <v>0</v>
      </c>
      <c r="AM153" s="38">
        <f t="shared" si="28"/>
        <v>1</v>
      </c>
      <c r="AN153" s="66" t="s">
        <v>749</v>
      </c>
      <c r="AO153" s="38"/>
      <c r="AP153" s="39"/>
    </row>
    <row r="154" ht="21" hidden="1" customHeight="1" spans="1:42">
      <c r="A154" s="63" t="s">
        <v>543</v>
      </c>
      <c r="B154" s="85" t="s">
        <v>16</v>
      </c>
      <c r="C154" s="63" t="s">
        <v>178</v>
      </c>
      <c r="D154" s="62"/>
      <c r="E154" s="62"/>
      <c r="F154" s="62"/>
      <c r="G154" s="62" t="s">
        <v>557</v>
      </c>
      <c r="H154" s="62"/>
      <c r="I154" s="62"/>
      <c r="J154" s="62" t="s">
        <v>11</v>
      </c>
      <c r="K154" s="62"/>
      <c r="L154" s="62"/>
      <c r="M154" s="62"/>
      <c r="N154" s="62"/>
      <c r="O154" s="62"/>
      <c r="P154" s="62"/>
      <c r="Q154" s="62"/>
      <c r="R154" s="62" t="s">
        <v>11</v>
      </c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36">
        <f t="shared" si="23"/>
        <v>2</v>
      </c>
      <c r="AJ154" s="36">
        <f t="shared" si="24"/>
        <v>0</v>
      </c>
      <c r="AK154" s="36">
        <f t="shared" si="25"/>
        <v>0</v>
      </c>
      <c r="AL154" s="36">
        <f t="shared" si="26"/>
        <v>1</v>
      </c>
      <c r="AM154" s="38">
        <f t="shared" si="28"/>
        <v>2</v>
      </c>
      <c r="AN154" s="66" t="s">
        <v>758</v>
      </c>
      <c r="AO154" s="96"/>
      <c r="AP154" s="39"/>
    </row>
    <row r="155" ht="21" hidden="1" customHeight="1" spans="1:42">
      <c r="A155" s="63" t="s">
        <v>544</v>
      </c>
      <c r="B155" s="85" t="s">
        <v>16</v>
      </c>
      <c r="C155" s="63" t="s">
        <v>178</v>
      </c>
      <c r="D155" s="62"/>
      <c r="E155" s="62"/>
      <c r="F155" s="62"/>
      <c r="G155" s="62"/>
      <c r="H155" s="62"/>
      <c r="I155" s="62"/>
      <c r="J155" s="62"/>
      <c r="K155" s="62"/>
      <c r="L155" s="62" t="s">
        <v>557</v>
      </c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36">
        <f t="shared" si="23"/>
        <v>0</v>
      </c>
      <c r="AJ155" s="36">
        <f t="shared" si="24"/>
        <v>0</v>
      </c>
      <c r="AK155" s="36">
        <f t="shared" si="25"/>
        <v>0</v>
      </c>
      <c r="AL155" s="36">
        <f t="shared" si="26"/>
        <v>1</v>
      </c>
      <c r="AM155" s="38">
        <f>SUM(AH155:AL155)</f>
        <v>1</v>
      </c>
      <c r="AN155" s="82" t="s">
        <v>754</v>
      </c>
      <c r="AO155" s="96"/>
      <c r="AP155" s="39"/>
    </row>
    <row r="156" ht="21" hidden="1" customHeight="1" spans="1:42">
      <c r="A156" s="63" t="s">
        <v>547</v>
      </c>
      <c r="B156" s="85" t="s">
        <v>16</v>
      </c>
      <c r="C156" s="63" t="s">
        <v>178</v>
      </c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36">
        <f t="shared" ref="AI156:AI174" si="29">COUNTIF(B156:AF156,"S")</f>
        <v>0</v>
      </c>
      <c r="AJ156" s="36">
        <f t="shared" ref="AJ156:AJ174" si="30">COUNTIF(B156:AF156,"I")</f>
        <v>0</v>
      </c>
      <c r="AK156" s="36">
        <f t="shared" ref="AK156:AK174" si="31">COUNTIF(B156:AF156,"A")</f>
        <v>0</v>
      </c>
      <c r="AL156" s="36">
        <f t="shared" ref="AL156:AL174" si="32">COUNTIF(B156:AF156,"PA")</f>
        <v>0</v>
      </c>
      <c r="AM156" s="83">
        <f t="shared" ref="AM156:AM180" si="33">SUM(AH156:AK156)</f>
        <v>0</v>
      </c>
      <c r="AN156" s="66" t="s">
        <v>336</v>
      </c>
      <c r="AO156" s="38">
        <v>26</v>
      </c>
      <c r="AP156" s="39">
        <f>AM156/AO156</f>
        <v>0</v>
      </c>
    </row>
    <row r="157" ht="21" hidden="1" customHeight="1" spans="1:42">
      <c r="A157" s="63" t="s">
        <v>548</v>
      </c>
      <c r="B157" s="85" t="s">
        <v>534</v>
      </c>
      <c r="C157" s="63" t="s">
        <v>178</v>
      </c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36">
        <f t="shared" si="29"/>
        <v>0</v>
      </c>
      <c r="AJ157" s="36">
        <f t="shared" si="30"/>
        <v>0</v>
      </c>
      <c r="AK157" s="36">
        <f t="shared" si="31"/>
        <v>0</v>
      </c>
      <c r="AL157" s="36">
        <f t="shared" si="32"/>
        <v>0</v>
      </c>
      <c r="AM157" s="67">
        <f t="shared" si="33"/>
        <v>0</v>
      </c>
      <c r="AN157" s="67" t="s">
        <v>305</v>
      </c>
      <c r="AO157" s="97"/>
      <c r="AP157" s="97"/>
    </row>
    <row r="158" ht="21" hidden="1" customHeight="1" spans="1:42">
      <c r="A158" s="63" t="s">
        <v>549</v>
      </c>
      <c r="B158" s="85" t="s">
        <v>16</v>
      </c>
      <c r="C158" s="90" t="s">
        <v>178</v>
      </c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36">
        <f t="shared" si="29"/>
        <v>0</v>
      </c>
      <c r="AJ158" s="36">
        <f t="shared" si="30"/>
        <v>0</v>
      </c>
      <c r="AK158" s="36">
        <f t="shared" si="31"/>
        <v>0</v>
      </c>
      <c r="AL158" s="36">
        <f t="shared" si="32"/>
        <v>0</v>
      </c>
      <c r="AM158" s="98">
        <f t="shared" si="33"/>
        <v>0</v>
      </c>
      <c r="AN158" s="66" t="s">
        <v>193</v>
      </c>
      <c r="AO158" s="99"/>
      <c r="AP158" s="99"/>
    </row>
    <row r="159" ht="21" hidden="1" customHeight="1" spans="1:42">
      <c r="A159" s="63" t="s">
        <v>551</v>
      </c>
      <c r="B159" s="100" t="s">
        <v>165</v>
      </c>
      <c r="C159" s="88" t="s">
        <v>180</v>
      </c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 t="s">
        <v>11</v>
      </c>
      <c r="U159" s="62"/>
      <c r="V159" s="62" t="s">
        <v>11</v>
      </c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36">
        <f t="shared" si="29"/>
        <v>2</v>
      </c>
      <c r="AJ159" s="36">
        <f t="shared" si="30"/>
        <v>0</v>
      </c>
      <c r="AK159" s="36">
        <f t="shared" si="31"/>
        <v>0</v>
      </c>
      <c r="AL159" s="36">
        <f t="shared" si="32"/>
        <v>0</v>
      </c>
      <c r="AM159" s="66">
        <f t="shared" si="33"/>
        <v>2</v>
      </c>
      <c r="AN159" s="38" t="s">
        <v>749</v>
      </c>
      <c r="AO159" s="101"/>
      <c r="AP159" s="102"/>
    </row>
    <row r="160" ht="21" hidden="1" customHeight="1" spans="1:42">
      <c r="A160" s="63" t="s">
        <v>552</v>
      </c>
      <c r="B160" s="85" t="s">
        <v>16</v>
      </c>
      <c r="C160" s="95" t="s">
        <v>178</v>
      </c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36">
        <f t="shared" si="29"/>
        <v>0</v>
      </c>
      <c r="AJ160" s="36">
        <f t="shared" si="30"/>
        <v>0</v>
      </c>
      <c r="AK160" s="36">
        <f t="shared" si="31"/>
        <v>0</v>
      </c>
      <c r="AL160" s="36">
        <f t="shared" si="32"/>
        <v>0</v>
      </c>
      <c r="AM160" s="103">
        <f t="shared" si="33"/>
        <v>0</v>
      </c>
      <c r="AN160" s="66" t="s">
        <v>193</v>
      </c>
      <c r="AO160" s="101"/>
      <c r="AP160" s="102"/>
    </row>
    <row r="161" ht="21" hidden="1" customHeight="1" spans="1:42">
      <c r="A161" s="63" t="s">
        <v>553</v>
      </c>
      <c r="B161" s="85" t="s">
        <v>16</v>
      </c>
      <c r="C161" s="63" t="s">
        <v>178</v>
      </c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36">
        <f t="shared" si="29"/>
        <v>0</v>
      </c>
      <c r="AJ161" s="36">
        <f t="shared" si="30"/>
        <v>0</v>
      </c>
      <c r="AK161" s="36">
        <f t="shared" si="31"/>
        <v>0</v>
      </c>
      <c r="AL161" s="36">
        <f t="shared" si="32"/>
        <v>0</v>
      </c>
      <c r="AM161" s="83">
        <f t="shared" si="33"/>
        <v>0</v>
      </c>
      <c r="AN161" s="38" t="s">
        <v>299</v>
      </c>
      <c r="AO161" s="38"/>
      <c r="AP161" s="104"/>
    </row>
    <row r="162" ht="21" hidden="1" customHeight="1" spans="1:42">
      <c r="A162" s="63" t="s">
        <v>554</v>
      </c>
      <c r="B162" s="85" t="s">
        <v>16</v>
      </c>
      <c r="C162" s="63" t="s">
        <v>178</v>
      </c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36">
        <f t="shared" si="29"/>
        <v>0</v>
      </c>
      <c r="AJ162" s="36">
        <f t="shared" si="30"/>
        <v>0</v>
      </c>
      <c r="AK162" s="36">
        <f t="shared" si="31"/>
        <v>0</v>
      </c>
      <c r="AL162" s="36">
        <f t="shared" si="32"/>
        <v>0</v>
      </c>
      <c r="AM162" s="83">
        <f t="shared" si="33"/>
        <v>0</v>
      </c>
      <c r="AN162" s="38" t="s">
        <v>228</v>
      </c>
      <c r="AO162" s="38"/>
      <c r="AP162" s="104"/>
    </row>
    <row r="163" ht="21" hidden="1" customHeight="1" spans="1:42">
      <c r="A163" s="63" t="s">
        <v>710</v>
      </c>
      <c r="B163" s="85" t="s">
        <v>16</v>
      </c>
      <c r="C163" s="63" t="s">
        <v>178</v>
      </c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36">
        <f t="shared" si="29"/>
        <v>0</v>
      </c>
      <c r="AJ163" s="36">
        <f t="shared" si="30"/>
        <v>0</v>
      </c>
      <c r="AK163" s="36">
        <f t="shared" si="31"/>
        <v>0</v>
      </c>
      <c r="AL163" s="36">
        <f t="shared" si="32"/>
        <v>0</v>
      </c>
      <c r="AM163" s="67">
        <f t="shared" si="33"/>
        <v>0</v>
      </c>
      <c r="AN163" s="66" t="s">
        <v>336</v>
      </c>
      <c r="AO163" s="105"/>
      <c r="AP163" s="106"/>
    </row>
    <row r="164" ht="21" hidden="1" customHeight="1" spans="1:42">
      <c r="A164" s="63" t="s">
        <v>711</v>
      </c>
      <c r="B164" s="85" t="s">
        <v>16</v>
      </c>
      <c r="C164" s="63" t="s">
        <v>178</v>
      </c>
      <c r="D164" s="62"/>
      <c r="E164" s="62"/>
      <c r="F164" s="62"/>
      <c r="G164" s="62"/>
      <c r="H164" s="62" t="s">
        <v>557</v>
      </c>
      <c r="I164" s="62"/>
      <c r="J164" s="62"/>
      <c r="K164" s="62"/>
      <c r="L164" s="62"/>
      <c r="M164" s="62" t="s">
        <v>11</v>
      </c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36">
        <f t="shared" si="29"/>
        <v>1</v>
      </c>
      <c r="AJ164" s="36">
        <f t="shared" si="30"/>
        <v>0</v>
      </c>
      <c r="AK164" s="36">
        <f t="shared" si="31"/>
        <v>0</v>
      </c>
      <c r="AL164" s="36">
        <f t="shared" si="32"/>
        <v>1</v>
      </c>
      <c r="AM164" s="66">
        <f t="shared" si="33"/>
        <v>1</v>
      </c>
      <c r="AN164" s="70" t="s">
        <v>443</v>
      </c>
      <c r="AO164" s="105"/>
      <c r="AP164" s="106"/>
    </row>
    <row r="165" ht="21" hidden="1" customHeight="1" spans="1:42">
      <c r="A165" s="63" t="s">
        <v>712</v>
      </c>
      <c r="B165" s="85" t="s">
        <v>16</v>
      </c>
      <c r="C165" s="63" t="s">
        <v>178</v>
      </c>
      <c r="D165" s="62"/>
      <c r="E165" s="62"/>
      <c r="F165" s="62"/>
      <c r="G165" s="62"/>
      <c r="H165" s="62"/>
      <c r="I165" s="62"/>
      <c r="J165" s="62" t="s">
        <v>13</v>
      </c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36">
        <f t="shared" si="29"/>
        <v>0</v>
      </c>
      <c r="AJ165" s="36">
        <f t="shared" si="30"/>
        <v>0</v>
      </c>
      <c r="AK165" s="36">
        <f t="shared" si="31"/>
        <v>1</v>
      </c>
      <c r="AL165" s="36">
        <f t="shared" si="32"/>
        <v>0</v>
      </c>
      <c r="AM165" s="66">
        <f t="shared" si="33"/>
        <v>1</v>
      </c>
      <c r="AN165" s="66" t="s">
        <v>193</v>
      </c>
      <c r="AO165" s="105"/>
      <c r="AP165" s="106"/>
    </row>
    <row r="166" ht="21" hidden="1" customHeight="1" spans="1:42">
      <c r="A166" s="63" t="s">
        <v>713</v>
      </c>
      <c r="B166" s="85" t="s">
        <v>165</v>
      </c>
      <c r="C166" s="63" t="s">
        <v>178</v>
      </c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36">
        <f t="shared" si="29"/>
        <v>0</v>
      </c>
      <c r="AJ166" s="36">
        <f t="shared" si="30"/>
        <v>0</v>
      </c>
      <c r="AK166" s="36">
        <f t="shared" si="31"/>
        <v>0</v>
      </c>
      <c r="AL166" s="36">
        <f t="shared" si="32"/>
        <v>0</v>
      </c>
      <c r="AM166" s="66">
        <f t="shared" si="33"/>
        <v>0</v>
      </c>
      <c r="AN166" s="66" t="s">
        <v>193</v>
      </c>
      <c r="AO166" s="105"/>
      <c r="AP166" s="106"/>
    </row>
    <row r="167" ht="21" hidden="1" customHeight="1" spans="1:42">
      <c r="A167" s="63" t="s">
        <v>714</v>
      </c>
      <c r="B167" s="85" t="s">
        <v>534</v>
      </c>
      <c r="C167" s="63" t="s">
        <v>178</v>
      </c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36">
        <f t="shared" si="29"/>
        <v>0</v>
      </c>
      <c r="AJ167" s="36">
        <f t="shared" si="30"/>
        <v>0</v>
      </c>
      <c r="AK167" s="36">
        <f t="shared" si="31"/>
        <v>0</v>
      </c>
      <c r="AL167" s="36">
        <f t="shared" si="32"/>
        <v>0</v>
      </c>
      <c r="AM167" s="66">
        <f t="shared" si="33"/>
        <v>0</v>
      </c>
      <c r="AN167" s="103"/>
      <c r="AO167" s="105"/>
      <c r="AP167" s="106"/>
    </row>
    <row r="168" ht="21" hidden="1" customHeight="1" spans="1:42">
      <c r="A168" s="63" t="s">
        <v>715</v>
      </c>
      <c r="B168" s="85" t="s">
        <v>16</v>
      </c>
      <c r="C168" s="90" t="s">
        <v>178</v>
      </c>
      <c r="D168" s="62"/>
      <c r="E168" s="62"/>
      <c r="F168" s="62"/>
      <c r="G168" s="62"/>
      <c r="H168" s="62" t="s">
        <v>11</v>
      </c>
      <c r="I168" s="62"/>
      <c r="J168" s="62"/>
      <c r="K168" s="62"/>
      <c r="L168" s="62"/>
      <c r="M168" s="62" t="s">
        <v>13</v>
      </c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36">
        <f t="shared" si="29"/>
        <v>1</v>
      </c>
      <c r="AJ168" s="36">
        <f t="shared" si="30"/>
        <v>0</v>
      </c>
      <c r="AK168" s="36">
        <f t="shared" si="31"/>
        <v>1</v>
      </c>
      <c r="AL168" s="36">
        <f t="shared" si="32"/>
        <v>0</v>
      </c>
      <c r="AM168" s="66">
        <f t="shared" si="33"/>
        <v>2</v>
      </c>
      <c r="AN168" s="103"/>
      <c r="AO168" s="105"/>
      <c r="AP168" s="106"/>
    </row>
    <row r="169" ht="21" customHeight="1" spans="1:42">
      <c r="A169" s="63" t="s">
        <v>716</v>
      </c>
      <c r="B169" s="100" t="s">
        <v>16</v>
      </c>
      <c r="C169" s="88" t="s">
        <v>112</v>
      </c>
      <c r="D169" s="62"/>
      <c r="E169" s="62" t="s">
        <v>11</v>
      </c>
      <c r="F169" s="62"/>
      <c r="G169" s="62"/>
      <c r="H169" s="62"/>
      <c r="I169" s="62"/>
      <c r="J169" s="62"/>
      <c r="K169" s="62"/>
      <c r="L169" s="62"/>
      <c r="M169" s="62"/>
      <c r="N169" s="62"/>
      <c r="O169" s="62" t="s">
        <v>11</v>
      </c>
      <c r="P169" s="62"/>
      <c r="Q169" s="62"/>
      <c r="R169" s="62"/>
      <c r="S169" s="62"/>
      <c r="T169" s="62"/>
      <c r="U169" s="62" t="s">
        <v>557</v>
      </c>
      <c r="V169" s="62" t="s">
        <v>11</v>
      </c>
      <c r="W169" s="62" t="s">
        <v>11</v>
      </c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38">
        <f t="shared" si="29"/>
        <v>4</v>
      </c>
      <c r="AJ169" s="38">
        <f t="shared" si="30"/>
        <v>0</v>
      </c>
      <c r="AK169" s="38">
        <f t="shared" si="31"/>
        <v>0</v>
      </c>
      <c r="AL169" s="36">
        <f t="shared" si="32"/>
        <v>1</v>
      </c>
      <c r="AM169" s="66">
        <f t="shared" si="33"/>
        <v>4</v>
      </c>
      <c r="AN169" s="38" t="s">
        <v>749</v>
      </c>
      <c r="AO169" s="105"/>
      <c r="AP169" s="106"/>
    </row>
    <row r="170" ht="21" hidden="1" customHeight="1" spans="1:42">
      <c r="A170" s="63" t="s">
        <v>717</v>
      </c>
      <c r="B170" s="85" t="s">
        <v>16</v>
      </c>
      <c r="C170" s="95" t="s">
        <v>178</v>
      </c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36">
        <f t="shared" si="29"/>
        <v>0</v>
      </c>
      <c r="AJ170" s="36">
        <f t="shared" si="30"/>
        <v>0</v>
      </c>
      <c r="AK170" s="36">
        <f t="shared" si="31"/>
        <v>0</v>
      </c>
      <c r="AL170" s="36">
        <f t="shared" si="32"/>
        <v>0</v>
      </c>
      <c r="AM170" s="66">
        <f t="shared" si="33"/>
        <v>0</v>
      </c>
      <c r="AN170" s="66" t="s">
        <v>336</v>
      </c>
      <c r="AO170" s="105"/>
      <c r="AP170" s="106"/>
    </row>
    <row r="171" ht="21" hidden="1" customHeight="1" spans="1:42">
      <c r="A171" s="63" t="s">
        <v>718</v>
      </c>
      <c r="B171" s="85" t="s">
        <v>16</v>
      </c>
      <c r="C171" s="90" t="s">
        <v>178</v>
      </c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 t="s">
        <v>11</v>
      </c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36">
        <f t="shared" si="29"/>
        <v>1</v>
      </c>
      <c r="AJ171" s="36">
        <f t="shared" si="30"/>
        <v>0</v>
      </c>
      <c r="AK171" s="36">
        <f t="shared" si="31"/>
        <v>0</v>
      </c>
      <c r="AL171" s="36">
        <f t="shared" si="32"/>
        <v>0</v>
      </c>
      <c r="AM171" s="66">
        <f t="shared" si="33"/>
        <v>1</v>
      </c>
      <c r="AN171" s="66" t="s">
        <v>382</v>
      </c>
      <c r="AO171" s="105"/>
      <c r="AP171" s="106"/>
    </row>
    <row r="172" ht="21" hidden="1" customHeight="1" spans="1:42">
      <c r="A172" s="63" t="s">
        <v>719</v>
      </c>
      <c r="B172" s="100" t="s">
        <v>16</v>
      </c>
      <c r="C172" s="88" t="s">
        <v>112</v>
      </c>
      <c r="D172" s="62"/>
      <c r="E172" s="62"/>
      <c r="F172" s="62"/>
      <c r="G172" s="62" t="s">
        <v>557</v>
      </c>
      <c r="H172" s="62" t="s">
        <v>11</v>
      </c>
      <c r="I172" s="62"/>
      <c r="J172" s="62"/>
      <c r="K172" s="62"/>
      <c r="L172" s="62" t="s">
        <v>557</v>
      </c>
      <c r="M172" s="62"/>
      <c r="N172" s="62"/>
      <c r="O172" s="62"/>
      <c r="P172" s="62"/>
      <c r="Q172" s="62"/>
      <c r="R172" s="62"/>
      <c r="S172" s="62"/>
      <c r="T172" s="62"/>
      <c r="U172" s="62" t="s">
        <v>11</v>
      </c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38">
        <f t="shared" si="29"/>
        <v>2</v>
      </c>
      <c r="AJ172" s="38">
        <f t="shared" si="30"/>
        <v>0</v>
      </c>
      <c r="AK172" s="38">
        <f t="shared" si="31"/>
        <v>0</v>
      </c>
      <c r="AL172" s="36">
        <f t="shared" si="32"/>
        <v>2</v>
      </c>
      <c r="AM172" s="38">
        <f>SUM(AH172:AL172)</f>
        <v>4</v>
      </c>
      <c r="AN172" s="79" t="s">
        <v>749</v>
      </c>
      <c r="AO172" s="105"/>
      <c r="AP172" s="106"/>
    </row>
    <row r="173" ht="21" hidden="1" customHeight="1" spans="1:42">
      <c r="A173" s="63" t="s">
        <v>720</v>
      </c>
      <c r="B173" s="85" t="s">
        <v>534</v>
      </c>
      <c r="C173" s="95" t="s">
        <v>178</v>
      </c>
      <c r="D173" s="62" t="s">
        <v>11</v>
      </c>
      <c r="E173" s="62"/>
      <c r="F173" s="62"/>
      <c r="G173" s="62"/>
      <c r="H173" s="62"/>
      <c r="I173" s="62"/>
      <c r="J173" s="62"/>
      <c r="K173" s="62"/>
      <c r="L173" s="62"/>
      <c r="M173" s="62" t="s">
        <v>12</v>
      </c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36">
        <f t="shared" si="29"/>
        <v>1</v>
      </c>
      <c r="AJ173" s="36">
        <f t="shared" si="30"/>
        <v>1</v>
      </c>
      <c r="AK173" s="36">
        <f t="shared" si="31"/>
        <v>0</v>
      </c>
      <c r="AL173" s="36">
        <f t="shared" si="32"/>
        <v>0</v>
      </c>
      <c r="AM173" s="38">
        <f t="shared" si="33"/>
        <v>2</v>
      </c>
      <c r="AN173" s="66" t="s">
        <v>336</v>
      </c>
      <c r="AO173" s="105"/>
      <c r="AP173" s="106"/>
    </row>
    <row r="174" ht="21" hidden="1" customHeight="1" spans="1:42">
      <c r="A174" s="63" t="s">
        <v>721</v>
      </c>
      <c r="B174" s="85" t="s">
        <v>534</v>
      </c>
      <c r="C174" s="63" t="s">
        <v>178</v>
      </c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36">
        <f t="shared" si="29"/>
        <v>0</v>
      </c>
      <c r="AJ174" s="36">
        <f t="shared" si="30"/>
        <v>0</v>
      </c>
      <c r="AK174" s="36">
        <f t="shared" si="31"/>
        <v>0</v>
      </c>
      <c r="AL174" s="36">
        <f t="shared" si="32"/>
        <v>0</v>
      </c>
      <c r="AM174" s="38">
        <f t="shared" si="33"/>
        <v>0</v>
      </c>
      <c r="AN174" s="66" t="s">
        <v>193</v>
      </c>
      <c r="AO174" s="105"/>
      <c r="AP174" s="106"/>
    </row>
    <row r="175" ht="21" hidden="1" customHeight="1" spans="1:42">
      <c r="A175" s="63" t="s">
        <v>722</v>
      </c>
      <c r="B175" s="85" t="s">
        <v>534</v>
      </c>
      <c r="C175" s="63" t="s">
        <v>178</v>
      </c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36">
        <f t="shared" ref="AI175:AI195" si="34">COUNTIF(B175:AF175,"S")</f>
        <v>0</v>
      </c>
      <c r="AJ175" s="36">
        <f t="shared" ref="AJ175:AJ195" si="35">COUNTIF(B175:AF175,"I")</f>
        <v>0</v>
      </c>
      <c r="AK175" s="36">
        <f t="shared" ref="AK175:AK195" si="36">COUNTIF(B175:AF175,"A")</f>
        <v>0</v>
      </c>
      <c r="AL175" s="36">
        <f t="shared" ref="AL175:AL195" si="37">COUNTIF(B175:AF175,"PA")</f>
        <v>0</v>
      </c>
      <c r="AM175" s="38">
        <f t="shared" si="33"/>
        <v>0</v>
      </c>
      <c r="AN175" s="66" t="s">
        <v>193</v>
      </c>
      <c r="AO175" s="105"/>
      <c r="AP175" s="106"/>
    </row>
    <row r="176" ht="21" hidden="1" customHeight="1" spans="1:42">
      <c r="A176" s="63" t="s">
        <v>723</v>
      </c>
      <c r="B176" s="85" t="s">
        <v>211</v>
      </c>
      <c r="C176" s="63" t="s">
        <v>178</v>
      </c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36">
        <f t="shared" si="34"/>
        <v>0</v>
      </c>
      <c r="AJ176" s="36">
        <f t="shared" si="35"/>
        <v>0</v>
      </c>
      <c r="AK176" s="36">
        <f t="shared" si="36"/>
        <v>0</v>
      </c>
      <c r="AL176" s="36">
        <f t="shared" si="37"/>
        <v>0</v>
      </c>
      <c r="AM176" s="38">
        <f t="shared" si="33"/>
        <v>0</v>
      </c>
      <c r="AN176" s="66" t="s">
        <v>400</v>
      </c>
      <c r="AO176" s="105"/>
      <c r="AP176" s="106"/>
    </row>
    <row r="177" ht="21" hidden="1" customHeight="1" spans="1:42">
      <c r="A177" s="63" t="s">
        <v>724</v>
      </c>
      <c r="B177" s="85" t="s">
        <v>16</v>
      </c>
      <c r="C177" s="63" t="s">
        <v>178</v>
      </c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36">
        <f t="shared" si="34"/>
        <v>0</v>
      </c>
      <c r="AJ177" s="36">
        <f t="shared" si="35"/>
        <v>0</v>
      </c>
      <c r="AK177" s="36">
        <f t="shared" si="36"/>
        <v>0</v>
      </c>
      <c r="AL177" s="36">
        <f t="shared" si="37"/>
        <v>0</v>
      </c>
      <c r="AM177" s="67">
        <f t="shared" si="33"/>
        <v>0</v>
      </c>
      <c r="AN177" s="103"/>
      <c r="AO177" s="105"/>
      <c r="AP177" s="106"/>
    </row>
    <row r="178" ht="21" hidden="1" customHeight="1" spans="1:42">
      <c r="A178" s="107" t="s">
        <v>727</v>
      </c>
      <c r="B178" s="108" t="s">
        <v>728</v>
      </c>
      <c r="C178" s="109" t="s">
        <v>178</v>
      </c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 t="s">
        <v>11</v>
      </c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36">
        <f t="shared" si="34"/>
        <v>1</v>
      </c>
      <c r="AJ178" s="36">
        <f t="shared" si="35"/>
        <v>0</v>
      </c>
      <c r="AK178" s="36">
        <f t="shared" si="36"/>
        <v>0</v>
      </c>
      <c r="AL178" s="36">
        <f t="shared" si="37"/>
        <v>0</v>
      </c>
      <c r="AM178" s="66">
        <f t="shared" si="33"/>
        <v>1</v>
      </c>
      <c r="AN178" s="66" t="s">
        <v>382</v>
      </c>
      <c r="AO178" s="105"/>
      <c r="AP178" s="106"/>
    </row>
    <row r="179" ht="21" hidden="1" customHeight="1" spans="1:42">
      <c r="A179" s="63" t="s">
        <v>729</v>
      </c>
      <c r="B179" s="85" t="s">
        <v>728</v>
      </c>
      <c r="C179" s="110" t="s">
        <v>178</v>
      </c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36">
        <f t="shared" si="34"/>
        <v>0</v>
      </c>
      <c r="AJ179" s="36">
        <f t="shared" si="35"/>
        <v>0</v>
      </c>
      <c r="AK179" s="36">
        <f t="shared" si="36"/>
        <v>0</v>
      </c>
      <c r="AL179" s="36">
        <f t="shared" si="37"/>
        <v>0</v>
      </c>
      <c r="AM179" s="66">
        <f t="shared" si="33"/>
        <v>0</v>
      </c>
      <c r="AN179" s="66" t="s">
        <v>193</v>
      </c>
      <c r="AO179" s="105"/>
      <c r="AP179" s="106"/>
    </row>
    <row r="180" ht="21" hidden="1" customHeight="1" spans="1:42">
      <c r="A180" s="63" t="s">
        <v>730</v>
      </c>
      <c r="B180" s="85" t="s">
        <v>728</v>
      </c>
      <c r="C180" s="110" t="s">
        <v>178</v>
      </c>
      <c r="D180" s="62"/>
      <c r="E180" s="62"/>
      <c r="F180" s="62"/>
      <c r="G180" s="62"/>
      <c r="H180" s="62"/>
      <c r="I180" s="62"/>
      <c r="J180" s="62"/>
      <c r="K180" s="62" t="s">
        <v>557</v>
      </c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36">
        <f t="shared" si="34"/>
        <v>0</v>
      </c>
      <c r="AJ180" s="36">
        <f t="shared" si="35"/>
        <v>0</v>
      </c>
      <c r="AK180" s="36">
        <f t="shared" si="36"/>
        <v>0</v>
      </c>
      <c r="AL180" s="36">
        <f t="shared" si="37"/>
        <v>1</v>
      </c>
      <c r="AM180" s="38">
        <f t="shared" si="33"/>
        <v>0</v>
      </c>
      <c r="AN180" s="111" t="s">
        <v>761</v>
      </c>
      <c r="AO180" s="38">
        <v>26</v>
      </c>
      <c r="AP180" s="39">
        <f>AM180/AO180</f>
        <v>0</v>
      </c>
    </row>
    <row r="181" ht="21" hidden="1" customHeight="1" spans="1:42">
      <c r="A181" s="63" t="s">
        <v>731</v>
      </c>
      <c r="B181" s="63" t="s">
        <v>333</v>
      </c>
      <c r="C181" s="110" t="s">
        <v>178</v>
      </c>
      <c r="D181" s="62"/>
      <c r="E181" s="62"/>
      <c r="F181" s="62"/>
      <c r="G181" s="62"/>
      <c r="H181" s="62"/>
      <c r="I181" s="62" t="s">
        <v>11</v>
      </c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36">
        <f t="shared" si="34"/>
        <v>1</v>
      </c>
      <c r="AJ181" s="36">
        <f t="shared" si="35"/>
        <v>0</v>
      </c>
      <c r="AK181" s="36">
        <f t="shared" si="36"/>
        <v>0</v>
      </c>
      <c r="AL181" s="36">
        <f t="shared" si="37"/>
        <v>0</v>
      </c>
      <c r="AM181" s="112">
        <f t="shared" ref="AM181:AM195" si="38">SUM(AH181:AK181)</f>
        <v>1</v>
      </c>
      <c r="AN181" s="66" t="s">
        <v>193</v>
      </c>
      <c r="AO181" s="113"/>
      <c r="AP181" s="114"/>
    </row>
    <row r="182" ht="21" hidden="1" customHeight="1" spans="1:42">
      <c r="A182" s="63" t="s">
        <v>732</v>
      </c>
      <c r="B182" s="63" t="s">
        <v>733</v>
      </c>
      <c r="C182" s="110" t="s">
        <v>178</v>
      </c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36">
        <f t="shared" si="34"/>
        <v>0</v>
      </c>
      <c r="AJ182" s="36">
        <f t="shared" si="35"/>
        <v>0</v>
      </c>
      <c r="AK182" s="36">
        <f t="shared" si="36"/>
        <v>0</v>
      </c>
      <c r="AL182" s="36">
        <f t="shared" si="37"/>
        <v>0</v>
      </c>
      <c r="AM182" s="101">
        <f t="shared" si="38"/>
        <v>0</v>
      </c>
      <c r="AN182" s="101" t="s">
        <v>336</v>
      </c>
      <c r="AO182" s="105"/>
      <c r="AP182" s="106"/>
    </row>
    <row r="183" ht="21" customHeight="1" spans="1:42">
      <c r="A183" s="63" t="s">
        <v>734</v>
      </c>
      <c r="B183" s="85" t="s">
        <v>728</v>
      </c>
      <c r="C183" s="110" t="s">
        <v>178</v>
      </c>
      <c r="D183" s="62"/>
      <c r="E183" s="62"/>
      <c r="F183" s="62"/>
      <c r="G183" s="62" t="s">
        <v>11</v>
      </c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 t="s">
        <v>11</v>
      </c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36">
        <f t="shared" si="34"/>
        <v>2</v>
      </c>
      <c r="AJ183" s="36">
        <f t="shared" si="35"/>
        <v>0</v>
      </c>
      <c r="AK183" s="36">
        <f t="shared" si="36"/>
        <v>0</v>
      </c>
      <c r="AL183" s="36">
        <f t="shared" si="37"/>
        <v>0</v>
      </c>
      <c r="AM183" s="66">
        <f t="shared" si="38"/>
        <v>2</v>
      </c>
      <c r="AN183" s="66" t="s">
        <v>752</v>
      </c>
      <c r="AO183" s="66"/>
      <c r="AP183" s="115"/>
    </row>
    <row r="184" ht="21" hidden="1" customHeight="1" spans="1:42">
      <c r="A184" s="63" t="s">
        <v>735</v>
      </c>
      <c r="B184" s="85" t="s">
        <v>736</v>
      </c>
      <c r="C184" s="110" t="s">
        <v>178</v>
      </c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36">
        <f t="shared" si="34"/>
        <v>0</v>
      </c>
      <c r="AJ184" s="36">
        <f t="shared" si="35"/>
        <v>0</v>
      </c>
      <c r="AK184" s="36">
        <f t="shared" si="36"/>
        <v>0</v>
      </c>
      <c r="AL184" s="36">
        <f t="shared" si="37"/>
        <v>0</v>
      </c>
      <c r="AM184" s="103">
        <f t="shared" si="38"/>
        <v>0</v>
      </c>
      <c r="AN184" s="66" t="s">
        <v>193</v>
      </c>
      <c r="AO184" s="105"/>
      <c r="AP184" s="106"/>
    </row>
    <row r="185" ht="21" hidden="1" customHeight="1" spans="1:42">
      <c r="A185" s="63" t="s">
        <v>737</v>
      </c>
      <c r="B185" s="85" t="s">
        <v>728</v>
      </c>
      <c r="C185" s="110" t="s">
        <v>178</v>
      </c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 t="s">
        <v>11</v>
      </c>
      <c r="R185" s="62"/>
      <c r="S185" s="62"/>
      <c r="T185" s="62"/>
      <c r="U185" s="62"/>
      <c r="V185" s="62" t="s">
        <v>12</v>
      </c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36">
        <f t="shared" si="34"/>
        <v>1</v>
      </c>
      <c r="AJ185" s="36">
        <f t="shared" si="35"/>
        <v>1</v>
      </c>
      <c r="AK185" s="36">
        <f t="shared" si="36"/>
        <v>0</v>
      </c>
      <c r="AL185" s="36">
        <f t="shared" si="37"/>
        <v>0</v>
      </c>
      <c r="AM185" s="66">
        <f t="shared" si="38"/>
        <v>2</v>
      </c>
      <c r="AN185" s="66" t="s">
        <v>762</v>
      </c>
      <c r="AO185" s="66"/>
      <c r="AP185" s="115"/>
    </row>
    <row r="186" ht="21" hidden="1" customHeight="1" spans="1:42">
      <c r="A186" s="63" t="s">
        <v>738</v>
      </c>
      <c r="B186" s="85" t="s">
        <v>728</v>
      </c>
      <c r="C186" s="110" t="s">
        <v>178</v>
      </c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36">
        <f t="shared" si="34"/>
        <v>0</v>
      </c>
      <c r="AJ186" s="36">
        <f t="shared" si="35"/>
        <v>0</v>
      </c>
      <c r="AK186" s="36">
        <f t="shared" si="36"/>
        <v>0</v>
      </c>
      <c r="AL186" s="36">
        <f t="shared" si="37"/>
        <v>0</v>
      </c>
      <c r="AM186" s="67">
        <f t="shared" si="38"/>
        <v>0</v>
      </c>
      <c r="AN186" s="66" t="s">
        <v>403</v>
      </c>
    </row>
    <row r="187" ht="21" hidden="1" customHeight="1" spans="1:42">
      <c r="A187" s="63" t="s">
        <v>739</v>
      </c>
      <c r="B187" s="85" t="s">
        <v>728</v>
      </c>
      <c r="C187" s="110" t="s">
        <v>178</v>
      </c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 t="s">
        <v>11</v>
      </c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36">
        <f t="shared" si="34"/>
        <v>1</v>
      </c>
      <c r="AJ187" s="36">
        <f t="shared" si="35"/>
        <v>0</v>
      </c>
      <c r="AK187" s="36">
        <f t="shared" si="36"/>
        <v>0</v>
      </c>
      <c r="AL187" s="36">
        <f t="shared" si="37"/>
        <v>0</v>
      </c>
      <c r="AM187" s="101">
        <f t="shared" si="38"/>
        <v>1</v>
      </c>
      <c r="AN187" s="66" t="s">
        <v>193</v>
      </c>
      <c r="AO187" s="99"/>
      <c r="AP187" s="99"/>
    </row>
    <row r="188" ht="21" hidden="1" customHeight="1" spans="1:42">
      <c r="A188" s="63" t="s">
        <v>740</v>
      </c>
      <c r="B188" s="85" t="s">
        <v>728</v>
      </c>
      <c r="C188" s="110" t="s">
        <v>178</v>
      </c>
      <c r="D188" s="62"/>
      <c r="E188" s="62"/>
      <c r="F188" s="62"/>
      <c r="G188" s="62"/>
      <c r="H188" s="62"/>
      <c r="I188" s="62"/>
      <c r="J188" s="62"/>
      <c r="K188" s="62" t="s">
        <v>11</v>
      </c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36">
        <f t="shared" si="34"/>
        <v>1</v>
      </c>
      <c r="AJ188" s="36">
        <f t="shared" si="35"/>
        <v>0</v>
      </c>
      <c r="AK188" s="36">
        <f t="shared" si="36"/>
        <v>0</v>
      </c>
      <c r="AL188" s="36">
        <f t="shared" si="37"/>
        <v>0</v>
      </c>
      <c r="AM188" s="38">
        <f t="shared" si="38"/>
        <v>1</v>
      </c>
      <c r="AN188" s="79" t="s">
        <v>749</v>
      </c>
      <c r="AO188" s="38">
        <v>26</v>
      </c>
      <c r="AP188" s="39">
        <f>AM188/AO188</f>
        <v>0.0384615384615385</v>
      </c>
    </row>
    <row r="189" ht="21" hidden="1" customHeight="1" spans="1:42">
      <c r="A189" s="63" t="s">
        <v>741</v>
      </c>
      <c r="B189" s="85" t="s">
        <v>211</v>
      </c>
      <c r="C189" s="110" t="s">
        <v>178</v>
      </c>
      <c r="D189" s="62"/>
      <c r="E189" s="62"/>
      <c r="F189" s="62"/>
      <c r="G189" s="62"/>
      <c r="H189" s="62"/>
      <c r="I189" s="62"/>
      <c r="J189" s="62"/>
      <c r="K189" s="62" t="s">
        <v>11</v>
      </c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36">
        <f t="shared" si="34"/>
        <v>1</v>
      </c>
      <c r="AJ189" s="36">
        <f t="shared" si="35"/>
        <v>0</v>
      </c>
      <c r="AK189" s="36">
        <f t="shared" si="36"/>
        <v>0</v>
      </c>
      <c r="AL189" s="36">
        <f t="shared" si="37"/>
        <v>0</v>
      </c>
      <c r="AM189" s="38">
        <f t="shared" si="38"/>
        <v>1</v>
      </c>
      <c r="AN189" s="79" t="s">
        <v>749</v>
      </c>
      <c r="AO189" s="38">
        <v>26</v>
      </c>
      <c r="AP189" s="39">
        <f>AM189/AO189</f>
        <v>0.0384615384615385</v>
      </c>
    </row>
    <row r="190" ht="21" hidden="1" customHeight="1" spans="1:42">
      <c r="A190" s="63" t="s">
        <v>742</v>
      </c>
      <c r="B190" s="85" t="s">
        <v>728</v>
      </c>
      <c r="C190" s="110" t="s">
        <v>178</v>
      </c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 t="s">
        <v>11</v>
      </c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36">
        <f t="shared" si="34"/>
        <v>1</v>
      </c>
      <c r="AJ190" s="36">
        <f t="shared" si="35"/>
        <v>0</v>
      </c>
      <c r="AK190" s="36">
        <f t="shared" si="36"/>
        <v>0</v>
      </c>
      <c r="AL190" s="36">
        <f t="shared" si="37"/>
        <v>0</v>
      </c>
      <c r="AM190" s="38">
        <f t="shared" si="38"/>
        <v>1</v>
      </c>
      <c r="AN190" s="79" t="s">
        <v>749</v>
      </c>
      <c r="AO190" s="20"/>
      <c r="AP190" s="20"/>
    </row>
    <row r="191" ht="21" hidden="1" customHeight="1" spans="1:42">
      <c r="A191" s="63" t="s">
        <v>743</v>
      </c>
      <c r="B191" s="85" t="s">
        <v>728</v>
      </c>
      <c r="C191" s="110" t="s">
        <v>178</v>
      </c>
      <c r="D191" s="62"/>
      <c r="E191" s="62"/>
      <c r="F191" s="62"/>
      <c r="G191" s="62"/>
      <c r="H191" s="62" t="s">
        <v>11</v>
      </c>
      <c r="I191" s="62"/>
      <c r="J191" s="62"/>
      <c r="K191" s="62"/>
      <c r="L191" s="62"/>
      <c r="M191" s="62" t="s">
        <v>13</v>
      </c>
      <c r="N191" s="62"/>
      <c r="O191" s="62" t="s">
        <v>11</v>
      </c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36">
        <f t="shared" si="34"/>
        <v>2</v>
      </c>
      <c r="AJ191" s="36">
        <f t="shared" si="35"/>
        <v>0</v>
      </c>
      <c r="AK191" s="36">
        <f t="shared" si="36"/>
        <v>1</v>
      </c>
      <c r="AL191" s="36">
        <f t="shared" si="37"/>
        <v>0</v>
      </c>
      <c r="AM191" s="38">
        <f t="shared" si="38"/>
        <v>3</v>
      </c>
      <c r="AN191" s="70" t="s">
        <v>435</v>
      </c>
      <c r="AO191" s="20"/>
      <c r="AP191" s="20"/>
    </row>
    <row r="192" ht="21" hidden="1" customHeight="1" spans="1:42">
      <c r="A192" s="63" t="s">
        <v>744</v>
      </c>
      <c r="B192" s="85" t="s">
        <v>736</v>
      </c>
      <c r="C192" s="110" t="s">
        <v>178</v>
      </c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36">
        <f t="shared" si="34"/>
        <v>0</v>
      </c>
      <c r="AJ192" s="36">
        <f t="shared" si="35"/>
        <v>0</v>
      </c>
      <c r="AK192" s="36">
        <f t="shared" si="36"/>
        <v>0</v>
      </c>
      <c r="AL192" s="36">
        <f t="shared" si="37"/>
        <v>0</v>
      </c>
      <c r="AM192" s="38">
        <f t="shared" si="38"/>
        <v>0</v>
      </c>
      <c r="AN192" s="66"/>
      <c r="AO192" s="20"/>
      <c r="AP192" s="20"/>
    </row>
    <row r="193" ht="21" hidden="1" customHeight="1" spans="1:42">
      <c r="A193" s="63" t="s">
        <v>745</v>
      </c>
      <c r="B193" s="85" t="s">
        <v>728</v>
      </c>
      <c r="C193" s="110" t="s">
        <v>178</v>
      </c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36">
        <f t="shared" si="34"/>
        <v>0</v>
      </c>
      <c r="AJ193" s="36">
        <f t="shared" si="35"/>
        <v>0</v>
      </c>
      <c r="AK193" s="36">
        <f t="shared" si="36"/>
        <v>0</v>
      </c>
      <c r="AL193" s="36">
        <f t="shared" si="37"/>
        <v>0</v>
      </c>
      <c r="AM193" s="96">
        <f t="shared" si="38"/>
        <v>0</v>
      </c>
      <c r="AN193" s="112"/>
      <c r="AO193" s="116"/>
      <c r="AP193" s="116"/>
    </row>
    <row r="194" ht="21" hidden="1" customHeight="1" spans="1:42">
      <c r="A194" s="63" t="s">
        <v>746</v>
      </c>
      <c r="B194" s="85" t="s">
        <v>728</v>
      </c>
      <c r="C194" s="110" t="s">
        <v>178</v>
      </c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36">
        <f t="shared" si="34"/>
        <v>0</v>
      </c>
      <c r="AJ194" s="36">
        <f t="shared" si="35"/>
        <v>0</v>
      </c>
      <c r="AK194" s="36">
        <f t="shared" si="36"/>
        <v>0</v>
      </c>
      <c r="AL194" s="36">
        <f t="shared" si="37"/>
        <v>0</v>
      </c>
      <c r="AM194" s="38">
        <f t="shared" si="38"/>
        <v>0</v>
      </c>
      <c r="AN194" s="117"/>
    </row>
    <row r="195" ht="21" hidden="1" customHeight="1" spans="1:42">
      <c r="A195" s="63" t="s">
        <v>747</v>
      </c>
      <c r="B195" s="63" t="s">
        <v>728</v>
      </c>
      <c r="C195" s="110" t="s">
        <v>178</v>
      </c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36">
        <f t="shared" si="34"/>
        <v>0</v>
      </c>
      <c r="AJ195" s="36">
        <f t="shared" si="35"/>
        <v>0</v>
      </c>
      <c r="AK195" s="36">
        <f t="shared" si="36"/>
        <v>0</v>
      </c>
      <c r="AL195" s="36">
        <f t="shared" si="37"/>
        <v>0</v>
      </c>
      <c r="AM195" s="38">
        <f t="shared" si="38"/>
        <v>0</v>
      </c>
      <c r="AN195" s="101"/>
    </row>
    <row r="196" ht="15.25" hidden="1" spans="1:42">
      <c r="A196" s="118" t="s">
        <v>763</v>
      </c>
      <c r="B196" s="118" t="s">
        <v>111</v>
      </c>
      <c r="C196" s="118" t="s">
        <v>178</v>
      </c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36">
        <f t="shared" ref="AI196:AI203" si="39">COUNTIF(B196:AF196,"S")</f>
        <v>0</v>
      </c>
      <c r="AJ196" s="36">
        <f t="shared" ref="AJ196:AJ203" si="40">COUNTIF(B196:AF196,"I")</f>
        <v>0</v>
      </c>
      <c r="AK196" s="36">
        <f t="shared" ref="AK196:AK203" si="41">COUNTIF(B196:AF196,"A")</f>
        <v>0</v>
      </c>
      <c r="AL196" s="36">
        <f t="shared" ref="AL196:AL203" si="42">COUNTIF(B196:AF196,"PA")</f>
        <v>0</v>
      </c>
      <c r="AM196" s="38">
        <f t="shared" ref="AM196:AM203" si="43">SUM(AH196:AK196)</f>
        <v>0</v>
      </c>
      <c r="AN196" s="101"/>
    </row>
    <row r="197" ht="19" hidden="1" customHeight="1" spans="1:42">
      <c r="A197" s="119" t="s">
        <v>764</v>
      </c>
      <c r="B197" s="120" t="s">
        <v>728</v>
      </c>
      <c r="C197" s="119" t="s">
        <v>178</v>
      </c>
      <c r="V197" s="62" t="s">
        <v>13</v>
      </c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36">
        <f t="shared" si="39"/>
        <v>0</v>
      </c>
      <c r="AJ197" s="36">
        <f t="shared" si="40"/>
        <v>0</v>
      </c>
      <c r="AK197" s="36">
        <f t="shared" si="41"/>
        <v>1</v>
      </c>
      <c r="AL197" s="36">
        <f t="shared" si="42"/>
        <v>0</v>
      </c>
      <c r="AM197" s="38">
        <f t="shared" si="43"/>
        <v>1</v>
      </c>
      <c r="AN197" s="121" t="s">
        <v>759</v>
      </c>
    </row>
    <row r="198" ht="15.25" hidden="1" spans="1:42">
      <c r="A198" s="119" t="s">
        <v>765</v>
      </c>
      <c r="B198" s="119" t="s">
        <v>211</v>
      </c>
      <c r="C198" s="119" t="s">
        <v>178</v>
      </c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36">
        <f t="shared" si="39"/>
        <v>0</v>
      </c>
      <c r="AJ198" s="36">
        <f t="shared" si="40"/>
        <v>0</v>
      </c>
      <c r="AK198" s="36">
        <f t="shared" si="41"/>
        <v>0</v>
      </c>
      <c r="AL198" s="36">
        <f t="shared" si="42"/>
        <v>0</v>
      </c>
      <c r="AM198" s="38">
        <f t="shared" si="43"/>
        <v>0</v>
      </c>
      <c r="AN198" s="101"/>
    </row>
    <row r="199" ht="15.25" hidden="1" spans="1:42">
      <c r="A199" s="119" t="s">
        <v>766</v>
      </c>
      <c r="B199" s="120" t="s">
        <v>767</v>
      </c>
      <c r="C199" s="119" t="s">
        <v>178</v>
      </c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36">
        <f t="shared" si="39"/>
        <v>0</v>
      </c>
      <c r="AJ199" s="36">
        <f t="shared" si="40"/>
        <v>0</v>
      </c>
      <c r="AK199" s="36">
        <f t="shared" si="41"/>
        <v>0</v>
      </c>
      <c r="AL199" s="36">
        <f t="shared" si="42"/>
        <v>0</v>
      </c>
      <c r="AM199" s="38">
        <f t="shared" si="43"/>
        <v>0</v>
      </c>
      <c r="AN199" s="101"/>
    </row>
    <row r="200" ht="15.25" hidden="1" spans="1:42">
      <c r="A200" s="119" t="s">
        <v>768</v>
      </c>
      <c r="B200" s="120" t="s">
        <v>728</v>
      </c>
      <c r="C200" s="119" t="s">
        <v>178</v>
      </c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36">
        <f t="shared" si="39"/>
        <v>0</v>
      </c>
      <c r="AJ200" s="36">
        <f t="shared" si="40"/>
        <v>0</v>
      </c>
      <c r="AK200" s="36">
        <f t="shared" si="41"/>
        <v>0</v>
      </c>
      <c r="AL200" s="36">
        <f t="shared" si="42"/>
        <v>0</v>
      </c>
      <c r="AM200" s="38">
        <f t="shared" si="43"/>
        <v>0</v>
      </c>
      <c r="AN200" s="101"/>
    </row>
    <row r="201" ht="15.25" hidden="1" spans="1:42">
      <c r="A201" s="119" t="s">
        <v>769</v>
      </c>
      <c r="B201" s="120" t="s">
        <v>728</v>
      </c>
      <c r="C201" s="119" t="s">
        <v>178</v>
      </c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36">
        <f t="shared" si="39"/>
        <v>0</v>
      </c>
      <c r="AJ201" s="36">
        <f t="shared" si="40"/>
        <v>0</v>
      </c>
      <c r="AK201" s="36">
        <f t="shared" si="41"/>
        <v>0</v>
      </c>
      <c r="AL201" s="36">
        <f t="shared" si="42"/>
        <v>0</v>
      </c>
      <c r="AM201" s="38">
        <f t="shared" si="43"/>
        <v>0</v>
      </c>
      <c r="AN201" s="101"/>
    </row>
    <row r="202" ht="15.25" hidden="1" spans="1:42">
      <c r="A202" s="119" t="s">
        <v>770</v>
      </c>
      <c r="B202" s="119" t="s">
        <v>728</v>
      </c>
      <c r="C202" s="119" t="s">
        <v>178</v>
      </c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36">
        <f t="shared" si="39"/>
        <v>0</v>
      </c>
      <c r="AJ202" s="36">
        <f t="shared" si="40"/>
        <v>0</v>
      </c>
      <c r="AK202" s="36">
        <f t="shared" si="41"/>
        <v>0</v>
      </c>
      <c r="AL202" s="36">
        <f t="shared" si="42"/>
        <v>0</v>
      </c>
      <c r="AM202" s="38">
        <f t="shared" si="43"/>
        <v>0</v>
      </c>
      <c r="AN202" s="101"/>
    </row>
    <row r="203" ht="3" hidden="1" customHeight="1" spans="1:42">
      <c r="A203" s="119" t="s">
        <v>771</v>
      </c>
      <c r="B203" s="119" t="s">
        <v>728</v>
      </c>
      <c r="C203" s="119" t="s">
        <v>178</v>
      </c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36">
        <f t="shared" si="39"/>
        <v>0</v>
      </c>
      <c r="AJ203" s="36">
        <f t="shared" si="40"/>
        <v>0</v>
      </c>
      <c r="AK203" s="36">
        <f t="shared" si="41"/>
        <v>0</v>
      </c>
      <c r="AL203" s="36">
        <f t="shared" si="42"/>
        <v>0</v>
      </c>
      <c r="AM203" s="38">
        <f t="shared" si="43"/>
        <v>0</v>
      </c>
      <c r="AN203" s="101"/>
    </row>
    <row r="216" spans="41:42">
      <c r="AO216" s="122"/>
      <c r="AP216" s="122"/>
    </row>
    <row r="217" spans="41:42">
      <c r="AO217" s="122"/>
      <c r="AP217" s="122"/>
    </row>
    <row r="218" spans="41:42">
      <c r="AO218" s="122"/>
      <c r="AP218" s="122"/>
    </row>
    <row r="219" spans="41:42">
      <c r="AO219" s="122"/>
      <c r="AP219" s="122"/>
    </row>
    <row r="220" spans="41:42">
      <c r="AO220" s="122"/>
      <c r="AP220" s="122"/>
    </row>
    <row r="221" spans="41:42">
      <c r="AO221" s="122"/>
      <c r="AP221" s="122"/>
    </row>
    <row r="222" spans="41:42">
      <c r="AO222" s="122"/>
      <c r="AP222" s="122"/>
    </row>
    <row r="223" spans="41:42">
      <c r="AO223" s="122"/>
      <c r="AP223" s="122"/>
    </row>
  </sheetData>
  <autoFilter xmlns:etc="http://www.wps.cn/officeDocument/2017/etCustomData" ref="A15:AP203" etc:filterBottomFollowUsedRange="0">
    <filterColumn colId="22">
      <filters>
        <filter val="S"/>
        <filter val="I"/>
      </filters>
    </filterColumn>
    <extLst/>
  </autoFilter>
  <mergeCells count="16">
    <mergeCell ref="AI1:AL1"/>
    <mergeCell ref="D14:AH14"/>
    <mergeCell ref="AI14:AL14"/>
    <mergeCell ref="A14:A15"/>
    <mergeCell ref="B14:B15"/>
    <mergeCell ref="C14:C15"/>
    <mergeCell ref="AM1:AM4"/>
    <mergeCell ref="AM14:AM15"/>
    <mergeCell ref="AN1:AN4"/>
    <mergeCell ref="AN14:AN15"/>
    <mergeCell ref="AO1:AO4"/>
    <mergeCell ref="AO14:AO15"/>
    <mergeCell ref="AP1:AP4"/>
    <mergeCell ref="AP14:AP15"/>
    <mergeCell ref="E8:AH10"/>
    <mergeCell ref="E11:AH12"/>
  </mergeCells>
  <conditionalFormatting sqref="D16:AH32;D33:R33;T33:AH33;D34:AH195;V196:AH203">
    <cfRule type="containsText" dxfId="3" priority="81" operator="between" text="OFF">
      <formula>NOT(ISERROR(SEARCH("OFF",D16)))</formula>
    </cfRule>
    <cfRule type="containsText" dxfId="4" priority="82" operator="between" text="OFF">
      <formula>NOT(ISERROR(SEARCH("OFF",D16)))</formula>
    </cfRule>
    <cfRule type="containsText" dxfId="5" priority="83" operator="between" text="S">
      <formula>NOT(ISERROR(SEARCH("S",D16)))</formula>
    </cfRule>
    <cfRule type="containsText" dxfId="6" priority="84" operator="between" text="I">
      <formula>NOT(ISERROR(SEARCH("I",D16)))</formula>
    </cfRule>
    <cfRule type="containsText" dxfId="7" priority="85" operator="between" text="A">
      <formula>NOT(ISERROR(SEARCH("A",D16)))</formula>
    </cfRule>
    <cfRule type="containsText" dxfId="8" priority="86" operator="between" text="L">
      <formula>NOT(ISERROR(SEARCH("L",D16)))</formula>
    </cfRule>
    <cfRule type="containsText" dxfId="6" priority="87" operator="between" text="A">
      <formula>NOT(ISERROR(SEARCH("A",D16)))</formula>
    </cfRule>
    <cfRule type="containsText" dxfId="7" priority="88" operator="between" text="S">
      <formula>NOT(ISERROR(SEARCH("S",D16)))</formula>
    </cfRule>
    <cfRule type="containsText" dxfId="5" priority="89" operator="between" text="OFF">
      <formula>NOT(ISERROR(SEARCH("OFF",D16)))</formula>
    </cfRule>
    <cfRule type="containsText" dxfId="7" priority="90" operator="between" text="OFF">
      <formula>NOT(ISERROR(SEARCH("OFF",D16)))</formula>
    </cfRule>
  </conditionalFormatting>
  <printOptions horizontalCentered="1"/>
  <pageMargins left="0" right="0" top="0" bottom="0" header="0" footer="0"/>
  <pageSetup paperSize="9" orientation="portrait"/>
  <headerFooter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7"/>
  <sheetViews>
    <sheetView zoomScale="90" zoomScaleNormal="90" workbookViewId="0">
      <selection activeCell="F14" sqref="F14"/>
    </sheetView>
  </sheetViews>
  <sheetFormatPr defaultColWidth="8.72727272727273" defaultRowHeight="14.5"/>
  <cols>
    <col min="1" max="1" width="18.8181818181818" customWidth="1"/>
    <col min="2" max="2" width="14.8181818181818" customWidth="1"/>
    <col min="3" max="3" width="13.6363636363636" customWidth="1"/>
    <col min="4" max="4" width="14.7272727272727" customWidth="1"/>
    <col min="10" max="11" width="8.72727272727273" hidden="1" customWidth="1"/>
  </cols>
  <sheetData>
    <row r="2" spans="1:11">
      <c r="A2" s="1" t="s">
        <v>1</v>
      </c>
      <c r="B2" s="2" t="s">
        <v>2</v>
      </c>
      <c r="C2" s="3" t="s">
        <v>772</v>
      </c>
      <c r="D2" s="2" t="s">
        <v>3</v>
      </c>
      <c r="E2" s="4" t="s">
        <v>773</v>
      </c>
      <c r="F2" s="5" t="s">
        <v>5</v>
      </c>
      <c r="G2" s="5"/>
      <c r="H2" s="5"/>
      <c r="I2" s="6" t="s">
        <v>6</v>
      </c>
    </row>
    <row r="3" ht="13" customHeight="1" spans="1:11">
      <c r="A3" s="2"/>
      <c r="B3" s="7"/>
      <c r="C3" s="8"/>
      <c r="D3" s="7"/>
      <c r="E3" s="9"/>
      <c r="F3" s="10" t="s">
        <v>11</v>
      </c>
      <c r="G3" s="11" t="s">
        <v>12</v>
      </c>
      <c r="H3" s="11" t="s">
        <v>13</v>
      </c>
      <c r="I3" s="12"/>
    </row>
    <row r="4" ht="17" customHeight="1" spans="1:11">
      <c r="A4" s="13" t="s">
        <v>524</v>
      </c>
      <c r="B4" s="14" t="s">
        <v>702</v>
      </c>
      <c r="C4" s="15">
        <v>46202</v>
      </c>
      <c r="D4" s="16" t="s">
        <v>774</v>
      </c>
      <c r="E4" s="17" t="s">
        <v>775</v>
      </c>
      <c r="F4" s="18">
        <v>2</v>
      </c>
      <c r="G4" s="18"/>
      <c r="H4" s="18"/>
      <c r="I4" s="18" cm="1">
        <f t="array" ref="I4:K4">F4:H4</f>
        <v>2</v>
      </c>
      <c r="J4">
        <v>0</v>
      </c>
      <c r="K4">
        <v>0</v>
      </c>
    </row>
    <row r="5" ht="17" customHeight="1" spans="1:11">
      <c r="A5" s="13"/>
      <c r="B5" s="14"/>
      <c r="C5" s="15"/>
      <c r="D5" s="16"/>
      <c r="E5" s="17" t="s">
        <v>776</v>
      </c>
      <c r="F5" s="19">
        <v>2</v>
      </c>
      <c r="G5" s="19">
        <v>2</v>
      </c>
      <c r="H5" s="19"/>
      <c r="I5" s="18" cm="1">
        <f t="array" ref="I5:K5">F5:H5</f>
        <v>2</v>
      </c>
      <c r="J5">
        <v>2</v>
      </c>
      <c r="K5">
        <v>0</v>
      </c>
    </row>
    <row r="6" ht="17" customHeight="1" spans="1:11">
      <c r="A6" s="13"/>
      <c r="B6" s="14"/>
      <c r="C6" s="15"/>
      <c r="D6" s="16"/>
      <c r="E6" s="17" t="s">
        <v>777</v>
      </c>
      <c r="F6" s="19">
        <v>5</v>
      </c>
      <c r="G6" s="19">
        <v>2</v>
      </c>
      <c r="H6" s="19">
        <v>1</v>
      </c>
      <c r="I6" s="18" cm="1">
        <f t="array" ref="I6:K6">F6:H6</f>
        <v>5</v>
      </c>
      <c r="J6">
        <v>2</v>
      </c>
      <c r="K6">
        <v>1</v>
      </c>
    </row>
    <row r="9" spans="1:11">
      <c r="A9" s="1" t="s">
        <v>1</v>
      </c>
      <c r="B9" s="2" t="s">
        <v>2</v>
      </c>
      <c r="C9" s="3" t="s">
        <v>772</v>
      </c>
      <c r="D9" s="2" t="s">
        <v>3</v>
      </c>
      <c r="E9" s="4" t="s">
        <v>773</v>
      </c>
      <c r="F9" s="5" t="s">
        <v>5</v>
      </c>
      <c r="G9" s="5"/>
      <c r="H9" s="5"/>
      <c r="I9" s="6" t="s">
        <v>6</v>
      </c>
    </row>
    <row r="10" spans="1:11">
      <c r="A10" s="2"/>
      <c r="B10" s="7"/>
      <c r="C10" s="8"/>
      <c r="D10" s="7"/>
      <c r="E10" s="9"/>
      <c r="F10" s="10" t="s">
        <v>11</v>
      </c>
      <c r="G10" s="11" t="s">
        <v>12</v>
      </c>
      <c r="H10" s="11" t="s">
        <v>13</v>
      </c>
      <c r="I10" s="12"/>
    </row>
    <row r="11" spans="1:11">
      <c r="A11" s="13" t="s">
        <v>617</v>
      </c>
      <c r="B11" s="14" t="s">
        <v>702</v>
      </c>
      <c r="C11" s="15">
        <v>45904</v>
      </c>
      <c r="D11" s="16" t="s">
        <v>778</v>
      </c>
      <c r="E11" s="17" t="s">
        <v>775</v>
      </c>
      <c r="F11" s="18"/>
      <c r="G11" s="18"/>
      <c r="H11" s="18"/>
      <c r="I11" s="18" cm="1">
        <f t="array" ref="I11:K11">F11:H11</f>
        <v>0</v>
      </c>
      <c r="J11">
        <v>0</v>
      </c>
      <c r="K11">
        <v>0</v>
      </c>
    </row>
    <row r="12" spans="1:11">
      <c r="A12" s="13"/>
      <c r="B12" s="14"/>
      <c r="C12" s="15"/>
      <c r="D12" s="16"/>
      <c r="E12" s="17" t="s">
        <v>776</v>
      </c>
      <c r="F12" s="19">
        <v>2</v>
      </c>
      <c r="G12" s="19"/>
      <c r="H12" s="19"/>
      <c r="I12" s="18" cm="1">
        <f t="array" ref="I12:K12">F12:H12</f>
        <v>2</v>
      </c>
      <c r="J12">
        <v>0</v>
      </c>
      <c r="K12">
        <v>0</v>
      </c>
    </row>
    <row r="13" spans="1:11">
      <c r="A13" s="13"/>
      <c r="B13" s="14"/>
      <c r="C13" s="15"/>
      <c r="D13" s="16"/>
      <c r="E13" s="17" t="s">
        <v>777</v>
      </c>
      <c r="F13" s="19"/>
      <c r="G13" s="19">
        <v>5</v>
      </c>
      <c r="H13" s="19"/>
      <c r="I13" s="18" cm="1">
        <f t="array" ref="I13:K13">F13:H13</f>
        <v>0</v>
      </c>
      <c r="J13">
        <v>5</v>
      </c>
      <c r="K13">
        <v>0</v>
      </c>
    </row>
    <row r="14" ht="7" customHeight="1"/>
    <row r="15" spans="1:11">
      <c r="A15" s="13" t="s">
        <v>638</v>
      </c>
      <c r="B15" s="14" t="s">
        <v>702</v>
      </c>
      <c r="C15" s="15">
        <v>45890</v>
      </c>
      <c r="D15" s="16" t="s">
        <v>779</v>
      </c>
      <c r="E15" s="17" t="s">
        <v>775</v>
      </c>
      <c r="F15" s="18">
        <v>5</v>
      </c>
      <c r="G15" s="18"/>
      <c r="H15" s="18"/>
      <c r="I15" s="18" cm="1">
        <f t="array" ref="I15:K15">F15:H15</f>
        <v>5</v>
      </c>
      <c r="J15">
        <v>0</v>
      </c>
      <c r="K15">
        <v>0</v>
      </c>
    </row>
    <row r="16" spans="1:11">
      <c r="A16" s="13"/>
      <c r="B16" s="14"/>
      <c r="C16" s="15"/>
      <c r="D16" s="16"/>
      <c r="E16" s="17" t="s">
        <v>776</v>
      </c>
      <c r="F16" s="19">
        <v>1</v>
      </c>
      <c r="G16" s="19">
        <v>1</v>
      </c>
      <c r="H16" s="19">
        <v>2</v>
      </c>
      <c r="I16" s="18" cm="1">
        <f t="array" ref="I16:K16">F16:H16</f>
        <v>1</v>
      </c>
      <c r="J16">
        <v>1</v>
      </c>
      <c r="K16">
        <v>2</v>
      </c>
    </row>
    <row r="17" spans="1:11">
      <c r="A17" s="13"/>
      <c r="B17" s="14"/>
      <c r="C17" s="15"/>
      <c r="D17" s="16"/>
      <c r="E17" s="17" t="s">
        <v>777</v>
      </c>
      <c r="F17" s="19">
        <v>1</v>
      </c>
      <c r="G17" s="19">
        <v>2</v>
      </c>
      <c r="H17" s="19">
        <v>1</v>
      </c>
      <c r="I17" s="18" cm="1">
        <f t="array" ref="I17:K17">F17:H17</f>
        <v>1</v>
      </c>
      <c r="J17">
        <v>2</v>
      </c>
      <c r="K17">
        <v>1</v>
      </c>
    </row>
  </sheetData>
  <mergeCells count="26">
    <mergeCell ref="F2:H2"/>
    <mergeCell ref="F9:H9"/>
    <mergeCell ref="A2:A3"/>
    <mergeCell ref="A4:A6"/>
    <mergeCell ref="A9:A10"/>
    <mergeCell ref="A11:A13"/>
    <mergeCell ref="A15:A17"/>
    <mergeCell ref="B2:B3"/>
    <mergeCell ref="B4:B6"/>
    <mergeCell ref="B9:B10"/>
    <mergeCell ref="B11:B13"/>
    <mergeCell ref="B15:B17"/>
    <mergeCell ref="C2:C3"/>
    <mergeCell ref="C4:C6"/>
    <mergeCell ref="C9:C10"/>
    <mergeCell ref="C11:C13"/>
    <mergeCell ref="C15:C17"/>
    <mergeCell ref="D2:D3"/>
    <mergeCell ref="D4:D6"/>
    <mergeCell ref="D9:D10"/>
    <mergeCell ref="D11:D13"/>
    <mergeCell ref="D15:D17"/>
    <mergeCell ref="E2:E3"/>
    <mergeCell ref="E9:E10"/>
    <mergeCell ref="I2:I3"/>
    <mergeCell ref="I9:I1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sept</vt:lpstr>
      <vt:lpstr>oct</vt:lpstr>
      <vt:lpstr>nov</vt:lpstr>
      <vt:lpstr>DES</vt:lpstr>
      <vt:lpstr>JAN</vt:lpstr>
      <vt:lpstr>FEB</vt:lpstr>
      <vt:lpstr>MAR</vt:lpstr>
      <vt:lpstr>APRIL</vt:lpstr>
      <vt:lpstr>MEI</vt:lpstr>
      <vt:lpstr>JUNI</vt:lpstr>
      <vt:lpstr>JULI</vt:lpstr>
      <vt:lpstr>AGT</vt:lpstr>
      <vt:lpstr>SEP</vt:lpstr>
      <vt:lpstr>OKT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Organizer</cp:lastModifiedBy>
  <dcterms:created xsi:type="dcterms:W3CDTF">2025-04-22T02:13:00Z</dcterms:created>
  <dcterms:modified xsi:type="dcterms:W3CDTF">2026-10-09T01:42:16Z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CE09369EC23F415DB14F200CFE696F1C_13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